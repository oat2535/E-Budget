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Oat IT\Desktop\"/>
    </mc:Choice>
  </mc:AlternateContent>
  <xr:revisionPtr revIDLastSave="0" documentId="13_ncr:1_{C8A8F0D9-4DFF-47CC-BDDE-B9170AD68026}" xr6:coauthVersionLast="47" xr6:coauthVersionMax="47" xr10:uidLastSave="{00000000-0000-0000-0000-000000000000}"/>
  <bookViews>
    <workbookView xWindow="-110" yWindow="-110" windowWidth="25820" windowHeight="15500" tabRatio="935" activeTab="4" xr2:uid="{00000000-000D-0000-FFFF-FFFF00000000}"/>
  </bookViews>
  <sheets>
    <sheet name="งบกำไรขาดทุน ปี 2025" sheetId="1" r:id="rId1"/>
    <sheet name="Budget ปี 2026" sheetId="2" state="hidden" r:id="rId2"/>
    <sheet name="การลงระหว่างเดือน ปี 2026" sheetId="3" state="hidden" r:id="rId3"/>
    <sheet name="สรุป" sheetId="4" state="hidden" r:id="rId4"/>
    <sheet name="กำลัง VET" sheetId="9" r:id="rId5"/>
    <sheet name="กำลังคนNON VET" sheetId="5" r:id="rId6"/>
    <sheet name="ปรับตำแหน่ง" sheetId="15" r:id="rId7"/>
    <sheet name="เครื่องมือแพทย์" sheetId="6" r:id="rId8"/>
    <sheet name="คอมพิวเตอร์" sheetId="8" r:id="rId9"/>
    <sheet name="เฟอร์นิเจอร์" sheetId="10" r:id="rId10"/>
    <sheet name="เครื่องมือเครื่องใช้" sheetId="7" r:id="rId11"/>
    <sheet name="ค่าสวัสดิการ" sheetId="13" r:id="rId12"/>
    <sheet name="บริหารโดยส่วนกลาง (ไม่ต้องกรอก)" sheetId="14" state="hidden" r:id="rId13"/>
  </sheets>
  <definedNames>
    <definedName name="_xlnm.Print_Titles" localSheetId="0">'งบกำไรขาดทุน ปี 2025'!$4:$5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6" l="1"/>
  <c r="B17" i="2"/>
  <c r="T17" i="2"/>
  <c r="S17" i="2"/>
  <c r="R17" i="2"/>
  <c r="Q17" i="2"/>
  <c r="P17" i="2"/>
  <c r="O17" i="2"/>
  <c r="N17" i="2"/>
  <c r="M17" i="2"/>
  <c r="L17" i="2"/>
  <c r="K17" i="2"/>
  <c r="J17" i="2"/>
  <c r="I17" i="2"/>
  <c r="C17" i="2"/>
  <c r="D17" i="2" s="1"/>
  <c r="E17" i="2" s="1"/>
  <c r="F17" i="2" s="1"/>
  <c r="A17" i="2"/>
  <c r="U17" i="2" l="1"/>
  <c r="AJ17" i="2" l="1"/>
  <c r="C32" i="10" l="1"/>
  <c r="AM68" i="3"/>
  <c r="N36" i="3"/>
  <c r="AL79" i="3" l="1"/>
  <c r="AL78" i="3"/>
  <c r="AL75" i="3"/>
  <c r="AL74" i="3"/>
  <c r="AL73" i="3"/>
  <c r="AL72" i="3"/>
  <c r="AI79" i="3"/>
  <c r="AI78" i="3"/>
  <c r="AI75" i="3"/>
  <c r="AI74" i="3"/>
  <c r="AI73" i="3"/>
  <c r="AI72" i="3"/>
  <c r="AF79" i="3"/>
  <c r="AF78" i="3"/>
  <c r="AF75" i="3"/>
  <c r="AF74" i="3"/>
  <c r="AF73" i="3"/>
  <c r="AF72" i="3"/>
  <c r="AC79" i="3"/>
  <c r="AC78" i="3"/>
  <c r="AC75" i="3"/>
  <c r="AC74" i="3"/>
  <c r="AC73" i="3"/>
  <c r="AC72" i="3"/>
  <c r="Z79" i="3"/>
  <c r="Z78" i="3"/>
  <c r="Z75" i="3"/>
  <c r="Z74" i="3"/>
  <c r="Z73" i="3"/>
  <c r="Z72" i="3"/>
  <c r="W79" i="3"/>
  <c r="W78" i="3"/>
  <c r="W75" i="3"/>
  <c r="W74" i="3"/>
  <c r="W73" i="3"/>
  <c r="W72" i="3"/>
  <c r="T79" i="3"/>
  <c r="T78" i="3"/>
  <c r="T75" i="3"/>
  <c r="T74" i="3"/>
  <c r="T73" i="3"/>
  <c r="T72" i="3"/>
  <c r="Q79" i="3"/>
  <c r="Q78" i="3"/>
  <c r="Q75" i="3"/>
  <c r="Q74" i="3"/>
  <c r="Q73" i="3"/>
  <c r="Q72" i="3"/>
  <c r="N79" i="3"/>
  <c r="N78" i="3"/>
  <c r="N75" i="3"/>
  <c r="N74" i="3"/>
  <c r="N73" i="3"/>
  <c r="N72" i="3"/>
  <c r="K79" i="3"/>
  <c r="K78" i="3"/>
  <c r="K75" i="3"/>
  <c r="K74" i="3"/>
  <c r="K73" i="3"/>
  <c r="K72" i="3"/>
  <c r="K70" i="3"/>
  <c r="N70" i="3" s="1"/>
  <c r="Q70" i="3" s="1"/>
  <c r="T70" i="3" s="1"/>
  <c r="W70" i="3" s="1"/>
  <c r="Z70" i="3" s="1"/>
  <c r="AC70" i="3" s="1"/>
  <c r="AF70" i="3" s="1"/>
  <c r="AI70" i="3" s="1"/>
  <c r="AL70" i="3" s="1"/>
  <c r="H79" i="3"/>
  <c r="H78" i="3"/>
  <c r="H75" i="3"/>
  <c r="H74" i="3"/>
  <c r="H73" i="3"/>
  <c r="H72" i="3"/>
  <c r="H70" i="3"/>
  <c r="T88" i="2"/>
  <c r="S88" i="2"/>
  <c r="R88" i="2"/>
  <c r="Q88" i="2"/>
  <c r="P88" i="2"/>
  <c r="O88" i="2"/>
  <c r="N88" i="2"/>
  <c r="M88" i="2"/>
  <c r="L88" i="2"/>
  <c r="K88" i="2"/>
  <c r="J88" i="2"/>
  <c r="I88" i="2"/>
  <c r="T87" i="2"/>
  <c r="S87" i="2"/>
  <c r="R87" i="2"/>
  <c r="Q87" i="2"/>
  <c r="P87" i="2"/>
  <c r="O87" i="2"/>
  <c r="N87" i="2"/>
  <c r="M87" i="2"/>
  <c r="L87" i="2"/>
  <c r="K87" i="2"/>
  <c r="J87" i="2"/>
  <c r="I87" i="2"/>
  <c r="T86" i="2"/>
  <c r="S86" i="2"/>
  <c r="R86" i="2"/>
  <c r="Q86" i="2"/>
  <c r="O86" i="2"/>
  <c r="N86" i="2"/>
  <c r="L86" i="2"/>
  <c r="K86" i="2"/>
  <c r="J86" i="2"/>
  <c r="I86" i="2"/>
  <c r="D6" i="10" l="1"/>
  <c r="K40" i="3" l="1"/>
  <c r="D7" i="3"/>
  <c r="E7" i="3" s="1"/>
  <c r="D8" i="3"/>
  <c r="E8" i="3" s="1"/>
  <c r="D9" i="3"/>
  <c r="D10" i="3"/>
  <c r="E10" i="3" s="1"/>
  <c r="D11" i="3"/>
  <c r="G7" i="3"/>
  <c r="H7" i="3" s="1"/>
  <c r="G8" i="3"/>
  <c r="H8" i="3" s="1"/>
  <c r="G9" i="3"/>
  <c r="H9" i="3" s="1"/>
  <c r="G10" i="3"/>
  <c r="H10" i="3" s="1"/>
  <c r="G11" i="3"/>
  <c r="H11" i="3" s="1"/>
  <c r="J7" i="3"/>
  <c r="K7" i="3" s="1"/>
  <c r="J8" i="3"/>
  <c r="K8" i="3" s="1"/>
  <c r="J9" i="3"/>
  <c r="K9" i="3" s="1"/>
  <c r="J10" i="3"/>
  <c r="K10" i="3" s="1"/>
  <c r="J11" i="3"/>
  <c r="K11" i="3" s="1"/>
  <c r="M7" i="3"/>
  <c r="N7" i="3" s="1"/>
  <c r="M8" i="3"/>
  <c r="N8" i="3" s="1"/>
  <c r="M9" i="3"/>
  <c r="N9" i="3" s="1"/>
  <c r="M10" i="3"/>
  <c r="N10" i="3" s="1"/>
  <c r="M11" i="3"/>
  <c r="N11" i="3" s="1"/>
  <c r="S7" i="3"/>
  <c r="S8" i="3"/>
  <c r="S9" i="3"/>
  <c r="S10" i="3"/>
  <c r="S11" i="3"/>
  <c r="E9" i="3"/>
  <c r="E11" i="3"/>
  <c r="D8" i="10" l="1"/>
  <c r="Q8" i="10"/>
  <c r="E40" i="3"/>
  <c r="D7" i="10" l="1"/>
  <c r="D32" i="10" s="1"/>
  <c r="D7" i="7"/>
  <c r="D6" i="7"/>
  <c r="D37" i="15"/>
  <c r="P37" i="15" s="1"/>
  <c r="C35" i="15"/>
  <c r="C36" i="15"/>
  <c r="C37" i="15"/>
  <c r="C38" i="15"/>
  <c r="C39" i="15"/>
  <c r="C40" i="15"/>
  <c r="C41" i="15"/>
  <c r="C42" i="15"/>
  <c r="C43" i="15"/>
  <c r="C34" i="15"/>
  <c r="O21" i="15"/>
  <c r="P21" i="15"/>
  <c r="F22" i="15"/>
  <c r="G22" i="15"/>
  <c r="L22" i="15"/>
  <c r="M22" i="15"/>
  <c r="N22" i="15"/>
  <c r="O22" i="15"/>
  <c r="K23" i="15"/>
  <c r="M24" i="15"/>
  <c r="N24" i="15"/>
  <c r="O24" i="15"/>
  <c r="M27" i="15"/>
  <c r="N27" i="15"/>
  <c r="O27" i="15"/>
  <c r="E22" i="15"/>
  <c r="E24" i="15"/>
  <c r="G5" i="15"/>
  <c r="J5" i="15"/>
  <c r="K5" i="15"/>
  <c r="D20" i="15" s="1"/>
  <c r="L5" i="15"/>
  <c r="D35" i="15" s="1"/>
  <c r="F35" i="15" s="1"/>
  <c r="Y5" i="15"/>
  <c r="G6" i="15"/>
  <c r="J6" i="15"/>
  <c r="K6" i="15"/>
  <c r="D21" i="15" s="1"/>
  <c r="J21" i="15" s="1"/>
  <c r="L6" i="15"/>
  <c r="D36" i="15" s="1"/>
  <c r="Y6" i="15"/>
  <c r="G7" i="15"/>
  <c r="J7" i="15"/>
  <c r="K7" i="15"/>
  <c r="D22" i="15" s="1"/>
  <c r="H22" i="15" s="1"/>
  <c r="L7" i="15"/>
  <c r="Y7" i="15"/>
  <c r="G8" i="15"/>
  <c r="J8" i="15"/>
  <c r="K8" i="15"/>
  <c r="D23" i="15" s="1"/>
  <c r="L23" i="15" s="1"/>
  <c r="L8" i="15"/>
  <c r="D38" i="15" s="1"/>
  <c r="F38" i="15" s="1"/>
  <c r="Y8" i="15"/>
  <c r="G9" i="15"/>
  <c r="J9" i="15"/>
  <c r="K9" i="15"/>
  <c r="D24" i="15" s="1"/>
  <c r="F24" i="15" s="1"/>
  <c r="L9" i="15"/>
  <c r="D39" i="15" s="1"/>
  <c r="Y9" i="15"/>
  <c r="G10" i="15"/>
  <c r="J10" i="15"/>
  <c r="K10" i="15"/>
  <c r="D25" i="15" s="1"/>
  <c r="F25" i="15" s="1"/>
  <c r="L10" i="15"/>
  <c r="D40" i="15" s="1"/>
  <c r="Y10" i="15"/>
  <c r="G11" i="15"/>
  <c r="J11" i="15"/>
  <c r="K11" i="15"/>
  <c r="D26" i="15" s="1"/>
  <c r="L11" i="15"/>
  <c r="D41" i="15" s="1"/>
  <c r="Y11" i="15"/>
  <c r="G12" i="15"/>
  <c r="J12" i="15"/>
  <c r="K12" i="15"/>
  <c r="D27" i="15" s="1"/>
  <c r="P27" i="15" s="1"/>
  <c r="L12" i="15"/>
  <c r="D42" i="15" s="1"/>
  <c r="Y12" i="15"/>
  <c r="G13" i="15"/>
  <c r="J13" i="15"/>
  <c r="K13" i="15"/>
  <c r="D28" i="15" s="1"/>
  <c r="F28" i="15" s="1"/>
  <c r="L13" i="15"/>
  <c r="D43" i="15" s="1"/>
  <c r="Y13" i="15"/>
  <c r="C20" i="15"/>
  <c r="C21" i="15"/>
  <c r="C22" i="15"/>
  <c r="C23" i="15"/>
  <c r="C24" i="15"/>
  <c r="C25" i="15"/>
  <c r="C26" i="15"/>
  <c r="C27" i="15"/>
  <c r="C28" i="15"/>
  <c r="C19" i="15"/>
  <c r="Y4" i="15"/>
  <c r="L4" i="15"/>
  <c r="D34" i="15" s="1"/>
  <c r="F34" i="15" s="1"/>
  <c r="K4" i="15"/>
  <c r="D19" i="15" s="1"/>
  <c r="J4" i="15"/>
  <c r="G4" i="1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E23" i="5"/>
  <c r="E73" i="5" s="1"/>
  <c r="D23" i="5"/>
  <c r="E22" i="5"/>
  <c r="E72" i="5" s="1"/>
  <c r="D22" i="5"/>
  <c r="E21" i="5"/>
  <c r="E71" i="5" s="1"/>
  <c r="D21" i="5"/>
  <c r="E20" i="5"/>
  <c r="E70" i="5" s="1"/>
  <c r="D20" i="5"/>
  <c r="E19" i="5"/>
  <c r="E69" i="5" s="1"/>
  <c r="D19" i="5"/>
  <c r="E18" i="5"/>
  <c r="E68" i="5" s="1"/>
  <c r="D18" i="5"/>
  <c r="E17" i="5"/>
  <c r="E67" i="5" s="1"/>
  <c r="I67" i="5" s="1"/>
  <c r="D17" i="5"/>
  <c r="E16" i="5"/>
  <c r="E66" i="5" s="1"/>
  <c r="D16" i="5"/>
  <c r="E15" i="5"/>
  <c r="E65" i="5" s="1"/>
  <c r="Q65" i="5" s="1"/>
  <c r="D15" i="5"/>
  <c r="E14" i="5"/>
  <c r="E64" i="5" s="1"/>
  <c r="D14" i="5"/>
  <c r="E13" i="5"/>
  <c r="E63" i="5" s="1"/>
  <c r="D13" i="5"/>
  <c r="E12" i="5"/>
  <c r="E62" i="5" s="1"/>
  <c r="L62" i="5" s="1"/>
  <c r="D12" i="5"/>
  <c r="E11" i="5"/>
  <c r="E61" i="5" s="1"/>
  <c r="Q61" i="5" s="1"/>
  <c r="D11" i="5"/>
  <c r="E10" i="5"/>
  <c r="E60" i="5" s="1"/>
  <c r="D10" i="5"/>
  <c r="E9" i="5"/>
  <c r="E59" i="5" s="1"/>
  <c r="D9" i="5"/>
  <c r="E8" i="5"/>
  <c r="E58" i="5" s="1"/>
  <c r="D8" i="5"/>
  <c r="E7" i="5"/>
  <c r="E57" i="5" s="1"/>
  <c r="D7" i="5"/>
  <c r="E6" i="5"/>
  <c r="E56" i="5" s="1"/>
  <c r="D6" i="5"/>
  <c r="E5" i="5"/>
  <c r="E55" i="5" s="1"/>
  <c r="D5" i="5"/>
  <c r="E4" i="5"/>
  <c r="E54" i="5" s="1"/>
  <c r="D4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80" i="5"/>
  <c r="AO13" i="3"/>
  <c r="AP13" i="3"/>
  <c r="I23" i="15" l="1"/>
  <c r="H23" i="15"/>
  <c r="Q22" i="15"/>
  <c r="F23" i="15"/>
  <c r="E21" i="15"/>
  <c r="P22" i="15"/>
  <c r="E23" i="15"/>
  <c r="K22" i="15"/>
  <c r="J23" i="15"/>
  <c r="L27" i="15"/>
  <c r="K27" i="15"/>
  <c r="P24" i="15"/>
  <c r="J22" i="15"/>
  <c r="G23" i="15"/>
  <c r="I22" i="15"/>
  <c r="O37" i="15"/>
  <c r="K26" i="15"/>
  <c r="L26" i="15"/>
  <c r="F26" i="15"/>
  <c r="G26" i="15"/>
  <c r="J26" i="15"/>
  <c r="M26" i="15"/>
  <c r="E26" i="15"/>
  <c r="H26" i="15"/>
  <c r="N26" i="15"/>
  <c r="P26" i="15"/>
  <c r="I26" i="15"/>
  <c r="O26" i="15"/>
  <c r="K36" i="15"/>
  <c r="L36" i="15"/>
  <c r="F36" i="15"/>
  <c r="G36" i="15"/>
  <c r="H36" i="15"/>
  <c r="J36" i="15"/>
  <c r="M36" i="15"/>
  <c r="P36" i="15"/>
  <c r="N36" i="15"/>
  <c r="I36" i="15"/>
  <c r="O36" i="15"/>
  <c r="E36" i="15"/>
  <c r="I42" i="15"/>
  <c r="F42" i="15"/>
  <c r="J42" i="15"/>
  <c r="O42" i="15"/>
  <c r="P42" i="15"/>
  <c r="K42" i="15"/>
  <c r="N42" i="15"/>
  <c r="L42" i="15"/>
  <c r="E42" i="15"/>
  <c r="M42" i="15"/>
  <c r="G42" i="15"/>
  <c r="H42" i="15"/>
  <c r="L41" i="15"/>
  <c r="N41" i="15"/>
  <c r="O41" i="15"/>
  <c r="P41" i="15"/>
  <c r="F41" i="15"/>
  <c r="M41" i="15"/>
  <c r="G41" i="15"/>
  <c r="I41" i="15"/>
  <c r="J41" i="15"/>
  <c r="K41" i="15"/>
  <c r="H41" i="15"/>
  <c r="E41" i="15"/>
  <c r="O40" i="15"/>
  <c r="N40" i="15"/>
  <c r="P40" i="15"/>
  <c r="F40" i="15"/>
  <c r="H40" i="15"/>
  <c r="M40" i="15"/>
  <c r="I40" i="15"/>
  <c r="E40" i="15"/>
  <c r="J40" i="15"/>
  <c r="K40" i="15"/>
  <c r="L40" i="15"/>
  <c r="G40" i="15"/>
  <c r="N43" i="15"/>
  <c r="O43" i="15"/>
  <c r="K43" i="15"/>
  <c r="P43" i="15"/>
  <c r="F43" i="15"/>
  <c r="E43" i="15"/>
  <c r="M43" i="15"/>
  <c r="G43" i="15"/>
  <c r="I43" i="15"/>
  <c r="J43" i="15"/>
  <c r="H43" i="15"/>
  <c r="L43" i="15"/>
  <c r="J39" i="15"/>
  <c r="H39" i="15"/>
  <c r="K39" i="15"/>
  <c r="L39" i="15"/>
  <c r="O39" i="15"/>
  <c r="G39" i="15"/>
  <c r="I39" i="15"/>
  <c r="M39" i="15"/>
  <c r="N39" i="15"/>
  <c r="P39" i="15"/>
  <c r="E39" i="15"/>
  <c r="F39" i="15"/>
  <c r="M20" i="15"/>
  <c r="K20" i="15"/>
  <c r="L20" i="15"/>
  <c r="N20" i="15"/>
  <c r="F20" i="15"/>
  <c r="G20" i="15"/>
  <c r="H20" i="15"/>
  <c r="O20" i="15"/>
  <c r="J20" i="15"/>
  <c r="P20" i="15"/>
  <c r="E20" i="15"/>
  <c r="I20" i="15"/>
  <c r="M37" i="15"/>
  <c r="M21" i="15"/>
  <c r="P38" i="15"/>
  <c r="J27" i="15"/>
  <c r="L21" i="15"/>
  <c r="J37" i="15"/>
  <c r="J24" i="15"/>
  <c r="O35" i="15"/>
  <c r="M28" i="15"/>
  <c r="H24" i="15"/>
  <c r="M35" i="15"/>
  <c r="K28" i="15"/>
  <c r="L25" i="15"/>
  <c r="H21" i="15"/>
  <c r="J28" i="15"/>
  <c r="E28" i="15"/>
  <c r="I28" i="15"/>
  <c r="J25" i="15"/>
  <c r="P23" i="15"/>
  <c r="F21" i="15"/>
  <c r="I38" i="15"/>
  <c r="J35" i="15"/>
  <c r="K24" i="15"/>
  <c r="O38" i="15"/>
  <c r="N28" i="15"/>
  <c r="N38" i="15"/>
  <c r="I24" i="15"/>
  <c r="H37" i="15"/>
  <c r="M25" i="15"/>
  <c r="L38" i="15"/>
  <c r="F27" i="15"/>
  <c r="L35" i="15"/>
  <c r="K35" i="15"/>
  <c r="E27" i="15"/>
  <c r="H28" i="15"/>
  <c r="I25" i="15"/>
  <c r="O23" i="15"/>
  <c r="E35" i="15"/>
  <c r="H38" i="15"/>
  <c r="I35" i="15"/>
  <c r="N37" i="15"/>
  <c r="L37" i="15"/>
  <c r="L24" i="15"/>
  <c r="K37" i="15"/>
  <c r="O28" i="15"/>
  <c r="O25" i="15"/>
  <c r="K21" i="15"/>
  <c r="I37" i="15"/>
  <c r="N25" i="15"/>
  <c r="M38" i="15"/>
  <c r="G27" i="15"/>
  <c r="I21" i="15"/>
  <c r="G37" i="15"/>
  <c r="G24" i="15"/>
  <c r="E38" i="15"/>
  <c r="F37" i="15"/>
  <c r="G21" i="15"/>
  <c r="E37" i="15"/>
  <c r="G28" i="15"/>
  <c r="H25" i="15"/>
  <c r="N23" i="15"/>
  <c r="G38" i="15"/>
  <c r="H35" i="15"/>
  <c r="N21" i="15"/>
  <c r="P28" i="15"/>
  <c r="P25" i="15"/>
  <c r="P35" i="15"/>
  <c r="I27" i="15"/>
  <c r="H27" i="15"/>
  <c r="N35" i="15"/>
  <c r="L28" i="15"/>
  <c r="K38" i="15"/>
  <c r="K25" i="15"/>
  <c r="J38" i="15"/>
  <c r="E25" i="15"/>
  <c r="G25" i="15"/>
  <c r="M23" i="15"/>
  <c r="G35" i="15"/>
  <c r="P34" i="15"/>
  <c r="O34" i="15"/>
  <c r="N34" i="15"/>
  <c r="E34" i="15"/>
  <c r="M34" i="15"/>
  <c r="L34" i="15"/>
  <c r="K34" i="15"/>
  <c r="J34" i="15"/>
  <c r="I34" i="15"/>
  <c r="H34" i="15"/>
  <c r="L19" i="15"/>
  <c r="N19" i="15"/>
  <c r="O19" i="15"/>
  <c r="G34" i="15"/>
  <c r="K19" i="15"/>
  <c r="K29" i="15" s="1"/>
  <c r="J19" i="15"/>
  <c r="P19" i="15"/>
  <c r="E19" i="15"/>
  <c r="H19" i="15"/>
  <c r="G19" i="15"/>
  <c r="M19" i="15"/>
  <c r="I19" i="15"/>
  <c r="F19" i="15"/>
  <c r="D29" i="15"/>
  <c r="D44" i="15"/>
  <c r="F44" i="15"/>
  <c r="O66" i="5"/>
  <c r="I66" i="5"/>
  <c r="M64" i="5"/>
  <c r="P64" i="5"/>
  <c r="O64" i="5"/>
  <c r="N64" i="5"/>
  <c r="M68" i="5"/>
  <c r="O68" i="5"/>
  <c r="N68" i="5"/>
  <c r="Q68" i="5"/>
  <c r="P68" i="5"/>
  <c r="I63" i="5"/>
  <c r="K63" i="5"/>
  <c r="J63" i="5"/>
  <c r="Q69" i="5"/>
  <c r="I69" i="5"/>
  <c r="H69" i="5"/>
  <c r="G69" i="5"/>
  <c r="F69" i="5"/>
  <c r="K67" i="5"/>
  <c r="J66" i="5"/>
  <c r="J67" i="5"/>
  <c r="M67" i="5"/>
  <c r="O67" i="5"/>
  <c r="F66" i="5"/>
  <c r="L67" i="5"/>
  <c r="G66" i="5"/>
  <c r="N67" i="5"/>
  <c r="H66" i="5"/>
  <c r="M60" i="5"/>
  <c r="P60" i="5"/>
  <c r="L60" i="5"/>
  <c r="K60" i="5"/>
  <c r="F60" i="5"/>
  <c r="J60" i="5"/>
  <c r="O60" i="5"/>
  <c r="I60" i="5"/>
  <c r="N60" i="5"/>
  <c r="H60" i="5"/>
  <c r="G60" i="5"/>
  <c r="Q60" i="5"/>
  <c r="I55" i="5"/>
  <c r="P55" i="5"/>
  <c r="H55" i="5"/>
  <c r="G55" i="5"/>
  <c r="Q55" i="5"/>
  <c r="N55" i="5"/>
  <c r="F55" i="5"/>
  <c r="K55" i="5"/>
  <c r="J55" i="5"/>
  <c r="L55" i="5"/>
  <c r="O55" i="5"/>
  <c r="M55" i="5"/>
  <c r="M72" i="5"/>
  <c r="N72" i="5"/>
  <c r="L72" i="5"/>
  <c r="K72" i="5"/>
  <c r="G72" i="5"/>
  <c r="J72" i="5"/>
  <c r="P72" i="5"/>
  <c r="I72" i="5"/>
  <c r="Q72" i="5"/>
  <c r="O72" i="5"/>
  <c r="H72" i="5"/>
  <c r="F72" i="5"/>
  <c r="L70" i="5"/>
  <c r="J70" i="5"/>
  <c r="H70" i="5"/>
  <c r="N70" i="5"/>
  <c r="M70" i="5"/>
  <c r="G70" i="5"/>
  <c r="F70" i="5"/>
  <c r="Q70" i="5"/>
  <c r="O70" i="5"/>
  <c r="P70" i="5"/>
  <c r="K70" i="5"/>
  <c r="I70" i="5"/>
  <c r="I71" i="5"/>
  <c r="L71" i="5"/>
  <c r="H71" i="5"/>
  <c r="G71" i="5"/>
  <c r="Q71" i="5"/>
  <c r="M71" i="5"/>
  <c r="F71" i="5"/>
  <c r="P71" i="5"/>
  <c r="O71" i="5"/>
  <c r="N71" i="5"/>
  <c r="J71" i="5"/>
  <c r="K71" i="5"/>
  <c r="Q57" i="5"/>
  <c r="F57" i="5"/>
  <c r="P57" i="5"/>
  <c r="G57" i="5"/>
  <c r="O57" i="5"/>
  <c r="N57" i="5"/>
  <c r="K57" i="5"/>
  <c r="J57" i="5"/>
  <c r="M57" i="5"/>
  <c r="H57" i="5"/>
  <c r="L57" i="5"/>
  <c r="I57" i="5"/>
  <c r="O58" i="5"/>
  <c r="N58" i="5"/>
  <c r="I58" i="5"/>
  <c r="L58" i="5"/>
  <c r="M58" i="5"/>
  <c r="K58" i="5"/>
  <c r="H58" i="5"/>
  <c r="Q58" i="5"/>
  <c r="J58" i="5"/>
  <c r="G58" i="5"/>
  <c r="F58" i="5"/>
  <c r="P58" i="5"/>
  <c r="M54" i="5"/>
  <c r="K54" i="5"/>
  <c r="I54" i="5"/>
  <c r="F54" i="5"/>
  <c r="N54" i="5"/>
  <c r="J54" i="5"/>
  <c r="H54" i="5"/>
  <c r="Q54" i="5"/>
  <c r="O54" i="5"/>
  <c r="P54" i="5"/>
  <c r="L54" i="5"/>
  <c r="G54" i="5"/>
  <c r="Q73" i="5"/>
  <c r="H73" i="5"/>
  <c r="F73" i="5"/>
  <c r="P73" i="5"/>
  <c r="J73" i="5"/>
  <c r="G73" i="5"/>
  <c r="O73" i="5"/>
  <c r="N73" i="5"/>
  <c r="M73" i="5"/>
  <c r="I73" i="5"/>
  <c r="L73" i="5"/>
  <c r="K73" i="5"/>
  <c r="I59" i="5"/>
  <c r="J59" i="5"/>
  <c r="H59" i="5"/>
  <c r="N59" i="5"/>
  <c r="G59" i="5"/>
  <c r="M59" i="5"/>
  <c r="L59" i="5"/>
  <c r="F59" i="5"/>
  <c r="P59" i="5"/>
  <c r="Q59" i="5"/>
  <c r="O59" i="5"/>
  <c r="K59" i="5"/>
  <c r="M56" i="5"/>
  <c r="G56" i="5"/>
  <c r="P56" i="5"/>
  <c r="O56" i="5"/>
  <c r="L56" i="5"/>
  <c r="N56" i="5"/>
  <c r="K56" i="5"/>
  <c r="J56" i="5"/>
  <c r="I56" i="5"/>
  <c r="Q56" i="5"/>
  <c r="H56" i="5"/>
  <c r="F56" i="5"/>
  <c r="G62" i="5"/>
  <c r="Q64" i="5"/>
  <c r="K62" i="5"/>
  <c r="L66" i="5"/>
  <c r="M66" i="5"/>
  <c r="J61" i="5"/>
  <c r="L61" i="5"/>
  <c r="P62" i="5"/>
  <c r="H64" i="5"/>
  <c r="L65" i="5"/>
  <c r="P66" i="5"/>
  <c r="H68" i="5"/>
  <c r="L69" i="5"/>
  <c r="M63" i="5"/>
  <c r="N63" i="5"/>
  <c r="Q63" i="5"/>
  <c r="F68" i="5"/>
  <c r="O62" i="5"/>
  <c r="M61" i="5"/>
  <c r="Q62" i="5"/>
  <c r="I64" i="5"/>
  <c r="M65" i="5"/>
  <c r="Q66" i="5"/>
  <c r="I68" i="5"/>
  <c r="M69" i="5"/>
  <c r="F62" i="5"/>
  <c r="O63" i="5"/>
  <c r="P63" i="5"/>
  <c r="I61" i="5"/>
  <c r="I65" i="5"/>
  <c r="N62" i="5"/>
  <c r="G64" i="5"/>
  <c r="K69" i="5"/>
  <c r="N61" i="5"/>
  <c r="F63" i="5"/>
  <c r="J64" i="5"/>
  <c r="N65" i="5"/>
  <c r="F67" i="5"/>
  <c r="J68" i="5"/>
  <c r="N69" i="5"/>
  <c r="H62" i="5"/>
  <c r="I62" i="5"/>
  <c r="P67" i="5"/>
  <c r="M62" i="5"/>
  <c r="J65" i="5"/>
  <c r="J69" i="5"/>
  <c r="O61" i="5"/>
  <c r="G63" i="5"/>
  <c r="K64" i="5"/>
  <c r="O65" i="5"/>
  <c r="G67" i="5"/>
  <c r="K68" i="5"/>
  <c r="O69" i="5"/>
  <c r="J62" i="5"/>
  <c r="G61" i="5"/>
  <c r="G65" i="5"/>
  <c r="N66" i="5"/>
  <c r="G68" i="5"/>
  <c r="P61" i="5"/>
  <c r="H63" i="5"/>
  <c r="L64" i="5"/>
  <c r="P65" i="5"/>
  <c r="H67" i="5"/>
  <c r="L68" i="5"/>
  <c r="P69" i="5"/>
  <c r="L63" i="5"/>
  <c r="F61" i="5"/>
  <c r="F65" i="5"/>
  <c r="K66" i="5"/>
  <c r="H61" i="5"/>
  <c r="H65" i="5"/>
  <c r="Q67" i="5"/>
  <c r="F64" i="5"/>
  <c r="K61" i="5"/>
  <c r="K65" i="5"/>
  <c r="AL33" i="3"/>
  <c r="AL32" i="3"/>
  <c r="AL31" i="3"/>
  <c r="AI33" i="3"/>
  <c r="AI32" i="3"/>
  <c r="AI31" i="3"/>
  <c r="AF33" i="3"/>
  <c r="AF32" i="3"/>
  <c r="AF31" i="3"/>
  <c r="AC33" i="3"/>
  <c r="AC32" i="3"/>
  <c r="AC31" i="3"/>
  <c r="Z33" i="3"/>
  <c r="Z32" i="3"/>
  <c r="Z31" i="3"/>
  <c r="W33" i="3"/>
  <c r="W32" i="3"/>
  <c r="T33" i="3"/>
  <c r="T32" i="3"/>
  <c r="T31" i="3"/>
  <c r="Q33" i="3"/>
  <c r="Q32" i="3"/>
  <c r="Q31" i="3"/>
  <c r="N33" i="3"/>
  <c r="N32" i="3"/>
  <c r="N31" i="3"/>
  <c r="K33" i="3"/>
  <c r="K32" i="3"/>
  <c r="K31" i="3"/>
  <c r="H33" i="3"/>
  <c r="H32" i="3"/>
  <c r="H31" i="3"/>
  <c r="AK11" i="3"/>
  <c r="AL11" i="3" s="1"/>
  <c r="AZ11" i="3" s="1"/>
  <c r="AH11" i="3"/>
  <c r="AI11" i="3" s="1"/>
  <c r="AY11" i="3" s="1"/>
  <c r="AE11" i="3"/>
  <c r="AF11" i="3" s="1"/>
  <c r="AX11" i="3" s="1"/>
  <c r="AB11" i="3"/>
  <c r="AC11" i="3" s="1"/>
  <c r="AW11" i="3" s="1"/>
  <c r="Y11" i="3"/>
  <c r="Z11" i="3" s="1"/>
  <c r="AV11" i="3" s="1"/>
  <c r="V11" i="3"/>
  <c r="W11" i="3" s="1"/>
  <c r="AU11" i="3" s="1"/>
  <c r="T11" i="3"/>
  <c r="AT11" i="3" s="1"/>
  <c r="P11" i="3"/>
  <c r="Q11" i="3" s="1"/>
  <c r="AS11" i="3" s="1"/>
  <c r="AR11" i="3"/>
  <c r="AQ11" i="3"/>
  <c r="AP11" i="3"/>
  <c r="AO11" i="3"/>
  <c r="AK10" i="3"/>
  <c r="AL10" i="3" s="1"/>
  <c r="AZ10" i="3" s="1"/>
  <c r="AH10" i="3"/>
  <c r="AI10" i="3" s="1"/>
  <c r="AY10" i="3" s="1"/>
  <c r="AE10" i="3"/>
  <c r="AF10" i="3" s="1"/>
  <c r="AX10" i="3" s="1"/>
  <c r="AB10" i="3"/>
  <c r="AC10" i="3" s="1"/>
  <c r="AW10" i="3" s="1"/>
  <c r="Y10" i="3"/>
  <c r="Z10" i="3" s="1"/>
  <c r="AV10" i="3" s="1"/>
  <c r="V10" i="3"/>
  <c r="W10" i="3" s="1"/>
  <c r="AU10" i="3" s="1"/>
  <c r="T10" i="3"/>
  <c r="AT10" i="3" s="1"/>
  <c r="P10" i="3"/>
  <c r="Q10" i="3" s="1"/>
  <c r="AS10" i="3" s="1"/>
  <c r="AR10" i="3"/>
  <c r="AQ10" i="3"/>
  <c r="AP10" i="3"/>
  <c r="AO10" i="3"/>
  <c r="AK9" i="3"/>
  <c r="AL9" i="3" s="1"/>
  <c r="AZ9" i="3" s="1"/>
  <c r="AH9" i="3"/>
  <c r="AI9" i="3" s="1"/>
  <c r="AY9" i="3" s="1"/>
  <c r="AE9" i="3"/>
  <c r="AF9" i="3" s="1"/>
  <c r="AX9" i="3" s="1"/>
  <c r="AB9" i="3"/>
  <c r="AC9" i="3" s="1"/>
  <c r="AW9" i="3" s="1"/>
  <c r="Y9" i="3"/>
  <c r="Z9" i="3" s="1"/>
  <c r="AV9" i="3" s="1"/>
  <c r="V9" i="3"/>
  <c r="W9" i="3" s="1"/>
  <c r="AU9" i="3" s="1"/>
  <c r="T9" i="3"/>
  <c r="AT9" i="3" s="1"/>
  <c r="P9" i="3"/>
  <c r="Q9" i="3" s="1"/>
  <c r="AS9" i="3" s="1"/>
  <c r="AR9" i="3"/>
  <c r="AQ9" i="3"/>
  <c r="AP9" i="3"/>
  <c r="AO9" i="3"/>
  <c r="AK8" i="3"/>
  <c r="AL8" i="3" s="1"/>
  <c r="AZ8" i="3" s="1"/>
  <c r="AH8" i="3"/>
  <c r="AI8" i="3" s="1"/>
  <c r="AY8" i="3" s="1"/>
  <c r="AE8" i="3"/>
  <c r="AF8" i="3" s="1"/>
  <c r="AX8" i="3" s="1"/>
  <c r="AB8" i="3"/>
  <c r="AC8" i="3" s="1"/>
  <c r="AW8" i="3" s="1"/>
  <c r="Y8" i="3"/>
  <c r="Z8" i="3" s="1"/>
  <c r="AV8" i="3" s="1"/>
  <c r="V8" i="3"/>
  <c r="W8" i="3" s="1"/>
  <c r="AU8" i="3" s="1"/>
  <c r="T8" i="3"/>
  <c r="AT8" i="3" s="1"/>
  <c r="P8" i="3"/>
  <c r="Q8" i="3" s="1"/>
  <c r="AS8" i="3" s="1"/>
  <c r="AR8" i="3"/>
  <c r="AQ8" i="3"/>
  <c r="AP8" i="3"/>
  <c r="AO8" i="3"/>
  <c r="AK7" i="3"/>
  <c r="AL7" i="3" s="1"/>
  <c r="AZ7" i="3" s="1"/>
  <c r="AH7" i="3"/>
  <c r="AI7" i="3" s="1"/>
  <c r="AY7" i="3" s="1"/>
  <c r="AE7" i="3"/>
  <c r="AF7" i="3" s="1"/>
  <c r="AX7" i="3" s="1"/>
  <c r="AB7" i="3"/>
  <c r="AC7" i="3" s="1"/>
  <c r="AW7" i="3" s="1"/>
  <c r="Y7" i="3"/>
  <c r="Z7" i="3" s="1"/>
  <c r="AV7" i="3" s="1"/>
  <c r="V7" i="3"/>
  <c r="W7" i="3" s="1"/>
  <c r="AU7" i="3" s="1"/>
  <c r="T7" i="3"/>
  <c r="AT7" i="3" s="1"/>
  <c r="P7" i="3"/>
  <c r="Q7" i="3" s="1"/>
  <c r="AS7" i="3" s="1"/>
  <c r="AR7" i="3"/>
  <c r="AQ7" i="3"/>
  <c r="AP7" i="3"/>
  <c r="BA109" i="3"/>
  <c r="AZ109" i="3"/>
  <c r="AY109" i="3"/>
  <c r="AX109" i="3"/>
  <c r="AW109" i="3"/>
  <c r="AV109" i="3"/>
  <c r="AU109" i="3"/>
  <c r="AT109" i="3"/>
  <c r="AS109" i="3"/>
  <c r="AR109" i="3"/>
  <c r="AQ109" i="3"/>
  <c r="AP109" i="3"/>
  <c r="AO109" i="3"/>
  <c r="AZ80" i="3"/>
  <c r="AZ79" i="3"/>
  <c r="AY79" i="3"/>
  <c r="AX79" i="3"/>
  <c r="AW79" i="3"/>
  <c r="AV79" i="3"/>
  <c r="AU79" i="3"/>
  <c r="AT79" i="3"/>
  <c r="AS79" i="3"/>
  <c r="AR79" i="3"/>
  <c r="AQ79" i="3"/>
  <c r="AP79" i="3"/>
  <c r="AO79" i="3"/>
  <c r="AZ78" i="3"/>
  <c r="AY78" i="3"/>
  <c r="AX78" i="3"/>
  <c r="AW78" i="3"/>
  <c r="AV78" i="3"/>
  <c r="AU78" i="3"/>
  <c r="AT78" i="3"/>
  <c r="AS78" i="3"/>
  <c r="AR78" i="3"/>
  <c r="AQ78" i="3"/>
  <c r="AP78" i="3"/>
  <c r="AO78" i="3"/>
  <c r="AZ75" i="3"/>
  <c r="AY75" i="3"/>
  <c r="AX75" i="3"/>
  <c r="AW75" i="3"/>
  <c r="AV75" i="3"/>
  <c r="AU75" i="3"/>
  <c r="AT75" i="3"/>
  <c r="AS75" i="3"/>
  <c r="AR75" i="3"/>
  <c r="AQ75" i="3"/>
  <c r="AP75" i="3"/>
  <c r="AZ74" i="3"/>
  <c r="AY74" i="3"/>
  <c r="AX74" i="3"/>
  <c r="AW74" i="3"/>
  <c r="AV74" i="3"/>
  <c r="AU74" i="3"/>
  <c r="AT74" i="3"/>
  <c r="AS74" i="3"/>
  <c r="AR74" i="3"/>
  <c r="AQ74" i="3"/>
  <c r="AP74" i="3"/>
  <c r="AZ73" i="3"/>
  <c r="AY73" i="3"/>
  <c r="AX73" i="3"/>
  <c r="AW73" i="3"/>
  <c r="AV73" i="3"/>
  <c r="AU73" i="3"/>
  <c r="AT73" i="3"/>
  <c r="AS73" i="3"/>
  <c r="AR73" i="3"/>
  <c r="AQ73" i="3"/>
  <c r="AP73" i="3"/>
  <c r="AO73" i="3"/>
  <c r="AZ72" i="3"/>
  <c r="AY72" i="3"/>
  <c r="AX72" i="3"/>
  <c r="AW72" i="3"/>
  <c r="AV72" i="3"/>
  <c r="AU72" i="3"/>
  <c r="AT72" i="3"/>
  <c r="AS72" i="3"/>
  <c r="AR72" i="3"/>
  <c r="AQ72" i="3"/>
  <c r="AP72" i="3"/>
  <c r="AO72" i="3"/>
  <c r="AZ70" i="3"/>
  <c r="AY70" i="3"/>
  <c r="AX70" i="3"/>
  <c r="AW70" i="3"/>
  <c r="AV70" i="3"/>
  <c r="AU70" i="3"/>
  <c r="AS70" i="3"/>
  <c r="AR70" i="3"/>
  <c r="AP70" i="3"/>
  <c r="AO70" i="3"/>
  <c r="AZ67" i="3"/>
  <c r="AY67" i="3"/>
  <c r="AX67" i="3"/>
  <c r="AW67" i="3"/>
  <c r="AV67" i="3"/>
  <c r="AU67" i="3"/>
  <c r="AS67" i="3"/>
  <c r="AR67" i="3"/>
  <c r="AZ66" i="3"/>
  <c r="AY66" i="3"/>
  <c r="AX66" i="3"/>
  <c r="AW66" i="3"/>
  <c r="AV66" i="3"/>
  <c r="AU66" i="3"/>
  <c r="AS66" i="3"/>
  <c r="AR66" i="3"/>
  <c r="AZ65" i="3"/>
  <c r="AY65" i="3"/>
  <c r="AX65" i="3"/>
  <c r="AW65" i="3"/>
  <c r="AV65" i="3"/>
  <c r="AU65" i="3"/>
  <c r="AS65" i="3"/>
  <c r="AR65" i="3"/>
  <c r="AZ64" i="3"/>
  <c r="AY64" i="3"/>
  <c r="AX64" i="3"/>
  <c r="AW64" i="3"/>
  <c r="AV64" i="3"/>
  <c r="AU64" i="3"/>
  <c r="AS64" i="3"/>
  <c r="AR64" i="3"/>
  <c r="AZ63" i="3"/>
  <c r="AY63" i="3"/>
  <c r="AW63" i="3"/>
  <c r="AV63" i="3"/>
  <c r="AU63" i="3"/>
  <c r="AS63" i="3"/>
  <c r="AR63" i="3"/>
  <c r="AZ62" i="3"/>
  <c r="AY62" i="3"/>
  <c r="AX62" i="3"/>
  <c r="AV62" i="3"/>
  <c r="AU62" i="3"/>
  <c r="AS62" i="3"/>
  <c r="AR62" i="3"/>
  <c r="AZ61" i="3"/>
  <c r="AY61" i="3"/>
  <c r="AX61" i="3"/>
  <c r="AW61" i="3"/>
  <c r="AV61" i="3"/>
  <c r="AU61" i="3"/>
  <c r="AS61" i="3"/>
  <c r="AR61" i="3"/>
  <c r="AQ61" i="3"/>
  <c r="AY60" i="3"/>
  <c r="AX60" i="3"/>
  <c r="AV60" i="3"/>
  <c r="AU60" i="3"/>
  <c r="AS60" i="3"/>
  <c r="AQ60" i="3"/>
  <c r="AP60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Z54" i="3"/>
  <c r="AY54" i="3"/>
  <c r="AX54" i="3"/>
  <c r="AW54" i="3"/>
  <c r="AV54" i="3"/>
  <c r="AU54" i="3"/>
  <c r="AT54" i="3"/>
  <c r="AS54" i="3"/>
  <c r="AR54" i="3"/>
  <c r="AQ54" i="3"/>
  <c r="AP54" i="3"/>
  <c r="AO54" i="3"/>
  <c r="AZ53" i="3"/>
  <c r="AY53" i="3"/>
  <c r="AX53" i="3"/>
  <c r="AW53" i="3"/>
  <c r="AV53" i="3"/>
  <c r="AU53" i="3"/>
  <c r="AT53" i="3"/>
  <c r="AS53" i="3"/>
  <c r="AR53" i="3"/>
  <c r="AQ53" i="3"/>
  <c r="AP53" i="3"/>
  <c r="AO53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Z48" i="3"/>
  <c r="AY48" i="3"/>
  <c r="AX48" i="3"/>
  <c r="AW48" i="3"/>
  <c r="AV48" i="3"/>
  <c r="AU48" i="3"/>
  <c r="AS48" i="3"/>
  <c r="AR48" i="3"/>
  <c r="AQ48" i="3"/>
  <c r="AO48" i="3"/>
  <c r="AY47" i="3"/>
  <c r="AX47" i="3"/>
  <c r="AW47" i="3"/>
  <c r="AV47" i="3"/>
  <c r="AT47" i="3"/>
  <c r="AR47" i="3"/>
  <c r="AO47" i="3"/>
  <c r="AZ46" i="3"/>
  <c r="AY46" i="3"/>
  <c r="AX46" i="3"/>
  <c r="AW46" i="3"/>
  <c r="AV46" i="3"/>
  <c r="AU46" i="3"/>
  <c r="AT46" i="3"/>
  <c r="AS46" i="3"/>
  <c r="AR46" i="3"/>
  <c r="AP46" i="3"/>
  <c r="AO46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Z42" i="3"/>
  <c r="AY42" i="3"/>
  <c r="AX42" i="3"/>
  <c r="AW42" i="3"/>
  <c r="AV42" i="3"/>
  <c r="AU42" i="3"/>
  <c r="AT42" i="3"/>
  <c r="AS42" i="3"/>
  <c r="AR42" i="3"/>
  <c r="AQ42" i="3"/>
  <c r="AO42" i="3"/>
  <c r="AZ41" i="3"/>
  <c r="AY41" i="3"/>
  <c r="AX41" i="3"/>
  <c r="AW41" i="3"/>
  <c r="AV41" i="3"/>
  <c r="AU41" i="3"/>
  <c r="AT41" i="3"/>
  <c r="AS41" i="3"/>
  <c r="AQ41" i="3"/>
  <c r="AO41" i="3"/>
  <c r="AY40" i="3"/>
  <c r="AX40" i="3"/>
  <c r="AW40" i="3"/>
  <c r="AU40" i="3"/>
  <c r="AT40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Y37" i="3"/>
  <c r="AX37" i="3"/>
  <c r="AW37" i="3"/>
  <c r="AV37" i="3"/>
  <c r="AU37" i="3"/>
  <c r="AT37" i="3"/>
  <c r="AS37" i="3"/>
  <c r="AR37" i="3"/>
  <c r="AQ37" i="3"/>
  <c r="AP37" i="3"/>
  <c r="AO37" i="3"/>
  <c r="AY36" i="3"/>
  <c r="AW36" i="3"/>
  <c r="AV36" i="3"/>
  <c r="AU36" i="3"/>
  <c r="AT36" i="3"/>
  <c r="AS36" i="3"/>
  <c r="AQ36" i="3"/>
  <c r="AO36" i="3"/>
  <c r="AY35" i="3"/>
  <c r="AX35" i="3"/>
  <c r="AW35" i="3"/>
  <c r="AV35" i="3"/>
  <c r="AU35" i="3"/>
  <c r="AT35" i="3"/>
  <c r="AS35" i="3"/>
  <c r="AR35" i="3"/>
  <c r="AQ35" i="3"/>
  <c r="AP35" i="3"/>
  <c r="AO35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Z13" i="3"/>
  <c r="AY13" i="3"/>
  <c r="AX13" i="3"/>
  <c r="AW13" i="3"/>
  <c r="AV13" i="3"/>
  <c r="AU13" i="3"/>
  <c r="AT13" i="3"/>
  <c r="AS13" i="3"/>
  <c r="AR13" i="3"/>
  <c r="AQ13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O11" i="3"/>
  <c r="BO10" i="3"/>
  <c r="BO9" i="3"/>
  <c r="BO8" i="3"/>
  <c r="BO7" i="3"/>
  <c r="AM107" i="3"/>
  <c r="AM106" i="3"/>
  <c r="AM101" i="3"/>
  <c r="AM100" i="3"/>
  <c r="AM97" i="3"/>
  <c r="AM92" i="3"/>
  <c r="AM91" i="3"/>
  <c r="AM90" i="3"/>
  <c r="AO7" i="3" l="1"/>
  <c r="D28" i="3"/>
  <c r="BO12" i="3"/>
  <c r="Q34" i="15"/>
  <c r="Q42" i="15"/>
  <c r="Q23" i="15"/>
  <c r="Q24" i="15"/>
  <c r="M44" i="15"/>
  <c r="O44" i="15"/>
  <c r="F29" i="15"/>
  <c r="Q21" i="15"/>
  <c r="Q35" i="15"/>
  <c r="L29" i="15"/>
  <c r="O29" i="15"/>
  <c r="N29" i="15"/>
  <c r="Q26" i="15"/>
  <c r="I29" i="15"/>
  <c r="Q25" i="15"/>
  <c r="Q27" i="15"/>
  <c r="H29" i="15"/>
  <c r="Q28" i="15"/>
  <c r="P29" i="15"/>
  <c r="Q20" i="15"/>
  <c r="M29" i="15"/>
  <c r="G29" i="15"/>
  <c r="J29" i="15"/>
  <c r="Q19" i="15"/>
  <c r="E29" i="15"/>
  <c r="Q43" i="15"/>
  <c r="I44" i="15"/>
  <c r="Q36" i="15"/>
  <c r="G44" i="15"/>
  <c r="N44" i="15"/>
  <c r="L44" i="15"/>
  <c r="H44" i="15"/>
  <c r="P44" i="15"/>
  <c r="J44" i="15"/>
  <c r="Q37" i="15"/>
  <c r="Q39" i="15"/>
  <c r="Q38" i="15"/>
  <c r="K44" i="15"/>
  <c r="Q40" i="15"/>
  <c r="Q41" i="15"/>
  <c r="E44" i="15"/>
  <c r="AM33" i="3"/>
  <c r="AZ33" i="3"/>
  <c r="AY33" i="3"/>
  <c r="AX33" i="3"/>
  <c r="AW33" i="3"/>
  <c r="AV33" i="3"/>
  <c r="AU33" i="3"/>
  <c r="AT33" i="3"/>
  <c r="AS33" i="3"/>
  <c r="AR33" i="3"/>
  <c r="AQ33" i="3"/>
  <c r="AP33" i="3"/>
  <c r="AM32" i="3"/>
  <c r="AZ32" i="3"/>
  <c r="AY32" i="3"/>
  <c r="AX32" i="3"/>
  <c r="AW32" i="3"/>
  <c r="AV32" i="3"/>
  <c r="AU32" i="3"/>
  <c r="AT32" i="3"/>
  <c r="AS32" i="3"/>
  <c r="AR32" i="3"/>
  <c r="AQ32" i="3"/>
  <c r="AP32" i="3"/>
  <c r="AM31" i="3"/>
  <c r="AZ31" i="3"/>
  <c r="AY31" i="3"/>
  <c r="AX31" i="3"/>
  <c r="AW31" i="3"/>
  <c r="AV31" i="3"/>
  <c r="AT31" i="3"/>
  <c r="AS31" i="3"/>
  <c r="AR31" i="3"/>
  <c r="AQ31" i="3"/>
  <c r="AP31" i="3"/>
  <c r="AM79" i="3"/>
  <c r="E79" i="3"/>
  <c r="AM78" i="3"/>
  <c r="E78" i="3"/>
  <c r="AM75" i="3"/>
  <c r="AM103" i="3" s="1"/>
  <c r="E75" i="3"/>
  <c r="AO75" i="3" s="1"/>
  <c r="AM74" i="3"/>
  <c r="AM102" i="3" s="1"/>
  <c r="E74" i="3"/>
  <c r="AO74" i="3" s="1"/>
  <c r="AM73" i="3"/>
  <c r="E73" i="3"/>
  <c r="AM72" i="3"/>
  <c r="E72" i="3"/>
  <c r="AM70" i="3"/>
  <c r="AM98" i="3" s="1"/>
  <c r="AT70" i="3"/>
  <c r="AQ70" i="3"/>
  <c r="E70" i="3"/>
  <c r="AL68" i="3"/>
  <c r="AZ68" i="3" s="1"/>
  <c r="AI68" i="3"/>
  <c r="AY68" i="3" s="1"/>
  <c r="AF68" i="3"/>
  <c r="AX68" i="3" s="1"/>
  <c r="AC68" i="3"/>
  <c r="AW68" i="3" s="1"/>
  <c r="Z68" i="3"/>
  <c r="AV68" i="3" s="1"/>
  <c r="W68" i="3"/>
  <c r="AU68" i="3" s="1"/>
  <c r="T68" i="3"/>
  <c r="AT68" i="3" s="1"/>
  <c r="Q68" i="3"/>
  <c r="AS68" i="3" s="1"/>
  <c r="N68" i="3"/>
  <c r="AR68" i="3" s="1"/>
  <c r="K68" i="3"/>
  <c r="AQ68" i="3" s="1"/>
  <c r="H68" i="3"/>
  <c r="AP68" i="3" s="1"/>
  <c r="E68" i="3"/>
  <c r="AO68" i="3" s="1"/>
  <c r="AM67" i="3"/>
  <c r="AL67" i="3"/>
  <c r="AI67" i="3"/>
  <c r="AF67" i="3"/>
  <c r="AC67" i="3"/>
  <c r="Z67" i="3"/>
  <c r="W67" i="3"/>
  <c r="T67" i="3"/>
  <c r="AT67" i="3" s="1"/>
  <c r="Q67" i="3"/>
  <c r="N67" i="3"/>
  <c r="K67" i="3"/>
  <c r="AQ67" i="3" s="1"/>
  <c r="H67" i="3"/>
  <c r="AP67" i="3" s="1"/>
  <c r="E67" i="3"/>
  <c r="AO67" i="3" s="1"/>
  <c r="AM66" i="3"/>
  <c r="AL66" i="3"/>
  <c r="AI66" i="3"/>
  <c r="AF66" i="3"/>
  <c r="AC66" i="3"/>
  <c r="Z66" i="3"/>
  <c r="W66" i="3"/>
  <c r="T66" i="3"/>
  <c r="AT66" i="3" s="1"/>
  <c r="Q66" i="3"/>
  <c r="N66" i="3"/>
  <c r="K66" i="3"/>
  <c r="AQ66" i="3" s="1"/>
  <c r="H66" i="3"/>
  <c r="AP66" i="3" s="1"/>
  <c r="E66" i="3"/>
  <c r="AO66" i="3" s="1"/>
  <c r="AM65" i="3"/>
  <c r="AL65" i="3"/>
  <c r="AI65" i="3"/>
  <c r="AF65" i="3"/>
  <c r="AC65" i="3"/>
  <c r="Z65" i="3"/>
  <c r="W65" i="3"/>
  <c r="T65" i="3"/>
  <c r="AT65" i="3" s="1"/>
  <c r="Q65" i="3"/>
  <c r="N65" i="3"/>
  <c r="K65" i="3"/>
  <c r="AQ65" i="3" s="1"/>
  <c r="H65" i="3"/>
  <c r="AP65" i="3" s="1"/>
  <c r="E65" i="3"/>
  <c r="AO65" i="3" s="1"/>
  <c r="AM64" i="3"/>
  <c r="AL64" i="3"/>
  <c r="AI64" i="3"/>
  <c r="AF64" i="3"/>
  <c r="AC64" i="3"/>
  <c r="Z64" i="3"/>
  <c r="W64" i="3"/>
  <c r="T64" i="3"/>
  <c r="AT64" i="3" s="1"/>
  <c r="Q64" i="3"/>
  <c r="N64" i="3"/>
  <c r="K64" i="3"/>
  <c r="AQ64" i="3" s="1"/>
  <c r="H64" i="3"/>
  <c r="AP64" i="3" s="1"/>
  <c r="E64" i="3"/>
  <c r="AO64" i="3" s="1"/>
  <c r="AM63" i="3"/>
  <c r="AL63" i="3"/>
  <c r="AI63" i="3"/>
  <c r="AF63" i="3"/>
  <c r="AX63" i="3" s="1"/>
  <c r="AC63" i="3"/>
  <c r="Z63" i="3"/>
  <c r="W63" i="3"/>
  <c r="T63" i="3"/>
  <c r="AT63" i="3" s="1"/>
  <c r="Q63" i="3"/>
  <c r="N63" i="3"/>
  <c r="K63" i="3"/>
  <c r="AQ63" i="3" s="1"/>
  <c r="H63" i="3"/>
  <c r="AP63" i="3" s="1"/>
  <c r="E63" i="3"/>
  <c r="AO63" i="3" s="1"/>
  <c r="AM62" i="3"/>
  <c r="AL62" i="3"/>
  <c r="AI62" i="3"/>
  <c r="AF62" i="3"/>
  <c r="AC62" i="3"/>
  <c r="AW62" i="3" s="1"/>
  <c r="Z62" i="3"/>
  <c r="W62" i="3"/>
  <c r="T62" i="3"/>
  <c r="AT62" i="3" s="1"/>
  <c r="Q62" i="3"/>
  <c r="N62" i="3"/>
  <c r="K62" i="3"/>
  <c r="AQ62" i="3" s="1"/>
  <c r="H62" i="3"/>
  <c r="AP62" i="3" s="1"/>
  <c r="E62" i="3"/>
  <c r="AO62" i="3" s="1"/>
  <c r="AM61" i="3"/>
  <c r="AL61" i="3"/>
  <c r="AI61" i="3"/>
  <c r="AF61" i="3"/>
  <c r="AC61" i="3"/>
  <c r="Z61" i="3"/>
  <c r="W61" i="3"/>
  <c r="T61" i="3"/>
  <c r="AT61" i="3" s="1"/>
  <c r="Q61" i="3"/>
  <c r="N61" i="3"/>
  <c r="K61" i="3"/>
  <c r="H61" i="3"/>
  <c r="AP61" i="3" s="1"/>
  <c r="E61" i="3"/>
  <c r="AO61" i="3" s="1"/>
  <c r="AM60" i="3"/>
  <c r="AL60" i="3"/>
  <c r="AZ60" i="3" s="1"/>
  <c r="AI60" i="3"/>
  <c r="AF60" i="3"/>
  <c r="AC60" i="3"/>
  <c r="AW60" i="3" s="1"/>
  <c r="Z60" i="3"/>
  <c r="W60" i="3"/>
  <c r="T60" i="3"/>
  <c r="AT60" i="3" s="1"/>
  <c r="Q60" i="3"/>
  <c r="N60" i="3"/>
  <c r="AR60" i="3" s="1"/>
  <c r="K60" i="3"/>
  <c r="H60" i="3"/>
  <c r="E60" i="3"/>
  <c r="AO60" i="3" s="1"/>
  <c r="AM58" i="3"/>
  <c r="AL58" i="3"/>
  <c r="AI58" i="3"/>
  <c r="AF58" i="3"/>
  <c r="AC58" i="3"/>
  <c r="Z58" i="3"/>
  <c r="W58" i="3"/>
  <c r="T58" i="3"/>
  <c r="Q58" i="3"/>
  <c r="N58" i="3"/>
  <c r="K58" i="3"/>
  <c r="H58" i="3"/>
  <c r="E58" i="3"/>
  <c r="AM57" i="3"/>
  <c r="AL57" i="3"/>
  <c r="AI57" i="3"/>
  <c r="AF57" i="3"/>
  <c r="AC57" i="3"/>
  <c r="Z57" i="3"/>
  <c r="W57" i="3"/>
  <c r="T57" i="3"/>
  <c r="Q57" i="3"/>
  <c r="N57" i="3"/>
  <c r="K57" i="3"/>
  <c r="H57" i="3"/>
  <c r="E57" i="3"/>
  <c r="AM56" i="3"/>
  <c r="AL56" i="3"/>
  <c r="AI56" i="3"/>
  <c r="AF56" i="3"/>
  <c r="AC56" i="3"/>
  <c r="Z56" i="3"/>
  <c r="W56" i="3"/>
  <c r="T56" i="3"/>
  <c r="Q56" i="3"/>
  <c r="N56" i="3"/>
  <c r="K56" i="3"/>
  <c r="H56" i="3"/>
  <c r="E56" i="3"/>
  <c r="AM54" i="3"/>
  <c r="AL54" i="3"/>
  <c r="AI54" i="3"/>
  <c r="AF54" i="3"/>
  <c r="AC54" i="3"/>
  <c r="Z54" i="3"/>
  <c r="W54" i="3"/>
  <c r="T54" i="3"/>
  <c r="Q54" i="3"/>
  <c r="N54" i="3"/>
  <c r="K54" i="3"/>
  <c r="H54" i="3"/>
  <c r="E54" i="3"/>
  <c r="AM53" i="3"/>
  <c r="AL53" i="3"/>
  <c r="AI53" i="3"/>
  <c r="AF53" i="3"/>
  <c r="AC53" i="3"/>
  <c r="Z53" i="3"/>
  <c r="W53" i="3"/>
  <c r="T53" i="3"/>
  <c r="Q53" i="3"/>
  <c r="N53" i="3"/>
  <c r="K53" i="3"/>
  <c r="H53" i="3"/>
  <c r="E53" i="3"/>
  <c r="AM52" i="3"/>
  <c r="AL52" i="3"/>
  <c r="AI52" i="3"/>
  <c r="AF52" i="3"/>
  <c r="AC52" i="3"/>
  <c r="Z52" i="3"/>
  <c r="W52" i="3"/>
  <c r="T52" i="3"/>
  <c r="Q52" i="3"/>
  <c r="N52" i="3"/>
  <c r="K52" i="3"/>
  <c r="H52" i="3"/>
  <c r="E52" i="3"/>
  <c r="AM50" i="3"/>
  <c r="AL50" i="3"/>
  <c r="AI50" i="3"/>
  <c r="AF50" i="3"/>
  <c r="AC50" i="3"/>
  <c r="Z50" i="3"/>
  <c r="W50" i="3"/>
  <c r="T50" i="3"/>
  <c r="Q50" i="3"/>
  <c r="N50" i="3"/>
  <c r="K50" i="3"/>
  <c r="H50" i="3"/>
  <c r="E50" i="3"/>
  <c r="AM49" i="3"/>
  <c r="AL49" i="3"/>
  <c r="AI49" i="3"/>
  <c r="AF49" i="3"/>
  <c r="AC49" i="3"/>
  <c r="Z49" i="3"/>
  <c r="W49" i="3"/>
  <c r="T49" i="3"/>
  <c r="Q49" i="3"/>
  <c r="N49" i="3"/>
  <c r="K49" i="3"/>
  <c r="H49" i="3"/>
  <c r="E49" i="3"/>
  <c r="AM48" i="3"/>
  <c r="AL48" i="3"/>
  <c r="AI48" i="3"/>
  <c r="AF48" i="3"/>
  <c r="AC48" i="3"/>
  <c r="Z48" i="3"/>
  <c r="W48" i="3"/>
  <c r="T48" i="3"/>
  <c r="AT48" i="3" s="1"/>
  <c r="Q48" i="3"/>
  <c r="N48" i="3"/>
  <c r="K48" i="3"/>
  <c r="H48" i="3"/>
  <c r="AP48" i="3" s="1"/>
  <c r="E48" i="3"/>
  <c r="AM47" i="3"/>
  <c r="AL47" i="3"/>
  <c r="AZ47" i="3" s="1"/>
  <c r="AI47" i="3"/>
  <c r="AF47" i="3"/>
  <c r="AC47" i="3"/>
  <c r="Z47" i="3"/>
  <c r="W47" i="3"/>
  <c r="AU47" i="3" s="1"/>
  <c r="T47" i="3"/>
  <c r="Q47" i="3"/>
  <c r="AS47" i="3" s="1"/>
  <c r="N47" i="3"/>
  <c r="K47" i="3"/>
  <c r="AQ47" i="3" s="1"/>
  <c r="H47" i="3"/>
  <c r="AP47" i="3" s="1"/>
  <c r="E47" i="3"/>
  <c r="AM46" i="3"/>
  <c r="AL46" i="3"/>
  <c r="AI46" i="3"/>
  <c r="AF46" i="3"/>
  <c r="AC46" i="3"/>
  <c r="Z46" i="3"/>
  <c r="W46" i="3"/>
  <c r="T46" i="3"/>
  <c r="Q46" i="3"/>
  <c r="N46" i="3"/>
  <c r="K46" i="3"/>
  <c r="AQ46" i="3" s="1"/>
  <c r="H46" i="3"/>
  <c r="E46" i="3"/>
  <c r="AM45" i="3"/>
  <c r="AL45" i="3"/>
  <c r="AI45" i="3"/>
  <c r="AF45" i="3"/>
  <c r="AC45" i="3"/>
  <c r="Z45" i="3"/>
  <c r="W45" i="3"/>
  <c r="T45" i="3"/>
  <c r="Q45" i="3"/>
  <c r="N45" i="3"/>
  <c r="K45" i="3"/>
  <c r="H45" i="3"/>
  <c r="E45" i="3"/>
  <c r="AM44" i="3"/>
  <c r="AL44" i="3"/>
  <c r="AI44" i="3"/>
  <c r="AF44" i="3"/>
  <c r="AC44" i="3"/>
  <c r="Z44" i="3"/>
  <c r="W44" i="3"/>
  <c r="T44" i="3"/>
  <c r="Q44" i="3"/>
  <c r="N44" i="3"/>
  <c r="K44" i="3"/>
  <c r="H44" i="3"/>
  <c r="E44" i="3"/>
  <c r="AM42" i="3"/>
  <c r="AL42" i="3"/>
  <c r="AI42" i="3"/>
  <c r="AF42" i="3"/>
  <c r="AC42" i="3"/>
  <c r="Z42" i="3"/>
  <c r="W42" i="3"/>
  <c r="T42" i="3"/>
  <c r="Q42" i="3"/>
  <c r="N42" i="3"/>
  <c r="K42" i="3"/>
  <c r="H42" i="3"/>
  <c r="AP42" i="3" s="1"/>
  <c r="E42" i="3"/>
  <c r="AM41" i="3"/>
  <c r="AL41" i="3"/>
  <c r="AI41" i="3"/>
  <c r="AF41" i="3"/>
  <c r="AC41" i="3"/>
  <c r="Z41" i="3"/>
  <c r="W41" i="3"/>
  <c r="T41" i="3"/>
  <c r="Q41" i="3"/>
  <c r="N41" i="3"/>
  <c r="AR41" i="3" s="1"/>
  <c r="K41" i="3"/>
  <c r="H41" i="3"/>
  <c r="AP41" i="3" s="1"/>
  <c r="E41" i="3"/>
  <c r="AM40" i="3"/>
  <c r="AI40" i="3"/>
  <c r="AF40" i="3"/>
  <c r="AC40" i="3"/>
  <c r="Z40" i="3"/>
  <c r="AV40" i="3" s="1"/>
  <c r="P86" i="2" s="1"/>
  <c r="W40" i="3"/>
  <c r="T40" i="3"/>
  <c r="Q40" i="3"/>
  <c r="AS40" i="3" s="1"/>
  <c r="M86" i="2" s="1"/>
  <c r="AQ40" i="3"/>
  <c r="H40" i="3"/>
  <c r="AP40" i="3" s="1"/>
  <c r="AO40" i="3"/>
  <c r="AM37" i="3"/>
  <c r="AL37" i="3"/>
  <c r="AZ37" i="3" s="1"/>
  <c r="AI37" i="3"/>
  <c r="AF37" i="3"/>
  <c r="AC37" i="3"/>
  <c r="Z37" i="3"/>
  <c r="W37" i="3"/>
  <c r="T37" i="3"/>
  <c r="Q37" i="3"/>
  <c r="N37" i="3"/>
  <c r="K37" i="3"/>
  <c r="H37" i="3"/>
  <c r="E37" i="3"/>
  <c r="AM36" i="3"/>
  <c r="AM87" i="3" s="1"/>
  <c r="AL36" i="3"/>
  <c r="AZ36" i="3" s="1"/>
  <c r="AI36" i="3"/>
  <c r="AF36" i="3"/>
  <c r="AX36" i="3" s="1"/>
  <c r="AC36" i="3"/>
  <c r="Z36" i="3"/>
  <c r="W36" i="3"/>
  <c r="T36" i="3"/>
  <c r="Q36" i="3"/>
  <c r="AR36" i="3"/>
  <c r="K36" i="3"/>
  <c r="H36" i="3"/>
  <c r="AP36" i="3" s="1"/>
  <c r="E36" i="3"/>
  <c r="AM35" i="3"/>
  <c r="AL35" i="3"/>
  <c r="AZ35" i="3" s="1"/>
  <c r="AI35" i="3"/>
  <c r="AF35" i="3"/>
  <c r="AC35" i="3"/>
  <c r="Z35" i="3"/>
  <c r="W35" i="3"/>
  <c r="T35" i="3"/>
  <c r="Q35" i="3"/>
  <c r="N35" i="3"/>
  <c r="K35" i="3"/>
  <c r="H35" i="3"/>
  <c r="E35" i="3"/>
  <c r="AK29" i="3"/>
  <c r="AL29" i="3" s="1"/>
  <c r="AZ29" i="3" s="1"/>
  <c r="AH29" i="3"/>
  <c r="AI29" i="3" s="1"/>
  <c r="AY29" i="3" s="1"/>
  <c r="AE29" i="3"/>
  <c r="AF29" i="3" s="1"/>
  <c r="AX29" i="3" s="1"/>
  <c r="AB29" i="3"/>
  <c r="AC29" i="3" s="1"/>
  <c r="AW29" i="3" s="1"/>
  <c r="Y29" i="3"/>
  <c r="Z29" i="3" s="1"/>
  <c r="AV29" i="3" s="1"/>
  <c r="V29" i="3"/>
  <c r="W29" i="3" s="1"/>
  <c r="AU29" i="3" s="1"/>
  <c r="S29" i="3"/>
  <c r="T29" i="3" s="1"/>
  <c r="AT29" i="3" s="1"/>
  <c r="P29" i="3"/>
  <c r="Q29" i="3" s="1"/>
  <c r="AS29" i="3" s="1"/>
  <c r="M29" i="3"/>
  <c r="N29" i="3" s="1"/>
  <c r="AR29" i="3" s="1"/>
  <c r="J29" i="3"/>
  <c r="K29" i="3" s="1"/>
  <c r="AQ29" i="3" s="1"/>
  <c r="G29" i="3"/>
  <c r="H29" i="3" s="1"/>
  <c r="AP29" i="3" s="1"/>
  <c r="D29" i="3"/>
  <c r="AK28" i="3"/>
  <c r="AL28" i="3" s="1"/>
  <c r="AZ28" i="3" s="1"/>
  <c r="AH28" i="3"/>
  <c r="AI28" i="3" s="1"/>
  <c r="AY28" i="3" s="1"/>
  <c r="AE28" i="3"/>
  <c r="AF28" i="3" s="1"/>
  <c r="AX28" i="3" s="1"/>
  <c r="AB28" i="3"/>
  <c r="AC28" i="3" s="1"/>
  <c r="AW28" i="3" s="1"/>
  <c r="Y28" i="3"/>
  <c r="Z28" i="3" s="1"/>
  <c r="AV28" i="3" s="1"/>
  <c r="V28" i="3"/>
  <c r="W28" i="3" s="1"/>
  <c r="AU28" i="3" s="1"/>
  <c r="S28" i="3"/>
  <c r="T28" i="3" s="1"/>
  <c r="AT28" i="3" s="1"/>
  <c r="P28" i="3"/>
  <c r="Q28" i="3" s="1"/>
  <c r="AS28" i="3" s="1"/>
  <c r="M28" i="3"/>
  <c r="N28" i="3" s="1"/>
  <c r="AR28" i="3" s="1"/>
  <c r="J28" i="3"/>
  <c r="K28" i="3" s="1"/>
  <c r="AQ28" i="3" s="1"/>
  <c r="G28" i="3"/>
  <c r="H28" i="3" s="1"/>
  <c r="AP28" i="3" s="1"/>
  <c r="E28" i="3"/>
  <c r="AO28" i="3" s="1"/>
  <c r="AM23" i="3"/>
  <c r="E23" i="3"/>
  <c r="H23" i="3" s="1"/>
  <c r="AM21" i="3"/>
  <c r="H21" i="3"/>
  <c r="K21" i="3" s="1"/>
  <c r="E21" i="3"/>
  <c r="AM17" i="3"/>
  <c r="AL17" i="3"/>
  <c r="AI17" i="3"/>
  <c r="AF17" i="3"/>
  <c r="AC17" i="3"/>
  <c r="Z17" i="3"/>
  <c r="W17" i="3"/>
  <c r="T17" i="3"/>
  <c r="Q17" i="3"/>
  <c r="N17" i="3"/>
  <c r="K17" i="3"/>
  <c r="H17" i="3"/>
  <c r="E17" i="3"/>
  <c r="AM16" i="3"/>
  <c r="AL16" i="3"/>
  <c r="AI16" i="3"/>
  <c r="AF16" i="3"/>
  <c r="AC16" i="3"/>
  <c r="Z16" i="3"/>
  <c r="W16" i="3"/>
  <c r="T16" i="3"/>
  <c r="Q16" i="3"/>
  <c r="N16" i="3"/>
  <c r="K16" i="3"/>
  <c r="H16" i="3"/>
  <c r="E16" i="3"/>
  <c r="AM15" i="3"/>
  <c r="AL15" i="3"/>
  <c r="AI15" i="3"/>
  <c r="AF15" i="3"/>
  <c r="AC15" i="3"/>
  <c r="Z15" i="3"/>
  <c r="W15" i="3"/>
  <c r="T15" i="3"/>
  <c r="Q15" i="3"/>
  <c r="N15" i="3"/>
  <c r="K15" i="3"/>
  <c r="H15" i="3"/>
  <c r="E15" i="3"/>
  <c r="AM13" i="3"/>
  <c r="AL13" i="3"/>
  <c r="AI13" i="3"/>
  <c r="AF13" i="3"/>
  <c r="AC13" i="3"/>
  <c r="Z13" i="3"/>
  <c r="W13" i="3"/>
  <c r="T13" i="3"/>
  <c r="Q13" i="3"/>
  <c r="N13" i="3"/>
  <c r="K13" i="3"/>
  <c r="H13" i="3"/>
  <c r="E13" i="3"/>
  <c r="AM11" i="3"/>
  <c r="BP11" i="3" s="1"/>
  <c r="AM10" i="3"/>
  <c r="BP10" i="3" s="1"/>
  <c r="AM9" i="3"/>
  <c r="BP9" i="3" s="1"/>
  <c r="AM8" i="3"/>
  <c r="BP8" i="3" s="1"/>
  <c r="AM7" i="3"/>
  <c r="BP7" i="3" s="1"/>
  <c r="G20" i="13"/>
  <c r="H20" i="13"/>
  <c r="I20" i="13"/>
  <c r="J20" i="13"/>
  <c r="K20" i="13"/>
  <c r="L20" i="13"/>
  <c r="M20" i="13"/>
  <c r="N20" i="13"/>
  <c r="O20" i="13"/>
  <c r="P20" i="13"/>
  <c r="Q20" i="13"/>
  <c r="F20" i="13"/>
  <c r="O54" i="1"/>
  <c r="AM89" i="3" l="1"/>
  <c r="Q29" i="15"/>
  <c r="Q44" i="15"/>
  <c r="AM93" i="3"/>
  <c r="AM88" i="3"/>
  <c r="N21" i="3"/>
  <c r="K23" i="3"/>
  <c r="AM28" i="3"/>
  <c r="AM29" i="3"/>
  <c r="E29" i="3"/>
  <c r="AO29" i="3" s="1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AM32" i="14"/>
  <c r="H32" i="14"/>
  <c r="K32" i="14" s="1"/>
  <c r="N32" i="14" s="1"/>
  <c r="Q32" i="14" s="1"/>
  <c r="T32" i="14" s="1"/>
  <c r="W32" i="14" s="1"/>
  <c r="Z32" i="14" s="1"/>
  <c r="AC32" i="14" s="1"/>
  <c r="AF32" i="14" s="1"/>
  <c r="AI32" i="14" s="1"/>
  <c r="AL32" i="14" s="1"/>
  <c r="AM31" i="14"/>
  <c r="H31" i="14"/>
  <c r="K31" i="14" s="1"/>
  <c r="N31" i="14" s="1"/>
  <c r="Q31" i="14" s="1"/>
  <c r="T31" i="14" s="1"/>
  <c r="W31" i="14" s="1"/>
  <c r="Z31" i="14" s="1"/>
  <c r="AC31" i="14" s="1"/>
  <c r="AF31" i="14" s="1"/>
  <c r="AI31" i="14" s="1"/>
  <c r="AL31" i="14" s="1"/>
  <c r="AM30" i="14"/>
  <c r="H30" i="14"/>
  <c r="K30" i="14" s="1"/>
  <c r="N30" i="14" s="1"/>
  <c r="Q30" i="14" s="1"/>
  <c r="T30" i="14" s="1"/>
  <c r="W30" i="14" s="1"/>
  <c r="Z30" i="14" s="1"/>
  <c r="AC30" i="14" s="1"/>
  <c r="AF30" i="14" s="1"/>
  <c r="AI30" i="14" s="1"/>
  <c r="AL30" i="14" s="1"/>
  <c r="AM29" i="14"/>
  <c r="AM28" i="14"/>
  <c r="H28" i="14"/>
  <c r="K28" i="14" s="1"/>
  <c r="N28" i="14" s="1"/>
  <c r="Q28" i="14" s="1"/>
  <c r="T28" i="14" s="1"/>
  <c r="W28" i="14" s="1"/>
  <c r="Z28" i="14" s="1"/>
  <c r="AC28" i="14" s="1"/>
  <c r="AF28" i="14" s="1"/>
  <c r="AI28" i="14" s="1"/>
  <c r="AL28" i="14" s="1"/>
  <c r="AM27" i="14"/>
  <c r="H27" i="14"/>
  <c r="K27" i="14" s="1"/>
  <c r="N27" i="14" s="1"/>
  <c r="Q27" i="14" s="1"/>
  <c r="T27" i="14" s="1"/>
  <c r="W27" i="14" s="1"/>
  <c r="Z27" i="14" s="1"/>
  <c r="AC27" i="14" s="1"/>
  <c r="AF27" i="14" s="1"/>
  <c r="AI27" i="14" s="1"/>
  <c r="AL27" i="14" s="1"/>
  <c r="AM26" i="14"/>
  <c r="H26" i="14"/>
  <c r="K26" i="14" s="1"/>
  <c r="N26" i="14" s="1"/>
  <c r="Q26" i="14" s="1"/>
  <c r="T26" i="14" s="1"/>
  <c r="W26" i="14" s="1"/>
  <c r="Z26" i="14" s="1"/>
  <c r="AC26" i="14" s="1"/>
  <c r="AF26" i="14" s="1"/>
  <c r="AI26" i="14" s="1"/>
  <c r="AL26" i="14" s="1"/>
  <c r="H34" i="14"/>
  <c r="K34" i="14" s="1"/>
  <c r="N34" i="14" s="1"/>
  <c r="Q34" i="14" s="1"/>
  <c r="T34" i="14" s="1"/>
  <c r="W34" i="14" s="1"/>
  <c r="Z34" i="14" s="1"/>
  <c r="AC34" i="14" s="1"/>
  <c r="AF34" i="14" s="1"/>
  <c r="AI34" i="14" s="1"/>
  <c r="AL34" i="14" s="1"/>
  <c r="H33" i="14"/>
  <c r="K33" i="14" s="1"/>
  <c r="N33" i="14" s="1"/>
  <c r="Q33" i="14" s="1"/>
  <c r="T33" i="14" s="1"/>
  <c r="W33" i="14" s="1"/>
  <c r="Z33" i="14" s="1"/>
  <c r="AC33" i="14" s="1"/>
  <c r="AF33" i="14" s="1"/>
  <c r="AI33" i="14" s="1"/>
  <c r="AL33" i="14" s="1"/>
  <c r="AP30" i="14"/>
  <c r="AM34" i="14"/>
  <c r="E34" i="14"/>
  <c r="AM33" i="14"/>
  <c r="E33" i="14"/>
  <c r="AO33" i="14" s="1"/>
  <c r="AO32" i="14"/>
  <c r="E32" i="14"/>
  <c r="AO30" i="14"/>
  <c r="E30" i="14"/>
  <c r="E29" i="14"/>
  <c r="AO29" i="14" s="1"/>
  <c r="E28" i="14"/>
  <c r="AO28" i="14" s="1"/>
  <c r="E27" i="14"/>
  <c r="AO27" i="14" s="1"/>
  <c r="E26" i="14"/>
  <c r="AO26" i="14" s="1"/>
  <c r="AM25" i="14"/>
  <c r="E25" i="14"/>
  <c r="AO25" i="14" s="1"/>
  <c r="E15" i="14"/>
  <c r="AO15" i="14" s="1"/>
  <c r="E16" i="14"/>
  <c r="AO16" i="14" s="1"/>
  <c r="E17" i="14"/>
  <c r="AM21" i="14"/>
  <c r="AL21" i="14"/>
  <c r="AZ21" i="14" s="1"/>
  <c r="AI21" i="14"/>
  <c r="AY21" i="14" s="1"/>
  <c r="AF21" i="14"/>
  <c r="AX21" i="14" s="1"/>
  <c r="AC21" i="14"/>
  <c r="AW21" i="14" s="1"/>
  <c r="Z21" i="14"/>
  <c r="AV21" i="14" s="1"/>
  <c r="W21" i="14"/>
  <c r="AU21" i="14" s="1"/>
  <c r="T21" i="14"/>
  <c r="AT21" i="14" s="1"/>
  <c r="Q21" i="14"/>
  <c r="AS21" i="14" s="1"/>
  <c r="N21" i="14"/>
  <c r="AR21" i="14" s="1"/>
  <c r="K21" i="14"/>
  <c r="AQ21" i="14" s="1"/>
  <c r="H21" i="14"/>
  <c r="AP21" i="14" s="1"/>
  <c r="E21" i="14"/>
  <c r="AO21" i="14" s="1"/>
  <c r="AM20" i="14"/>
  <c r="AL20" i="14"/>
  <c r="AZ20" i="14" s="1"/>
  <c r="AI20" i="14"/>
  <c r="AY20" i="14" s="1"/>
  <c r="AF20" i="14"/>
  <c r="AX20" i="14" s="1"/>
  <c r="AC20" i="14"/>
  <c r="AW20" i="14" s="1"/>
  <c r="Z20" i="14"/>
  <c r="AV20" i="14" s="1"/>
  <c r="W20" i="14"/>
  <c r="AU20" i="14" s="1"/>
  <c r="T20" i="14"/>
  <c r="AT20" i="14" s="1"/>
  <c r="Q20" i="14"/>
  <c r="AS20" i="14" s="1"/>
  <c r="N20" i="14"/>
  <c r="AR20" i="14" s="1"/>
  <c r="K20" i="14"/>
  <c r="AQ20" i="14" s="1"/>
  <c r="H20" i="14"/>
  <c r="AP20" i="14" s="1"/>
  <c r="E20" i="14"/>
  <c r="AO20" i="14" s="1"/>
  <c r="AM19" i="14"/>
  <c r="AL19" i="14"/>
  <c r="AZ19" i="14" s="1"/>
  <c r="AI19" i="14"/>
  <c r="AY19" i="14" s="1"/>
  <c r="AF19" i="14"/>
  <c r="AX19" i="14" s="1"/>
  <c r="AC19" i="14"/>
  <c r="AW19" i="14" s="1"/>
  <c r="Z19" i="14"/>
  <c r="AV19" i="14" s="1"/>
  <c r="W19" i="14"/>
  <c r="AU19" i="14" s="1"/>
  <c r="T19" i="14"/>
  <c r="AT19" i="14" s="1"/>
  <c r="Q19" i="14"/>
  <c r="AS19" i="14" s="1"/>
  <c r="N19" i="14"/>
  <c r="AR19" i="14" s="1"/>
  <c r="K19" i="14"/>
  <c r="AQ19" i="14" s="1"/>
  <c r="H19" i="14"/>
  <c r="AP19" i="14" s="1"/>
  <c r="E19" i="14"/>
  <c r="AO19" i="14" s="1"/>
  <c r="AM18" i="14"/>
  <c r="AL18" i="14"/>
  <c r="AZ18" i="14" s="1"/>
  <c r="AI18" i="14"/>
  <c r="AY18" i="14" s="1"/>
  <c r="AF18" i="14"/>
  <c r="AX18" i="14" s="1"/>
  <c r="AC18" i="14"/>
  <c r="AW18" i="14" s="1"/>
  <c r="Z18" i="14"/>
  <c r="AV18" i="14" s="1"/>
  <c r="W18" i="14"/>
  <c r="AU18" i="14" s="1"/>
  <c r="T18" i="14"/>
  <c r="AT18" i="14" s="1"/>
  <c r="Q18" i="14"/>
  <c r="AS18" i="14" s="1"/>
  <c r="N18" i="14"/>
  <c r="AR18" i="14" s="1"/>
  <c r="K18" i="14"/>
  <c r="AQ18" i="14" s="1"/>
  <c r="H18" i="14"/>
  <c r="AP18" i="14" s="1"/>
  <c r="E18" i="14"/>
  <c r="AO18" i="14" s="1"/>
  <c r="AM17" i="14"/>
  <c r="AL17" i="14"/>
  <c r="AZ17" i="14" s="1"/>
  <c r="AI17" i="14"/>
  <c r="AY17" i="14" s="1"/>
  <c r="AF17" i="14"/>
  <c r="AX17" i="14" s="1"/>
  <c r="AC17" i="14"/>
  <c r="AW17" i="14" s="1"/>
  <c r="Z17" i="14"/>
  <c r="AV17" i="14" s="1"/>
  <c r="W17" i="14"/>
  <c r="AU17" i="14" s="1"/>
  <c r="T17" i="14"/>
  <c r="AT17" i="14" s="1"/>
  <c r="Q17" i="14"/>
  <c r="AS17" i="14" s="1"/>
  <c r="N17" i="14"/>
  <c r="AR17" i="14" s="1"/>
  <c r="K17" i="14"/>
  <c r="AQ17" i="14" s="1"/>
  <c r="H17" i="14"/>
  <c r="AP17" i="14" s="1"/>
  <c r="AM16" i="14"/>
  <c r="AL16" i="14"/>
  <c r="AZ16" i="14" s="1"/>
  <c r="AI16" i="14"/>
  <c r="AY16" i="14" s="1"/>
  <c r="AF16" i="14"/>
  <c r="AX16" i="14" s="1"/>
  <c r="AC16" i="14"/>
  <c r="AW16" i="14" s="1"/>
  <c r="Z16" i="14"/>
  <c r="AV16" i="14" s="1"/>
  <c r="W16" i="14"/>
  <c r="AU16" i="14" s="1"/>
  <c r="T16" i="14"/>
  <c r="AT16" i="14" s="1"/>
  <c r="Q16" i="14"/>
  <c r="AS16" i="14" s="1"/>
  <c r="N16" i="14"/>
  <c r="AR16" i="14" s="1"/>
  <c r="K16" i="14"/>
  <c r="AQ16" i="14" s="1"/>
  <c r="H16" i="14"/>
  <c r="AP16" i="14" s="1"/>
  <c r="AM15" i="14"/>
  <c r="AL15" i="14"/>
  <c r="AZ15" i="14" s="1"/>
  <c r="AI15" i="14"/>
  <c r="AY15" i="14" s="1"/>
  <c r="AF15" i="14"/>
  <c r="AX15" i="14" s="1"/>
  <c r="AC15" i="14"/>
  <c r="AW15" i="14" s="1"/>
  <c r="Z15" i="14"/>
  <c r="AV15" i="14" s="1"/>
  <c r="W15" i="14"/>
  <c r="AU15" i="14" s="1"/>
  <c r="T15" i="14"/>
  <c r="AT15" i="14" s="1"/>
  <c r="Q15" i="14"/>
  <c r="AS15" i="14" s="1"/>
  <c r="N15" i="14"/>
  <c r="AR15" i="14" s="1"/>
  <c r="K15" i="14"/>
  <c r="AQ15" i="14" s="1"/>
  <c r="H15" i="14"/>
  <c r="AP15" i="14" s="1"/>
  <c r="AM13" i="14"/>
  <c r="AL13" i="14"/>
  <c r="AZ13" i="14" s="1"/>
  <c r="AI13" i="14"/>
  <c r="AY13" i="14" s="1"/>
  <c r="AF13" i="14"/>
  <c r="AX13" i="14" s="1"/>
  <c r="AC13" i="14"/>
  <c r="AW13" i="14" s="1"/>
  <c r="Z13" i="14"/>
  <c r="AV13" i="14" s="1"/>
  <c r="W13" i="14"/>
  <c r="AU13" i="14" s="1"/>
  <c r="T13" i="14"/>
  <c r="AT13" i="14" s="1"/>
  <c r="Q13" i="14"/>
  <c r="AS13" i="14" s="1"/>
  <c r="N13" i="14"/>
  <c r="AR13" i="14" s="1"/>
  <c r="K13" i="14"/>
  <c r="AQ13" i="14" s="1"/>
  <c r="H13" i="14"/>
  <c r="AP13" i="14" s="1"/>
  <c r="E13" i="14"/>
  <c r="AO13" i="14" s="1"/>
  <c r="AM12" i="14"/>
  <c r="AL12" i="14"/>
  <c r="AZ12" i="14" s="1"/>
  <c r="AI12" i="14"/>
  <c r="AY12" i="14" s="1"/>
  <c r="AF12" i="14"/>
  <c r="AX12" i="14" s="1"/>
  <c r="AC12" i="14"/>
  <c r="AW12" i="14" s="1"/>
  <c r="Z12" i="14"/>
  <c r="AV12" i="14" s="1"/>
  <c r="W12" i="14"/>
  <c r="AU12" i="14" s="1"/>
  <c r="T12" i="14"/>
  <c r="AT12" i="14" s="1"/>
  <c r="Q12" i="14"/>
  <c r="AS12" i="14" s="1"/>
  <c r="N12" i="14"/>
  <c r="AR12" i="14" s="1"/>
  <c r="K12" i="14"/>
  <c r="AQ12" i="14" s="1"/>
  <c r="H12" i="14"/>
  <c r="AP12" i="14" s="1"/>
  <c r="E12" i="14"/>
  <c r="AO12" i="14" s="1"/>
  <c r="AM11" i="14"/>
  <c r="AL11" i="14"/>
  <c r="AI11" i="14"/>
  <c r="AY11" i="14" s="1"/>
  <c r="AF11" i="14"/>
  <c r="AX11" i="14" s="1"/>
  <c r="AC11" i="14"/>
  <c r="AW11" i="14" s="1"/>
  <c r="Z11" i="14"/>
  <c r="AV11" i="14" s="1"/>
  <c r="W11" i="14"/>
  <c r="AU11" i="14" s="1"/>
  <c r="T11" i="14"/>
  <c r="AT11" i="14" s="1"/>
  <c r="Q11" i="14"/>
  <c r="AS11" i="14" s="1"/>
  <c r="N11" i="14"/>
  <c r="K11" i="14"/>
  <c r="AQ11" i="14" s="1"/>
  <c r="H11" i="14"/>
  <c r="AP11" i="14" s="1"/>
  <c r="E11" i="14"/>
  <c r="AO11" i="14" s="1"/>
  <c r="AZ10" i="14"/>
  <c r="AY10" i="14"/>
  <c r="AX10" i="14"/>
  <c r="AW10" i="14"/>
  <c r="AV10" i="14"/>
  <c r="AU10" i="14"/>
  <c r="AT10" i="14"/>
  <c r="AS10" i="14"/>
  <c r="AR10" i="14"/>
  <c r="AQ10" i="14"/>
  <c r="AP10" i="14"/>
  <c r="AO10" i="14"/>
  <c r="AL9" i="14"/>
  <c r="AZ9" i="14" s="1"/>
  <c r="AI9" i="14"/>
  <c r="AY9" i="14" s="1"/>
  <c r="AF9" i="14"/>
  <c r="AX9" i="14" s="1"/>
  <c r="AC9" i="14"/>
  <c r="AW9" i="14" s="1"/>
  <c r="Z9" i="14"/>
  <c r="AV9" i="14" s="1"/>
  <c r="W9" i="14"/>
  <c r="AU9" i="14" s="1"/>
  <c r="T9" i="14"/>
  <c r="AT9" i="14" s="1"/>
  <c r="Q9" i="14"/>
  <c r="AS9" i="14" s="1"/>
  <c r="N9" i="14"/>
  <c r="AR9" i="14" s="1"/>
  <c r="K9" i="14"/>
  <c r="AQ9" i="14" s="1"/>
  <c r="H9" i="14"/>
  <c r="AP9" i="14" s="1"/>
  <c r="AL8" i="14"/>
  <c r="AZ8" i="14" s="1"/>
  <c r="AI8" i="14"/>
  <c r="AY8" i="14" s="1"/>
  <c r="AF8" i="14"/>
  <c r="AX8" i="14" s="1"/>
  <c r="AC8" i="14"/>
  <c r="AW8" i="14" s="1"/>
  <c r="Z8" i="14"/>
  <c r="AV8" i="14" s="1"/>
  <c r="W8" i="14"/>
  <c r="AU8" i="14" s="1"/>
  <c r="T8" i="14"/>
  <c r="AT8" i="14" s="1"/>
  <c r="Q8" i="14"/>
  <c r="AS8" i="14" s="1"/>
  <c r="N8" i="14"/>
  <c r="AR8" i="14" s="1"/>
  <c r="K8" i="14"/>
  <c r="AQ8" i="14" s="1"/>
  <c r="H8" i="14"/>
  <c r="AP8" i="14" s="1"/>
  <c r="AL7" i="14"/>
  <c r="AZ7" i="14" s="1"/>
  <c r="AI7" i="14"/>
  <c r="AY7" i="14" s="1"/>
  <c r="AF7" i="14"/>
  <c r="AX7" i="14" s="1"/>
  <c r="AC7" i="14"/>
  <c r="AW7" i="14" s="1"/>
  <c r="Z7" i="14"/>
  <c r="AV7" i="14" s="1"/>
  <c r="W7" i="14"/>
  <c r="T7" i="14"/>
  <c r="AT7" i="14" s="1"/>
  <c r="Q7" i="14"/>
  <c r="AS7" i="14" s="1"/>
  <c r="N7" i="14"/>
  <c r="AR7" i="14" s="1"/>
  <c r="K7" i="14"/>
  <c r="AQ7" i="14" s="1"/>
  <c r="H7" i="14"/>
  <c r="AP7" i="14" s="1"/>
  <c r="T27" i="2"/>
  <c r="S27" i="2"/>
  <c r="R27" i="2"/>
  <c r="Q27" i="2"/>
  <c r="P27" i="2"/>
  <c r="O27" i="2"/>
  <c r="N27" i="2"/>
  <c r="L27" i="2"/>
  <c r="K27" i="2"/>
  <c r="J27" i="2"/>
  <c r="AU7" i="14" l="1"/>
  <c r="W31" i="3"/>
  <c r="AU31" i="3" s="1"/>
  <c r="AM94" i="3"/>
  <c r="AZ11" i="14"/>
  <c r="AL40" i="3"/>
  <c r="AZ40" i="3" s="1"/>
  <c r="AR11" i="14"/>
  <c r="N40" i="3"/>
  <c r="AR40" i="3" s="1"/>
  <c r="Q21" i="3"/>
  <c r="N23" i="3"/>
  <c r="AO17" i="14"/>
  <c r="H29" i="14"/>
  <c r="K29" i="14" s="1"/>
  <c r="N29" i="14" s="1"/>
  <c r="Q29" i="14" s="1"/>
  <c r="T29" i="14" s="1"/>
  <c r="W29" i="14" s="1"/>
  <c r="Z29" i="14" s="1"/>
  <c r="AC29" i="14" s="1"/>
  <c r="AF29" i="14" s="1"/>
  <c r="AI29" i="14" s="1"/>
  <c r="AL29" i="14" s="1"/>
  <c r="H25" i="14"/>
  <c r="AP26" i="14"/>
  <c r="AP32" i="14"/>
  <c r="AP27" i="14"/>
  <c r="AO34" i="14"/>
  <c r="AR30" i="14"/>
  <c r="E31" i="14"/>
  <c r="AQ30" i="14"/>
  <c r="Q23" i="3" l="1"/>
  <c r="T21" i="3"/>
  <c r="K25" i="14"/>
  <c r="AP28" i="14"/>
  <c r="AP33" i="14"/>
  <c r="AS30" i="14"/>
  <c r="AP34" i="14"/>
  <c r="AO31" i="14"/>
  <c r="AQ32" i="14"/>
  <c r="AP29" i="14"/>
  <c r="AP25" i="14"/>
  <c r="AQ27" i="14"/>
  <c r="T23" i="3" l="1"/>
  <c r="W21" i="3"/>
  <c r="N25" i="14"/>
  <c r="AQ28" i="14"/>
  <c r="AQ33" i="14"/>
  <c r="AQ26" i="14"/>
  <c r="AR32" i="14"/>
  <c r="AQ25" i="14"/>
  <c r="AT30" i="14"/>
  <c r="AR27" i="14"/>
  <c r="AQ29" i="14"/>
  <c r="AQ34" i="14"/>
  <c r="AP31" i="14"/>
  <c r="W23" i="3" l="1"/>
  <c r="Z21" i="3"/>
  <c r="Q25" i="14"/>
  <c r="AR33" i="14"/>
  <c r="AR26" i="14"/>
  <c r="AR28" i="14"/>
  <c r="AS27" i="14"/>
  <c r="AR29" i="14"/>
  <c r="AR34" i="14"/>
  <c r="AR25" i="14"/>
  <c r="AQ31" i="14"/>
  <c r="AU30" i="14"/>
  <c r="AS32" i="14"/>
  <c r="Z23" i="3" l="1"/>
  <c r="AC21" i="3"/>
  <c r="T25" i="14"/>
  <c r="AS28" i="14"/>
  <c r="AS26" i="14"/>
  <c r="AS33" i="14"/>
  <c r="AS25" i="14"/>
  <c r="AT32" i="14"/>
  <c r="AS34" i="14"/>
  <c r="AR31" i="14"/>
  <c r="AS29" i="14"/>
  <c r="AV30" i="14"/>
  <c r="AT27" i="14"/>
  <c r="AF21" i="3" l="1"/>
  <c r="AC23" i="3"/>
  <c r="W25" i="14"/>
  <c r="AT33" i="14"/>
  <c r="AT26" i="14"/>
  <c r="AT28" i="14"/>
  <c r="AS31" i="14"/>
  <c r="AT29" i="14"/>
  <c r="AT34" i="14"/>
  <c r="AU32" i="14"/>
  <c r="AU27" i="14"/>
  <c r="AW30" i="14"/>
  <c r="AT25" i="14"/>
  <c r="AF23" i="3" l="1"/>
  <c r="AI21" i="3"/>
  <c r="Z25" i="14"/>
  <c r="AU28" i="14"/>
  <c r="AU26" i="14"/>
  <c r="AU33" i="14"/>
  <c r="AV32" i="14"/>
  <c r="AU34" i="14"/>
  <c r="AU29" i="14"/>
  <c r="AV27" i="14"/>
  <c r="AU25" i="14"/>
  <c r="AX30" i="14"/>
  <c r="AT31" i="14"/>
  <c r="AL21" i="3" l="1"/>
  <c r="AI23" i="3"/>
  <c r="AC25" i="14"/>
  <c r="AV26" i="14"/>
  <c r="AV33" i="14"/>
  <c r="AV28" i="14"/>
  <c r="AW27" i="14"/>
  <c r="AV34" i="14"/>
  <c r="AV25" i="14"/>
  <c r="AV29" i="14"/>
  <c r="AU31" i="14"/>
  <c r="AW32" i="14"/>
  <c r="AZ30" i="14"/>
  <c r="AY30" i="14"/>
  <c r="AL23" i="3" l="1"/>
  <c r="AF25" i="14"/>
  <c r="AW28" i="14"/>
  <c r="AW33" i="14"/>
  <c r="AW26" i="14"/>
  <c r="AW25" i="14"/>
  <c r="AV31" i="14"/>
  <c r="AX32" i="14"/>
  <c r="AW29" i="14"/>
  <c r="AW34" i="14"/>
  <c r="AX27" i="14"/>
  <c r="AI25" i="14" l="1"/>
  <c r="AX26" i="14"/>
  <c r="AX33" i="14"/>
  <c r="AX28" i="14"/>
  <c r="AW31" i="14"/>
  <c r="AX29" i="14"/>
  <c r="AX34" i="14"/>
  <c r="AY32" i="14"/>
  <c r="AZ32" i="14"/>
  <c r="AZ27" i="14"/>
  <c r="AY27" i="14"/>
  <c r="AX25" i="14"/>
  <c r="AL25" i="14" l="1"/>
  <c r="AZ28" i="14"/>
  <c r="AY28" i="14"/>
  <c r="AZ33" i="14"/>
  <c r="AY33" i="14"/>
  <c r="AY26" i="14"/>
  <c r="AZ26" i="14"/>
  <c r="AZ25" i="14"/>
  <c r="AY25" i="14"/>
  <c r="AY34" i="14"/>
  <c r="AZ34" i="14"/>
  <c r="AZ29" i="14"/>
  <c r="AY29" i="14"/>
  <c r="AX31" i="14"/>
  <c r="AY31" i="14" l="1"/>
  <c r="AZ31" i="14"/>
  <c r="Q8" i="1" l="1"/>
  <c r="D10" i="6" l="1"/>
  <c r="C40" i="6"/>
  <c r="D5" i="10" l="1"/>
  <c r="D5" i="7" l="1"/>
  <c r="D9" i="6"/>
  <c r="D8" i="6"/>
  <c r="Q25" i="7" l="1"/>
  <c r="Q24" i="7"/>
  <c r="Q23" i="7"/>
  <c r="Q22" i="7"/>
  <c r="Q21" i="7"/>
  <c r="Q20" i="7"/>
  <c r="Q19" i="7"/>
  <c r="Q18" i="7"/>
  <c r="Q17" i="7"/>
  <c r="Q16" i="7"/>
  <c r="Q15" i="7"/>
  <c r="Q14" i="7"/>
  <c r="Q13" i="7"/>
  <c r="Q12" i="7"/>
  <c r="Q11" i="7"/>
  <c r="Q10" i="7"/>
  <c r="Q9" i="7"/>
  <c r="Q8" i="7"/>
  <c r="Q7" i="7"/>
  <c r="Q6" i="7"/>
  <c r="Q5" i="7"/>
  <c r="Q25" i="10"/>
  <c r="Q24" i="10"/>
  <c r="Q23" i="10"/>
  <c r="Q22" i="10"/>
  <c r="Q21" i="10"/>
  <c r="Q20" i="10"/>
  <c r="Q19" i="10"/>
  <c r="Q18" i="10"/>
  <c r="Q17" i="10"/>
  <c r="Q16" i="10"/>
  <c r="Q15" i="10"/>
  <c r="Q14" i="10"/>
  <c r="Q13" i="10"/>
  <c r="Q12" i="10"/>
  <c r="Q11" i="10"/>
  <c r="Q10" i="10"/>
  <c r="Q9" i="10"/>
  <c r="Q7" i="10"/>
  <c r="Q6" i="10"/>
  <c r="Q5" i="10"/>
  <c r="Q19" i="8"/>
  <c r="Q18" i="8"/>
  <c r="Q17" i="8"/>
  <c r="Q16" i="8"/>
  <c r="Q15" i="8"/>
  <c r="Q14" i="8"/>
  <c r="Q13" i="8"/>
  <c r="Q12" i="8"/>
  <c r="Q11" i="8"/>
  <c r="Q10" i="8"/>
  <c r="Q9" i="8"/>
  <c r="Q8" i="8"/>
  <c r="Q7" i="8"/>
  <c r="Q6" i="8"/>
  <c r="Q5" i="8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5" i="5"/>
  <c r="R4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O186" i="1"/>
  <c r="C186" i="2" s="1"/>
  <c r="O185" i="1"/>
  <c r="C185" i="2" s="1"/>
  <c r="O184" i="1"/>
  <c r="C184" i="2" s="1"/>
  <c r="O183" i="1"/>
  <c r="C183" i="2" s="1"/>
  <c r="O182" i="1"/>
  <c r="C182" i="2" s="1"/>
  <c r="O181" i="1"/>
  <c r="C181" i="2" s="1"/>
  <c r="O180" i="1"/>
  <c r="O179" i="1"/>
  <c r="O178" i="1"/>
  <c r="C178" i="2" s="1"/>
  <c r="O177" i="1"/>
  <c r="C177" i="2" s="1"/>
  <c r="O176" i="1"/>
  <c r="C176" i="2" s="1"/>
  <c r="O175" i="1"/>
  <c r="C175" i="2" s="1"/>
  <c r="O174" i="1"/>
  <c r="C174" i="2" s="1"/>
  <c r="O173" i="1"/>
  <c r="C173" i="2" s="1"/>
  <c r="O172" i="1"/>
  <c r="O171" i="1"/>
  <c r="O170" i="1"/>
  <c r="C170" i="2" s="1"/>
  <c r="O169" i="1"/>
  <c r="C169" i="2" s="1"/>
  <c r="O168" i="1"/>
  <c r="C168" i="2" s="1"/>
  <c r="O167" i="1"/>
  <c r="C167" i="2" s="1"/>
  <c r="O166" i="1"/>
  <c r="C166" i="2" s="1"/>
  <c r="O165" i="1"/>
  <c r="C165" i="2" s="1"/>
  <c r="O164" i="1"/>
  <c r="O163" i="1"/>
  <c r="O162" i="1"/>
  <c r="C162" i="2" s="1"/>
  <c r="O161" i="1"/>
  <c r="C161" i="2" s="1"/>
  <c r="O160" i="1"/>
  <c r="C160" i="2" s="1"/>
  <c r="O159" i="1"/>
  <c r="C159" i="2" s="1"/>
  <c r="O158" i="1"/>
  <c r="C158" i="2" s="1"/>
  <c r="O157" i="1"/>
  <c r="C157" i="2" s="1"/>
  <c r="O156" i="1"/>
  <c r="O155" i="1"/>
  <c r="O154" i="1"/>
  <c r="C154" i="2" s="1"/>
  <c r="O153" i="1"/>
  <c r="C153" i="2" s="1"/>
  <c r="O152" i="1"/>
  <c r="C152" i="2" s="1"/>
  <c r="O151" i="1"/>
  <c r="C151" i="2" s="1"/>
  <c r="O150" i="1"/>
  <c r="C150" i="2" s="1"/>
  <c r="O149" i="1"/>
  <c r="C149" i="2" s="1"/>
  <c r="O148" i="1"/>
  <c r="O147" i="1"/>
  <c r="C147" i="2" s="1"/>
  <c r="O146" i="1"/>
  <c r="C146" i="2" s="1"/>
  <c r="O145" i="1"/>
  <c r="C145" i="2" s="1"/>
  <c r="O144" i="1"/>
  <c r="C144" i="2" s="1"/>
  <c r="O143" i="1"/>
  <c r="C143" i="2" s="1"/>
  <c r="O142" i="1"/>
  <c r="C142" i="2" s="1"/>
  <c r="O141" i="1"/>
  <c r="C141" i="2" s="1"/>
  <c r="O140" i="1"/>
  <c r="O139" i="1"/>
  <c r="O138" i="1"/>
  <c r="C138" i="2" s="1"/>
  <c r="O137" i="1"/>
  <c r="C137" i="2" s="1"/>
  <c r="O136" i="1"/>
  <c r="C136" i="2" s="1"/>
  <c r="O135" i="1"/>
  <c r="C135" i="2" s="1"/>
  <c r="O134" i="1"/>
  <c r="C134" i="2" s="1"/>
  <c r="O133" i="1"/>
  <c r="C133" i="2" s="1"/>
  <c r="O132" i="1"/>
  <c r="O131" i="1"/>
  <c r="O130" i="1"/>
  <c r="C130" i="2" s="1"/>
  <c r="O129" i="1"/>
  <c r="C129" i="2" s="1"/>
  <c r="O128" i="1"/>
  <c r="C128" i="2" s="1"/>
  <c r="O127" i="1"/>
  <c r="C127" i="2" s="1"/>
  <c r="O126" i="1"/>
  <c r="C126" i="2" s="1"/>
  <c r="O125" i="1"/>
  <c r="C125" i="2" s="1"/>
  <c r="O124" i="1"/>
  <c r="O123" i="1"/>
  <c r="O122" i="1"/>
  <c r="C122" i="2" s="1"/>
  <c r="O121" i="1"/>
  <c r="C121" i="2" s="1"/>
  <c r="O120" i="1"/>
  <c r="C120" i="2" s="1"/>
  <c r="O119" i="1"/>
  <c r="C119" i="2" s="1"/>
  <c r="O118" i="1"/>
  <c r="C118" i="2" s="1"/>
  <c r="O117" i="1"/>
  <c r="C117" i="2" s="1"/>
  <c r="O116" i="1"/>
  <c r="O115" i="1"/>
  <c r="O114" i="1"/>
  <c r="C114" i="2" s="1"/>
  <c r="O113" i="1"/>
  <c r="C113" i="2" s="1"/>
  <c r="O112" i="1"/>
  <c r="C112" i="2" s="1"/>
  <c r="O111" i="1"/>
  <c r="C111" i="2" s="1"/>
  <c r="O110" i="1"/>
  <c r="C110" i="2" s="1"/>
  <c r="O109" i="1"/>
  <c r="C109" i="2" s="1"/>
  <c r="O108" i="1"/>
  <c r="O107" i="1"/>
  <c r="O106" i="1"/>
  <c r="C106" i="2" s="1"/>
  <c r="O105" i="1"/>
  <c r="C105" i="2" s="1"/>
  <c r="O104" i="1"/>
  <c r="C104" i="2" s="1"/>
  <c r="O103" i="1"/>
  <c r="C103" i="2" s="1"/>
  <c r="O102" i="1"/>
  <c r="C102" i="2" s="1"/>
  <c r="O101" i="1"/>
  <c r="C101" i="2" s="1"/>
  <c r="O100" i="1"/>
  <c r="O99" i="1"/>
  <c r="C99" i="2" s="1"/>
  <c r="O98" i="1"/>
  <c r="C98" i="2" s="1"/>
  <c r="O97" i="1"/>
  <c r="C97" i="2" s="1"/>
  <c r="O96" i="1"/>
  <c r="C96" i="2" s="1"/>
  <c r="O95" i="1"/>
  <c r="C95" i="2" s="1"/>
  <c r="O94" i="1"/>
  <c r="C94" i="2" s="1"/>
  <c r="O93" i="1"/>
  <c r="C93" i="2" s="1"/>
  <c r="O92" i="1"/>
  <c r="O91" i="1"/>
  <c r="O90" i="1"/>
  <c r="C90" i="2" s="1"/>
  <c r="O89" i="1"/>
  <c r="C89" i="2" s="1"/>
  <c r="O88" i="1"/>
  <c r="C88" i="2" s="1"/>
  <c r="O87" i="1"/>
  <c r="C87" i="2" s="1"/>
  <c r="O86" i="1"/>
  <c r="C86" i="2" s="1"/>
  <c r="O85" i="1"/>
  <c r="C85" i="2" s="1"/>
  <c r="O84" i="1"/>
  <c r="O83" i="1"/>
  <c r="C83" i="2" s="1"/>
  <c r="O82" i="1"/>
  <c r="C82" i="2" s="1"/>
  <c r="O81" i="1"/>
  <c r="C81" i="2" s="1"/>
  <c r="O80" i="1"/>
  <c r="C80" i="2" s="1"/>
  <c r="O79" i="1"/>
  <c r="C79" i="2" s="1"/>
  <c r="O78" i="1"/>
  <c r="C78" i="2" s="1"/>
  <c r="O77" i="1"/>
  <c r="C77" i="2" s="1"/>
  <c r="O76" i="1"/>
  <c r="O75" i="1"/>
  <c r="C75" i="2" s="1"/>
  <c r="O74" i="1"/>
  <c r="C74" i="2" s="1"/>
  <c r="O73" i="1"/>
  <c r="C73" i="2" s="1"/>
  <c r="O72" i="1"/>
  <c r="C72" i="2" s="1"/>
  <c r="O71" i="1"/>
  <c r="C71" i="2" s="1"/>
  <c r="O70" i="1"/>
  <c r="C70" i="2" s="1"/>
  <c r="O69" i="1"/>
  <c r="C69" i="2" s="1"/>
  <c r="O68" i="1"/>
  <c r="O67" i="1"/>
  <c r="O66" i="1"/>
  <c r="C66" i="2" s="1"/>
  <c r="O65" i="1"/>
  <c r="C65" i="2" s="1"/>
  <c r="O64" i="1"/>
  <c r="C64" i="2" s="1"/>
  <c r="O63" i="1"/>
  <c r="C63" i="2" s="1"/>
  <c r="O62" i="1"/>
  <c r="C62" i="2" s="1"/>
  <c r="O61" i="1"/>
  <c r="C61" i="2" s="1"/>
  <c r="O60" i="1"/>
  <c r="C60" i="2" s="1"/>
  <c r="O59" i="1"/>
  <c r="O58" i="1"/>
  <c r="C58" i="2" s="1"/>
  <c r="O57" i="1"/>
  <c r="C57" i="2" s="1"/>
  <c r="O56" i="1"/>
  <c r="C56" i="2" s="1"/>
  <c r="O55" i="1"/>
  <c r="C55" i="2" s="1"/>
  <c r="C54" i="2"/>
  <c r="O53" i="1"/>
  <c r="C53" i="2" s="1"/>
  <c r="O52" i="1"/>
  <c r="C52" i="2" s="1"/>
  <c r="O51" i="1"/>
  <c r="O50" i="1"/>
  <c r="C50" i="2" s="1"/>
  <c r="O49" i="1"/>
  <c r="C49" i="2" s="1"/>
  <c r="O48" i="1"/>
  <c r="C48" i="2" s="1"/>
  <c r="O47" i="1"/>
  <c r="C47" i="2" s="1"/>
  <c r="O46" i="1"/>
  <c r="C46" i="2" s="1"/>
  <c r="O45" i="1"/>
  <c r="C45" i="2" s="1"/>
  <c r="O44" i="1"/>
  <c r="C44" i="2" s="1"/>
  <c r="O43" i="1"/>
  <c r="C43" i="2" s="1"/>
  <c r="O42" i="1"/>
  <c r="C42" i="2" s="1"/>
  <c r="O41" i="1"/>
  <c r="C41" i="2" s="1"/>
  <c r="O40" i="1"/>
  <c r="C40" i="2" s="1"/>
  <c r="O39" i="1"/>
  <c r="C39" i="2" s="1"/>
  <c r="O38" i="1"/>
  <c r="C38" i="2" s="1"/>
  <c r="O37" i="1"/>
  <c r="C37" i="2" s="1"/>
  <c r="O36" i="1"/>
  <c r="C36" i="2" s="1"/>
  <c r="O35" i="1"/>
  <c r="O34" i="1"/>
  <c r="C34" i="2" s="1"/>
  <c r="O33" i="1"/>
  <c r="C33" i="2" s="1"/>
  <c r="O32" i="1"/>
  <c r="C32" i="2" s="1"/>
  <c r="O31" i="1"/>
  <c r="C31" i="2" s="1"/>
  <c r="O30" i="1"/>
  <c r="C30" i="2" s="1"/>
  <c r="O29" i="1"/>
  <c r="C29" i="2" s="1"/>
  <c r="O28" i="1"/>
  <c r="C28" i="2" s="1"/>
  <c r="O27" i="1"/>
  <c r="O26" i="1"/>
  <c r="C26" i="2" s="1"/>
  <c r="O25" i="1"/>
  <c r="O24" i="1"/>
  <c r="C24" i="2" s="1"/>
  <c r="O23" i="1"/>
  <c r="C23" i="2" s="1"/>
  <c r="O22" i="1"/>
  <c r="C22" i="2" s="1"/>
  <c r="O21" i="1"/>
  <c r="C21" i="2" s="1"/>
  <c r="O20" i="1"/>
  <c r="C20" i="2" s="1"/>
  <c r="O19" i="1"/>
  <c r="C19" i="2" s="1"/>
  <c r="O18" i="1"/>
  <c r="C18" i="2" s="1"/>
  <c r="O16" i="1"/>
  <c r="C16" i="2" s="1"/>
  <c r="O15" i="1"/>
  <c r="C15" i="2" s="1"/>
  <c r="O14" i="1"/>
  <c r="C14" i="2" s="1"/>
  <c r="O13" i="1"/>
  <c r="C13" i="2" s="1"/>
  <c r="O12" i="1"/>
  <c r="C12" i="2" s="1"/>
  <c r="O11" i="1"/>
  <c r="O10" i="1"/>
  <c r="O9" i="1"/>
  <c r="C9" i="2" s="1"/>
  <c r="O8" i="1"/>
  <c r="C8" i="2" s="1"/>
  <c r="D8" i="2" s="1"/>
  <c r="E8" i="2" s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AB98" i="1"/>
  <c r="AA98" i="1"/>
  <c r="Z98" i="1"/>
  <c r="Y98" i="1"/>
  <c r="X98" i="1"/>
  <c r="W98" i="1"/>
  <c r="V98" i="1"/>
  <c r="U98" i="1"/>
  <c r="T98" i="1"/>
  <c r="S98" i="1"/>
  <c r="R98" i="1"/>
  <c r="Q98" i="1"/>
  <c r="AB97" i="1"/>
  <c r="AA97" i="1"/>
  <c r="Z97" i="1"/>
  <c r="Y97" i="1"/>
  <c r="X97" i="1"/>
  <c r="W97" i="1"/>
  <c r="V97" i="1"/>
  <c r="U97" i="1"/>
  <c r="T97" i="1"/>
  <c r="S97" i="1"/>
  <c r="R97" i="1"/>
  <c r="Q97" i="1"/>
  <c r="AB96" i="1"/>
  <c r="AA96" i="1"/>
  <c r="Z96" i="1"/>
  <c r="Y96" i="1"/>
  <c r="X96" i="1"/>
  <c r="W96" i="1"/>
  <c r="V96" i="1"/>
  <c r="U96" i="1"/>
  <c r="T96" i="1"/>
  <c r="S96" i="1"/>
  <c r="R96" i="1"/>
  <c r="Q96" i="1"/>
  <c r="AB95" i="1"/>
  <c r="AA95" i="1"/>
  <c r="Z95" i="1"/>
  <c r="Y95" i="1"/>
  <c r="X95" i="1"/>
  <c r="W95" i="1"/>
  <c r="V95" i="1"/>
  <c r="U95" i="1"/>
  <c r="T95" i="1"/>
  <c r="S95" i="1"/>
  <c r="R95" i="1"/>
  <c r="Q95" i="1"/>
  <c r="AB94" i="1"/>
  <c r="AA94" i="1"/>
  <c r="Z94" i="1"/>
  <c r="Y94" i="1"/>
  <c r="X94" i="1"/>
  <c r="W94" i="1"/>
  <c r="V94" i="1"/>
  <c r="U94" i="1"/>
  <c r="T94" i="1"/>
  <c r="S94" i="1"/>
  <c r="R94" i="1"/>
  <c r="Q94" i="1"/>
  <c r="AB93" i="1"/>
  <c r="AA93" i="1"/>
  <c r="Z93" i="1"/>
  <c r="Y93" i="1"/>
  <c r="X93" i="1"/>
  <c r="W93" i="1"/>
  <c r="V93" i="1"/>
  <c r="U93" i="1"/>
  <c r="T93" i="1"/>
  <c r="S93" i="1"/>
  <c r="R93" i="1"/>
  <c r="Q93" i="1"/>
  <c r="AB92" i="1"/>
  <c r="AA92" i="1"/>
  <c r="Z92" i="1"/>
  <c r="Y92" i="1"/>
  <c r="X92" i="1"/>
  <c r="W92" i="1"/>
  <c r="V92" i="1"/>
  <c r="U92" i="1"/>
  <c r="T92" i="1"/>
  <c r="S92" i="1"/>
  <c r="R92" i="1"/>
  <c r="Q92" i="1"/>
  <c r="AB91" i="1"/>
  <c r="AA91" i="1"/>
  <c r="Z91" i="1"/>
  <c r="Y91" i="1"/>
  <c r="X91" i="1"/>
  <c r="W91" i="1"/>
  <c r="V91" i="1"/>
  <c r="U91" i="1"/>
  <c r="T91" i="1"/>
  <c r="S91" i="1"/>
  <c r="R91" i="1"/>
  <c r="Q91" i="1"/>
  <c r="AB89" i="1"/>
  <c r="AA89" i="1"/>
  <c r="Z89" i="1"/>
  <c r="Y89" i="1"/>
  <c r="X89" i="1"/>
  <c r="W89" i="1"/>
  <c r="V89" i="1"/>
  <c r="U89" i="1"/>
  <c r="T89" i="1"/>
  <c r="S89" i="1"/>
  <c r="R89" i="1"/>
  <c r="Q89" i="1"/>
  <c r="AB88" i="1"/>
  <c r="AA88" i="1"/>
  <c r="Z88" i="1"/>
  <c r="Y88" i="1"/>
  <c r="X88" i="1"/>
  <c r="W88" i="1"/>
  <c r="V88" i="1"/>
  <c r="U88" i="1"/>
  <c r="T88" i="1"/>
  <c r="S88" i="1"/>
  <c r="R88" i="1"/>
  <c r="Q88" i="1"/>
  <c r="AB87" i="1"/>
  <c r="AA87" i="1"/>
  <c r="Z87" i="1"/>
  <c r="Y87" i="1"/>
  <c r="X87" i="1"/>
  <c r="W87" i="1"/>
  <c r="V87" i="1"/>
  <c r="U87" i="1"/>
  <c r="T87" i="1"/>
  <c r="S87" i="1"/>
  <c r="R87" i="1"/>
  <c r="Q87" i="1"/>
  <c r="AB86" i="1"/>
  <c r="AA86" i="1"/>
  <c r="Z86" i="1"/>
  <c r="Y86" i="1"/>
  <c r="X86" i="1"/>
  <c r="W86" i="1"/>
  <c r="V86" i="1"/>
  <c r="U86" i="1"/>
  <c r="T86" i="1"/>
  <c r="S86" i="1"/>
  <c r="R86" i="1"/>
  <c r="Q86" i="1"/>
  <c r="AB84" i="1"/>
  <c r="AA84" i="1"/>
  <c r="Z84" i="1"/>
  <c r="Y84" i="1"/>
  <c r="X84" i="1"/>
  <c r="W84" i="1"/>
  <c r="V84" i="1"/>
  <c r="U84" i="1"/>
  <c r="T84" i="1"/>
  <c r="S84" i="1"/>
  <c r="R84" i="1"/>
  <c r="Q84" i="1"/>
  <c r="AB83" i="1"/>
  <c r="AA83" i="1"/>
  <c r="Z83" i="1"/>
  <c r="Y83" i="1"/>
  <c r="X83" i="1"/>
  <c r="W83" i="1"/>
  <c r="V83" i="1"/>
  <c r="U83" i="1"/>
  <c r="T83" i="1"/>
  <c r="S83" i="1"/>
  <c r="R83" i="1"/>
  <c r="Q83" i="1"/>
  <c r="AB82" i="1"/>
  <c r="AA82" i="1"/>
  <c r="Z82" i="1"/>
  <c r="Y82" i="1"/>
  <c r="X82" i="1"/>
  <c r="W82" i="1"/>
  <c r="V82" i="1"/>
  <c r="U82" i="1"/>
  <c r="T82" i="1"/>
  <c r="S82" i="1"/>
  <c r="R82" i="1"/>
  <c r="Q82" i="1"/>
  <c r="AB81" i="1"/>
  <c r="AA81" i="1"/>
  <c r="Z81" i="1"/>
  <c r="Y81" i="1"/>
  <c r="X81" i="1"/>
  <c r="W81" i="1"/>
  <c r="V81" i="1"/>
  <c r="U81" i="1"/>
  <c r="T81" i="1"/>
  <c r="S81" i="1"/>
  <c r="R81" i="1"/>
  <c r="Q81" i="1"/>
  <c r="AB79" i="1"/>
  <c r="AA79" i="1"/>
  <c r="Z79" i="1"/>
  <c r="Y79" i="1"/>
  <c r="X79" i="1"/>
  <c r="W79" i="1"/>
  <c r="V79" i="1"/>
  <c r="U79" i="1"/>
  <c r="T79" i="1"/>
  <c r="S79" i="1"/>
  <c r="R79" i="1"/>
  <c r="Q79" i="1"/>
  <c r="AB78" i="1"/>
  <c r="AA78" i="1"/>
  <c r="Z78" i="1"/>
  <c r="Y78" i="1"/>
  <c r="X78" i="1"/>
  <c r="W78" i="1"/>
  <c r="V78" i="1"/>
  <c r="U78" i="1"/>
  <c r="T78" i="1"/>
  <c r="S78" i="1"/>
  <c r="R78" i="1"/>
  <c r="Q78" i="1"/>
  <c r="AB77" i="1"/>
  <c r="AA77" i="1"/>
  <c r="Z77" i="1"/>
  <c r="Y77" i="1"/>
  <c r="X77" i="1"/>
  <c r="W77" i="1"/>
  <c r="V77" i="1"/>
  <c r="U77" i="1"/>
  <c r="T77" i="1"/>
  <c r="S77" i="1"/>
  <c r="R77" i="1"/>
  <c r="Q77" i="1"/>
  <c r="AB76" i="1"/>
  <c r="AA76" i="1"/>
  <c r="Z76" i="1"/>
  <c r="Y76" i="1"/>
  <c r="X76" i="1"/>
  <c r="W76" i="1"/>
  <c r="V76" i="1"/>
  <c r="U76" i="1"/>
  <c r="T76" i="1"/>
  <c r="S76" i="1"/>
  <c r="R76" i="1"/>
  <c r="Q76" i="1"/>
  <c r="AB74" i="1"/>
  <c r="AA74" i="1"/>
  <c r="Z74" i="1"/>
  <c r="Y74" i="1"/>
  <c r="X74" i="1"/>
  <c r="W74" i="1"/>
  <c r="V74" i="1"/>
  <c r="U74" i="1"/>
  <c r="T74" i="1"/>
  <c r="S74" i="1"/>
  <c r="R74" i="1"/>
  <c r="Q74" i="1"/>
  <c r="AB73" i="1"/>
  <c r="AA73" i="1"/>
  <c r="Z73" i="1"/>
  <c r="Y73" i="1"/>
  <c r="X73" i="1"/>
  <c r="W73" i="1"/>
  <c r="V73" i="1"/>
  <c r="U73" i="1"/>
  <c r="T73" i="1"/>
  <c r="S73" i="1"/>
  <c r="R73" i="1"/>
  <c r="Q73" i="1"/>
  <c r="AB72" i="1"/>
  <c r="AA72" i="1"/>
  <c r="Z72" i="1"/>
  <c r="Y72" i="1"/>
  <c r="X72" i="1"/>
  <c r="W72" i="1"/>
  <c r="V72" i="1"/>
  <c r="U72" i="1"/>
  <c r="T72" i="1"/>
  <c r="S72" i="1"/>
  <c r="R72" i="1"/>
  <c r="Q72" i="1"/>
  <c r="AB71" i="1"/>
  <c r="AA71" i="1"/>
  <c r="Z71" i="1"/>
  <c r="Y71" i="1"/>
  <c r="X71" i="1"/>
  <c r="W71" i="1"/>
  <c r="V71" i="1"/>
  <c r="U71" i="1"/>
  <c r="T71" i="1"/>
  <c r="S71" i="1"/>
  <c r="R71" i="1"/>
  <c r="Q71" i="1"/>
  <c r="AB70" i="1"/>
  <c r="AA70" i="1"/>
  <c r="Z70" i="1"/>
  <c r="Y70" i="1"/>
  <c r="X70" i="1"/>
  <c r="W70" i="1"/>
  <c r="V70" i="1"/>
  <c r="U70" i="1"/>
  <c r="T70" i="1"/>
  <c r="S70" i="1"/>
  <c r="R70" i="1"/>
  <c r="Q70" i="1"/>
  <c r="AB68" i="1"/>
  <c r="AA68" i="1"/>
  <c r="Z68" i="1"/>
  <c r="Y68" i="1"/>
  <c r="X68" i="1"/>
  <c r="W68" i="1"/>
  <c r="V68" i="1"/>
  <c r="U68" i="1"/>
  <c r="T68" i="1"/>
  <c r="S68" i="1"/>
  <c r="R68" i="1"/>
  <c r="Q68" i="1"/>
  <c r="AB67" i="1"/>
  <c r="AA67" i="1"/>
  <c r="Z67" i="1"/>
  <c r="Y67" i="1"/>
  <c r="X67" i="1"/>
  <c r="W67" i="1"/>
  <c r="V67" i="1"/>
  <c r="U67" i="1"/>
  <c r="T67" i="1"/>
  <c r="S67" i="1"/>
  <c r="R67" i="1"/>
  <c r="Q67" i="1"/>
  <c r="AB66" i="1"/>
  <c r="AA66" i="1"/>
  <c r="Z66" i="1"/>
  <c r="Y66" i="1"/>
  <c r="X66" i="1"/>
  <c r="W66" i="1"/>
  <c r="V66" i="1"/>
  <c r="U66" i="1"/>
  <c r="T66" i="1"/>
  <c r="S66" i="1"/>
  <c r="R66" i="1"/>
  <c r="Q66" i="1"/>
  <c r="AB65" i="1"/>
  <c r="AA65" i="1"/>
  <c r="Z65" i="1"/>
  <c r="Y65" i="1"/>
  <c r="X65" i="1"/>
  <c r="W65" i="1"/>
  <c r="V65" i="1"/>
  <c r="U65" i="1"/>
  <c r="T65" i="1"/>
  <c r="S65" i="1"/>
  <c r="R65" i="1"/>
  <c r="Q65" i="1"/>
  <c r="AB63" i="1"/>
  <c r="AA63" i="1"/>
  <c r="Z63" i="1"/>
  <c r="Y63" i="1"/>
  <c r="X63" i="1"/>
  <c r="W63" i="1"/>
  <c r="V63" i="1"/>
  <c r="U63" i="1"/>
  <c r="T63" i="1"/>
  <c r="S63" i="1"/>
  <c r="R63" i="1"/>
  <c r="Q63" i="1"/>
  <c r="AB62" i="1"/>
  <c r="AA62" i="1"/>
  <c r="Z62" i="1"/>
  <c r="Y62" i="1"/>
  <c r="X62" i="1"/>
  <c r="W62" i="1"/>
  <c r="V62" i="1"/>
  <c r="U62" i="1"/>
  <c r="T62" i="1"/>
  <c r="S62" i="1"/>
  <c r="R62" i="1"/>
  <c r="Q62" i="1"/>
  <c r="AB61" i="1"/>
  <c r="AA61" i="1"/>
  <c r="Z61" i="1"/>
  <c r="Y61" i="1"/>
  <c r="X61" i="1"/>
  <c r="W61" i="1"/>
  <c r="V61" i="1"/>
  <c r="U61" i="1"/>
  <c r="T61" i="1"/>
  <c r="S61" i="1"/>
  <c r="R61" i="1"/>
  <c r="Q61" i="1"/>
  <c r="AB60" i="1"/>
  <c r="AA60" i="1"/>
  <c r="Z60" i="1"/>
  <c r="Y60" i="1"/>
  <c r="X60" i="1"/>
  <c r="W60" i="1"/>
  <c r="V60" i="1"/>
  <c r="U60" i="1"/>
  <c r="T60" i="1"/>
  <c r="S60" i="1"/>
  <c r="R60" i="1"/>
  <c r="Q60" i="1"/>
  <c r="AB59" i="1"/>
  <c r="AA59" i="1"/>
  <c r="Z59" i="1"/>
  <c r="Y59" i="1"/>
  <c r="X59" i="1"/>
  <c r="W59" i="1"/>
  <c r="V59" i="1"/>
  <c r="U59" i="1"/>
  <c r="T59" i="1"/>
  <c r="S59" i="1"/>
  <c r="R59" i="1"/>
  <c r="Q59" i="1"/>
  <c r="AB58" i="1"/>
  <c r="AA58" i="1"/>
  <c r="Z58" i="1"/>
  <c r="Y58" i="1"/>
  <c r="X58" i="1"/>
  <c r="W58" i="1"/>
  <c r="V58" i="1"/>
  <c r="U58" i="1"/>
  <c r="T58" i="1"/>
  <c r="S58" i="1"/>
  <c r="R58" i="1"/>
  <c r="Q58" i="1"/>
  <c r="AB57" i="1"/>
  <c r="AA57" i="1"/>
  <c r="Z57" i="1"/>
  <c r="Y57" i="1"/>
  <c r="X57" i="1"/>
  <c r="W57" i="1"/>
  <c r="V57" i="1"/>
  <c r="U57" i="1"/>
  <c r="T57" i="1"/>
  <c r="S57" i="1"/>
  <c r="R57" i="1"/>
  <c r="Q57" i="1"/>
  <c r="AB56" i="1"/>
  <c r="AA56" i="1"/>
  <c r="Z56" i="1"/>
  <c r="Y56" i="1"/>
  <c r="X56" i="1"/>
  <c r="W56" i="1"/>
  <c r="V56" i="1"/>
  <c r="U56" i="1"/>
  <c r="T56" i="1"/>
  <c r="S56" i="1"/>
  <c r="R56" i="1"/>
  <c r="Q56" i="1"/>
  <c r="AB55" i="1"/>
  <c r="AA55" i="1"/>
  <c r="Z55" i="1"/>
  <c r="Y55" i="1"/>
  <c r="X55" i="1"/>
  <c r="W55" i="1"/>
  <c r="V55" i="1"/>
  <c r="U55" i="1"/>
  <c r="T55" i="1"/>
  <c r="S55" i="1"/>
  <c r="R55" i="1"/>
  <c r="Q55" i="1"/>
  <c r="AB54" i="1"/>
  <c r="AA54" i="1"/>
  <c r="Z54" i="1"/>
  <c r="Y54" i="1"/>
  <c r="X54" i="1"/>
  <c r="W54" i="1"/>
  <c r="V54" i="1"/>
  <c r="U54" i="1"/>
  <c r="T54" i="1"/>
  <c r="S54" i="1"/>
  <c r="R54" i="1"/>
  <c r="Q54" i="1"/>
  <c r="AB53" i="1"/>
  <c r="AA53" i="1"/>
  <c r="Z53" i="1"/>
  <c r="Y53" i="1"/>
  <c r="X53" i="1"/>
  <c r="W53" i="1"/>
  <c r="V53" i="1"/>
  <c r="U53" i="1"/>
  <c r="T53" i="1"/>
  <c r="S53" i="1"/>
  <c r="R53" i="1"/>
  <c r="Q53" i="1"/>
  <c r="AB52" i="1"/>
  <c r="AA52" i="1"/>
  <c r="Z52" i="1"/>
  <c r="Y52" i="1"/>
  <c r="X52" i="1"/>
  <c r="W52" i="1"/>
  <c r="V52" i="1"/>
  <c r="U52" i="1"/>
  <c r="T52" i="1"/>
  <c r="S52" i="1"/>
  <c r="R52" i="1"/>
  <c r="Q52" i="1"/>
  <c r="AB51" i="1"/>
  <c r="AA51" i="1"/>
  <c r="Z51" i="1"/>
  <c r="Y51" i="1"/>
  <c r="X51" i="1"/>
  <c r="W51" i="1"/>
  <c r="V51" i="1"/>
  <c r="U51" i="1"/>
  <c r="T51" i="1"/>
  <c r="S51" i="1"/>
  <c r="R51" i="1"/>
  <c r="Q51" i="1"/>
  <c r="AB50" i="1"/>
  <c r="AA50" i="1"/>
  <c r="Z50" i="1"/>
  <c r="Y50" i="1"/>
  <c r="X50" i="1"/>
  <c r="W50" i="1"/>
  <c r="V50" i="1"/>
  <c r="U50" i="1"/>
  <c r="T50" i="1"/>
  <c r="S50" i="1"/>
  <c r="R50" i="1"/>
  <c r="Q50" i="1"/>
  <c r="AB49" i="1"/>
  <c r="AA49" i="1"/>
  <c r="Z49" i="1"/>
  <c r="Y49" i="1"/>
  <c r="X49" i="1"/>
  <c r="W49" i="1"/>
  <c r="V49" i="1"/>
  <c r="U49" i="1"/>
  <c r="T49" i="1"/>
  <c r="S49" i="1"/>
  <c r="R49" i="1"/>
  <c r="Q49" i="1"/>
  <c r="AB48" i="1"/>
  <c r="AA48" i="1"/>
  <c r="Z48" i="1"/>
  <c r="Y48" i="1"/>
  <c r="X48" i="1"/>
  <c r="W48" i="1"/>
  <c r="V48" i="1"/>
  <c r="U48" i="1"/>
  <c r="T48" i="1"/>
  <c r="S48" i="1"/>
  <c r="R48" i="1"/>
  <c r="Q48" i="1"/>
  <c r="AB47" i="1"/>
  <c r="AA47" i="1"/>
  <c r="Z47" i="1"/>
  <c r="Y47" i="1"/>
  <c r="X47" i="1"/>
  <c r="W47" i="1"/>
  <c r="V47" i="1"/>
  <c r="U47" i="1"/>
  <c r="T47" i="1"/>
  <c r="S47" i="1"/>
  <c r="R47" i="1"/>
  <c r="Q47" i="1"/>
  <c r="AB46" i="1"/>
  <c r="AA46" i="1"/>
  <c r="Z46" i="1"/>
  <c r="Y46" i="1"/>
  <c r="X46" i="1"/>
  <c r="W46" i="1"/>
  <c r="V46" i="1"/>
  <c r="U46" i="1"/>
  <c r="T46" i="1"/>
  <c r="S46" i="1"/>
  <c r="R46" i="1"/>
  <c r="Q46" i="1"/>
  <c r="AB45" i="1"/>
  <c r="AA45" i="1"/>
  <c r="Z45" i="1"/>
  <c r="Y45" i="1"/>
  <c r="X45" i="1"/>
  <c r="W45" i="1"/>
  <c r="V45" i="1"/>
  <c r="U45" i="1"/>
  <c r="T45" i="1"/>
  <c r="S45" i="1"/>
  <c r="R45" i="1"/>
  <c r="Q45" i="1"/>
  <c r="AB42" i="1"/>
  <c r="AA42" i="1"/>
  <c r="Z42" i="1"/>
  <c r="Y42" i="1"/>
  <c r="X42" i="1"/>
  <c r="W42" i="1"/>
  <c r="V42" i="1"/>
  <c r="U42" i="1"/>
  <c r="T42" i="1"/>
  <c r="S42" i="1"/>
  <c r="R42" i="1"/>
  <c r="Q42" i="1"/>
  <c r="AB41" i="1"/>
  <c r="AA41" i="1"/>
  <c r="Z41" i="1"/>
  <c r="Y41" i="1"/>
  <c r="X41" i="1"/>
  <c r="W41" i="1"/>
  <c r="V41" i="1"/>
  <c r="U41" i="1"/>
  <c r="T41" i="1"/>
  <c r="S41" i="1"/>
  <c r="R41" i="1"/>
  <c r="Q41" i="1"/>
  <c r="AB40" i="1"/>
  <c r="AA40" i="1"/>
  <c r="Z40" i="1"/>
  <c r="Y40" i="1"/>
  <c r="X40" i="1"/>
  <c r="W40" i="1"/>
  <c r="V40" i="1"/>
  <c r="U40" i="1"/>
  <c r="T40" i="1"/>
  <c r="S40" i="1"/>
  <c r="R40" i="1"/>
  <c r="Q40" i="1"/>
  <c r="AB38" i="1"/>
  <c r="AA38" i="1"/>
  <c r="Z38" i="1"/>
  <c r="Y38" i="1"/>
  <c r="X38" i="1"/>
  <c r="W38" i="1"/>
  <c r="V38" i="1"/>
  <c r="U38" i="1"/>
  <c r="T38" i="1"/>
  <c r="S38" i="1"/>
  <c r="R38" i="1"/>
  <c r="Q38" i="1"/>
  <c r="AB37" i="1"/>
  <c r="AA37" i="1"/>
  <c r="Z37" i="1"/>
  <c r="Y37" i="1"/>
  <c r="X37" i="1"/>
  <c r="W37" i="1"/>
  <c r="V37" i="1"/>
  <c r="U37" i="1"/>
  <c r="T37" i="1"/>
  <c r="S37" i="1"/>
  <c r="R37" i="1"/>
  <c r="Q37" i="1"/>
  <c r="AB36" i="1"/>
  <c r="AA36" i="1"/>
  <c r="Z36" i="1"/>
  <c r="Y36" i="1"/>
  <c r="X36" i="1"/>
  <c r="W36" i="1"/>
  <c r="V36" i="1"/>
  <c r="U36" i="1"/>
  <c r="T36" i="1"/>
  <c r="S36" i="1"/>
  <c r="R36" i="1"/>
  <c r="Q36" i="1"/>
  <c r="AB35" i="1"/>
  <c r="AA35" i="1"/>
  <c r="Z35" i="1"/>
  <c r="Y35" i="1"/>
  <c r="X35" i="1"/>
  <c r="W35" i="1"/>
  <c r="V35" i="1"/>
  <c r="U35" i="1"/>
  <c r="T35" i="1"/>
  <c r="S35" i="1"/>
  <c r="R35" i="1"/>
  <c r="Q35" i="1"/>
  <c r="AB34" i="1"/>
  <c r="AA34" i="1"/>
  <c r="Z34" i="1"/>
  <c r="Y34" i="1"/>
  <c r="X34" i="1"/>
  <c r="W34" i="1"/>
  <c r="V34" i="1"/>
  <c r="U34" i="1"/>
  <c r="T34" i="1"/>
  <c r="S34" i="1"/>
  <c r="R34" i="1"/>
  <c r="Q34" i="1"/>
  <c r="AB33" i="1"/>
  <c r="AA33" i="1"/>
  <c r="Z33" i="1"/>
  <c r="Y33" i="1"/>
  <c r="X33" i="1"/>
  <c r="W33" i="1"/>
  <c r="V33" i="1"/>
  <c r="U33" i="1"/>
  <c r="T33" i="1"/>
  <c r="S33" i="1"/>
  <c r="R33" i="1"/>
  <c r="Q33" i="1"/>
  <c r="AB32" i="1"/>
  <c r="AA32" i="1"/>
  <c r="Z32" i="1"/>
  <c r="Y32" i="1"/>
  <c r="X32" i="1"/>
  <c r="W32" i="1"/>
  <c r="V32" i="1"/>
  <c r="U32" i="1"/>
  <c r="T32" i="1"/>
  <c r="S32" i="1"/>
  <c r="R32" i="1"/>
  <c r="Q32" i="1"/>
  <c r="AB31" i="1"/>
  <c r="AA31" i="1"/>
  <c r="Z31" i="1"/>
  <c r="Y31" i="1"/>
  <c r="X31" i="1"/>
  <c r="W31" i="1"/>
  <c r="V31" i="1"/>
  <c r="U31" i="1"/>
  <c r="T31" i="1"/>
  <c r="S31" i="1"/>
  <c r="R31" i="1"/>
  <c r="Q31" i="1"/>
  <c r="AB30" i="1"/>
  <c r="AA30" i="1"/>
  <c r="Z30" i="1"/>
  <c r="Y30" i="1"/>
  <c r="X30" i="1"/>
  <c r="W30" i="1"/>
  <c r="V30" i="1"/>
  <c r="U30" i="1"/>
  <c r="T30" i="1"/>
  <c r="S30" i="1"/>
  <c r="R30" i="1"/>
  <c r="Q30" i="1"/>
  <c r="AB29" i="1"/>
  <c r="AA29" i="1"/>
  <c r="Z29" i="1"/>
  <c r="Y29" i="1"/>
  <c r="X29" i="1"/>
  <c r="W29" i="1"/>
  <c r="V29" i="1"/>
  <c r="U29" i="1"/>
  <c r="T29" i="1"/>
  <c r="S29" i="1"/>
  <c r="R29" i="1"/>
  <c r="Q29" i="1"/>
  <c r="AB28" i="1"/>
  <c r="AA28" i="1"/>
  <c r="Z28" i="1"/>
  <c r="Y28" i="1"/>
  <c r="X28" i="1"/>
  <c r="W28" i="1"/>
  <c r="V28" i="1"/>
  <c r="U28" i="1"/>
  <c r="T28" i="1"/>
  <c r="S28" i="1"/>
  <c r="R28" i="1"/>
  <c r="Q28" i="1"/>
  <c r="AB27" i="1"/>
  <c r="AA27" i="1"/>
  <c r="Z27" i="1"/>
  <c r="Y27" i="1"/>
  <c r="X27" i="1"/>
  <c r="W27" i="1"/>
  <c r="V27" i="1"/>
  <c r="U27" i="1"/>
  <c r="T27" i="1"/>
  <c r="S27" i="1"/>
  <c r="R27" i="1"/>
  <c r="Q27" i="1"/>
  <c r="AB26" i="1"/>
  <c r="AA26" i="1"/>
  <c r="Z26" i="1"/>
  <c r="Y26" i="1"/>
  <c r="X26" i="1"/>
  <c r="W26" i="1"/>
  <c r="V26" i="1"/>
  <c r="U26" i="1"/>
  <c r="T26" i="1"/>
  <c r="S26" i="1"/>
  <c r="R26" i="1"/>
  <c r="Q26" i="1"/>
  <c r="AB24" i="1"/>
  <c r="AA24" i="1"/>
  <c r="Z24" i="1"/>
  <c r="Y24" i="1"/>
  <c r="X24" i="1"/>
  <c r="W24" i="1"/>
  <c r="V24" i="1"/>
  <c r="U24" i="1"/>
  <c r="T24" i="1"/>
  <c r="S24" i="1"/>
  <c r="R24" i="1"/>
  <c r="Q24" i="1"/>
  <c r="AB23" i="1"/>
  <c r="AA23" i="1"/>
  <c r="Z23" i="1"/>
  <c r="Y23" i="1"/>
  <c r="X23" i="1"/>
  <c r="W23" i="1"/>
  <c r="V23" i="1"/>
  <c r="U23" i="1"/>
  <c r="T23" i="1"/>
  <c r="S23" i="1"/>
  <c r="R23" i="1"/>
  <c r="Q23" i="1"/>
  <c r="AB22" i="1"/>
  <c r="AA22" i="1"/>
  <c r="Z22" i="1"/>
  <c r="Y22" i="1"/>
  <c r="X22" i="1"/>
  <c r="W22" i="1"/>
  <c r="V22" i="1"/>
  <c r="U22" i="1"/>
  <c r="T22" i="1"/>
  <c r="S22" i="1"/>
  <c r="R22" i="1"/>
  <c r="Q22" i="1"/>
  <c r="AB21" i="1"/>
  <c r="AA21" i="1"/>
  <c r="Z21" i="1"/>
  <c r="Y21" i="1"/>
  <c r="X21" i="1"/>
  <c r="W21" i="1"/>
  <c r="V21" i="1"/>
  <c r="U21" i="1"/>
  <c r="T21" i="1"/>
  <c r="S21" i="1"/>
  <c r="R21" i="1"/>
  <c r="Q21" i="1"/>
  <c r="AB18" i="1"/>
  <c r="AA18" i="1"/>
  <c r="Z18" i="1"/>
  <c r="Y18" i="1"/>
  <c r="X18" i="1"/>
  <c r="W18" i="1"/>
  <c r="V18" i="1"/>
  <c r="U18" i="1"/>
  <c r="T18" i="1"/>
  <c r="S18" i="1"/>
  <c r="R18" i="1"/>
  <c r="AB16" i="1"/>
  <c r="AA16" i="1"/>
  <c r="Z16" i="1"/>
  <c r="Y16" i="1"/>
  <c r="X16" i="1"/>
  <c r="W16" i="1"/>
  <c r="V16" i="1"/>
  <c r="U16" i="1"/>
  <c r="T16" i="1"/>
  <c r="S16" i="1"/>
  <c r="R16" i="1"/>
  <c r="AB15" i="1"/>
  <c r="AA15" i="1"/>
  <c r="Z15" i="1"/>
  <c r="Y15" i="1"/>
  <c r="X15" i="1"/>
  <c r="W15" i="1"/>
  <c r="V15" i="1"/>
  <c r="U15" i="1"/>
  <c r="T15" i="1"/>
  <c r="S15" i="1"/>
  <c r="R15" i="1"/>
  <c r="AB14" i="1"/>
  <c r="AA14" i="1"/>
  <c r="Z14" i="1"/>
  <c r="Y14" i="1"/>
  <c r="X14" i="1"/>
  <c r="W14" i="1"/>
  <c r="V14" i="1"/>
  <c r="U14" i="1"/>
  <c r="T14" i="1"/>
  <c r="S14" i="1"/>
  <c r="R14" i="1"/>
  <c r="AB13" i="1"/>
  <c r="AA13" i="1"/>
  <c r="Z13" i="1"/>
  <c r="Y13" i="1"/>
  <c r="X13" i="1"/>
  <c r="W13" i="1"/>
  <c r="V13" i="1"/>
  <c r="U13" i="1"/>
  <c r="T13" i="1"/>
  <c r="S13" i="1"/>
  <c r="R13" i="1"/>
  <c r="AB12" i="1"/>
  <c r="AA12" i="1"/>
  <c r="Z12" i="1"/>
  <c r="Y12" i="1"/>
  <c r="X12" i="1"/>
  <c r="W12" i="1"/>
  <c r="V12" i="1"/>
  <c r="U12" i="1"/>
  <c r="T12" i="1"/>
  <c r="S12" i="1"/>
  <c r="R12" i="1"/>
  <c r="AB11" i="1"/>
  <c r="AA11" i="1"/>
  <c r="Z11" i="1"/>
  <c r="Y11" i="1"/>
  <c r="X11" i="1"/>
  <c r="W11" i="1"/>
  <c r="V11" i="1"/>
  <c r="U11" i="1"/>
  <c r="T11" i="1"/>
  <c r="S11" i="1"/>
  <c r="R11" i="1"/>
  <c r="AB10" i="1"/>
  <c r="AA10" i="1"/>
  <c r="Z10" i="1"/>
  <c r="Y10" i="1"/>
  <c r="X10" i="1"/>
  <c r="W10" i="1"/>
  <c r="V10" i="1"/>
  <c r="U10" i="1"/>
  <c r="T10" i="1"/>
  <c r="S10" i="1"/>
  <c r="R10" i="1"/>
  <c r="AB9" i="1"/>
  <c r="AA9" i="1"/>
  <c r="Z9" i="1"/>
  <c r="Y9" i="1"/>
  <c r="X9" i="1"/>
  <c r="W9" i="1"/>
  <c r="V9" i="1"/>
  <c r="U9" i="1"/>
  <c r="T9" i="1"/>
  <c r="S9" i="1"/>
  <c r="R9" i="1"/>
  <c r="AB8" i="1"/>
  <c r="AA8" i="1"/>
  <c r="Z8" i="1"/>
  <c r="Y8" i="1"/>
  <c r="X8" i="1"/>
  <c r="W8" i="1"/>
  <c r="V8" i="1"/>
  <c r="U8" i="1"/>
  <c r="T8" i="1"/>
  <c r="S8" i="1"/>
  <c r="R8" i="1"/>
  <c r="Q18" i="1"/>
  <c r="Q16" i="1"/>
  <c r="Q15" i="1"/>
  <c r="Q14" i="1"/>
  <c r="Q13" i="1"/>
  <c r="Q12" i="1"/>
  <c r="Q11" i="1"/>
  <c r="Q10" i="1"/>
  <c r="Q9" i="1"/>
  <c r="AC8" i="1" l="1"/>
  <c r="AC41" i="1"/>
  <c r="AC129" i="1"/>
  <c r="AC88" i="1"/>
  <c r="AC98" i="1"/>
  <c r="AC150" i="1"/>
  <c r="AC169" i="1"/>
  <c r="AC56" i="1"/>
  <c r="AC66" i="1"/>
  <c r="AC134" i="1"/>
  <c r="AC144" i="1"/>
  <c r="AC26" i="1"/>
  <c r="AC128" i="1"/>
  <c r="AC82" i="1"/>
  <c r="AC97" i="1"/>
  <c r="AC154" i="1"/>
  <c r="AC168" i="1"/>
  <c r="AC178" i="1"/>
  <c r="AC113" i="1"/>
  <c r="AC65" i="1"/>
  <c r="AC138" i="1"/>
  <c r="AC24" i="1"/>
  <c r="AC34" i="1"/>
  <c r="AC18" i="1"/>
  <c r="AC38" i="1"/>
  <c r="AC81" i="1"/>
  <c r="AC96" i="1"/>
  <c r="AC153" i="1"/>
  <c r="AC162" i="1"/>
  <c r="AC177" i="1"/>
  <c r="AC186" i="1"/>
  <c r="AC106" i="1"/>
  <c r="AC137" i="1"/>
  <c r="AC33" i="1"/>
  <c r="AC50" i="1"/>
  <c r="AC74" i="1"/>
  <c r="AC121" i="1"/>
  <c r="AC40" i="1"/>
  <c r="AC16" i="1"/>
  <c r="AC9" i="1"/>
  <c r="AC126" i="1"/>
  <c r="AC152" i="1"/>
  <c r="AC161" i="1"/>
  <c r="AC176" i="1"/>
  <c r="AC185" i="1"/>
  <c r="AC10" i="1"/>
  <c r="AC105" i="1"/>
  <c r="AC136" i="1"/>
  <c r="AC11" i="1"/>
  <c r="AC32" i="1"/>
  <c r="AC49" i="1"/>
  <c r="R25" i="5"/>
  <c r="AC58" i="1"/>
  <c r="AC73" i="1"/>
  <c r="AC120" i="1"/>
  <c r="AC146" i="1"/>
  <c r="AC15" i="1"/>
  <c r="AC130" i="1"/>
  <c r="AC160" i="1"/>
  <c r="AC184" i="1"/>
  <c r="AC42" i="1"/>
  <c r="AC78" i="1"/>
  <c r="AC89" i="1"/>
  <c r="AC104" i="1"/>
  <c r="AC114" i="1"/>
  <c r="AC48" i="1"/>
  <c r="AC57" i="1"/>
  <c r="AC72" i="1"/>
  <c r="AC119" i="1"/>
  <c r="AC145" i="1"/>
  <c r="AC173" i="1"/>
  <c r="AC12" i="1"/>
  <c r="AC93" i="1"/>
  <c r="AC101" i="1"/>
  <c r="AC37" i="1"/>
  <c r="AC45" i="1"/>
  <c r="AC141" i="1"/>
  <c r="AC157" i="1"/>
  <c r="AC61" i="1"/>
  <c r="AC109" i="1"/>
  <c r="AC181" i="1"/>
  <c r="AC29" i="1"/>
  <c r="AC77" i="1"/>
  <c r="AC125" i="1"/>
  <c r="AC21" i="1"/>
  <c r="AC53" i="1"/>
  <c r="AC60" i="1"/>
  <c r="AC54" i="1"/>
  <c r="AC70" i="1"/>
  <c r="AC182" i="1"/>
  <c r="AC46" i="1"/>
  <c r="AC110" i="1"/>
  <c r="AC13" i="1"/>
  <c r="AC158" i="1"/>
  <c r="AC166" i="1"/>
  <c r="AC174" i="1"/>
  <c r="AC22" i="1"/>
  <c r="AC30" i="1"/>
  <c r="AC86" i="1"/>
  <c r="AC94" i="1"/>
  <c r="AC62" i="1"/>
  <c r="AC102" i="1"/>
  <c r="AC118" i="1"/>
  <c r="AC14" i="1"/>
  <c r="AC63" i="1"/>
  <c r="AC127" i="1"/>
  <c r="AC55" i="1"/>
  <c r="AC135" i="1"/>
  <c r="AC159" i="1"/>
  <c r="AC183" i="1"/>
  <c r="AC87" i="1"/>
  <c r="AC143" i="1"/>
  <c r="AC167" i="1"/>
  <c r="AC47" i="1"/>
  <c r="AC95" i="1"/>
  <c r="AC111" i="1"/>
  <c r="AC151" i="1"/>
  <c r="AC175" i="1"/>
  <c r="AC23" i="1"/>
  <c r="AC31" i="1"/>
  <c r="AC71" i="1"/>
  <c r="AC103" i="1"/>
  <c r="AC79" i="1"/>
  <c r="AC83" i="1"/>
  <c r="AC68" i="1"/>
  <c r="AC76" i="1"/>
  <c r="AC84" i="1"/>
  <c r="AC92" i="1"/>
  <c r="AC100" i="1"/>
  <c r="AC108" i="1"/>
  <c r="AC116" i="1"/>
  <c r="AC124" i="1"/>
  <c r="AC132" i="1"/>
  <c r="AC140" i="1"/>
  <c r="AC148" i="1"/>
  <c r="AC156" i="1"/>
  <c r="AC164" i="1"/>
  <c r="AC172" i="1"/>
  <c r="AC180" i="1"/>
  <c r="AC147" i="1"/>
  <c r="K37" i="5"/>
  <c r="P37" i="5"/>
  <c r="Q37" i="5"/>
  <c r="F37" i="5"/>
  <c r="H37" i="5"/>
  <c r="I37" i="5"/>
  <c r="N37" i="5"/>
  <c r="J37" i="5"/>
  <c r="M37" i="5"/>
  <c r="K48" i="5"/>
  <c r="M48" i="5"/>
  <c r="I47" i="5"/>
  <c r="K47" i="5"/>
  <c r="L47" i="5"/>
  <c r="J47" i="5"/>
  <c r="M47" i="5"/>
  <c r="N47" i="5"/>
  <c r="F47" i="5"/>
  <c r="O47" i="5"/>
  <c r="G47" i="5"/>
  <c r="P47" i="5"/>
  <c r="H47" i="5"/>
  <c r="Q47" i="5"/>
  <c r="I43" i="5"/>
  <c r="N43" i="5"/>
  <c r="O43" i="5"/>
  <c r="F43" i="5"/>
  <c r="P43" i="5"/>
  <c r="G43" i="5"/>
  <c r="Q43" i="5"/>
  <c r="H43" i="5"/>
  <c r="K43" i="5"/>
  <c r="M43" i="5"/>
  <c r="L43" i="5"/>
  <c r="I39" i="5"/>
  <c r="G39" i="5"/>
  <c r="P39" i="5"/>
  <c r="F39" i="5"/>
  <c r="H39" i="5"/>
  <c r="J39" i="5"/>
  <c r="O39" i="5"/>
  <c r="K39" i="5"/>
  <c r="L39" i="5"/>
  <c r="M39" i="5"/>
  <c r="N39" i="5"/>
  <c r="I35" i="5"/>
  <c r="H35" i="5"/>
  <c r="K35" i="5"/>
  <c r="L35" i="5"/>
  <c r="M35" i="5"/>
  <c r="N35" i="5"/>
  <c r="O35" i="5"/>
  <c r="G35" i="5"/>
  <c r="F35" i="5"/>
  <c r="P35" i="5"/>
  <c r="J44" i="5"/>
  <c r="I44" i="5"/>
  <c r="M44" i="5"/>
  <c r="H44" i="5"/>
  <c r="O44" i="5"/>
  <c r="P44" i="5"/>
  <c r="Q44" i="5"/>
  <c r="G44" i="5"/>
  <c r="J36" i="5"/>
  <c r="G36" i="5"/>
  <c r="H36" i="5"/>
  <c r="I36" i="5"/>
  <c r="Q36" i="5"/>
  <c r="M36" i="5"/>
  <c r="O36" i="5"/>
  <c r="P36" i="5"/>
  <c r="L46" i="5"/>
  <c r="O46" i="5"/>
  <c r="F46" i="5"/>
  <c r="Q46" i="5"/>
  <c r="G46" i="5"/>
  <c r="I46" i="5"/>
  <c r="J46" i="5"/>
  <c r="K46" i="5"/>
  <c r="N46" i="5"/>
  <c r="M46" i="5"/>
  <c r="H42" i="5"/>
  <c r="O42" i="5"/>
  <c r="F42" i="5"/>
  <c r="G42" i="5"/>
  <c r="M42" i="5"/>
  <c r="N42" i="5"/>
  <c r="L38" i="5"/>
  <c r="K38" i="5"/>
  <c r="M38" i="5"/>
  <c r="J38" i="5"/>
  <c r="N38" i="5"/>
  <c r="O38" i="5"/>
  <c r="F38" i="5"/>
  <c r="Q38" i="5"/>
  <c r="G38" i="5"/>
  <c r="I38" i="5"/>
  <c r="F34" i="5"/>
  <c r="G34" i="5"/>
  <c r="M34" i="5"/>
  <c r="O34" i="5"/>
  <c r="K40" i="5"/>
  <c r="M40" i="5"/>
  <c r="K45" i="5"/>
  <c r="H45" i="5"/>
  <c r="I45" i="5"/>
  <c r="J45" i="5"/>
  <c r="F45" i="5"/>
  <c r="M45" i="5"/>
  <c r="N45" i="5"/>
  <c r="P45" i="5"/>
  <c r="Q45" i="5"/>
  <c r="L41" i="5"/>
  <c r="N41" i="5"/>
  <c r="F41" i="5"/>
  <c r="M41" i="5"/>
  <c r="L33" i="5"/>
  <c r="M33" i="5"/>
  <c r="N33" i="5"/>
  <c r="O33" i="5"/>
  <c r="P33" i="5"/>
  <c r="Q33" i="5"/>
  <c r="J48" i="5"/>
  <c r="P46" i="5"/>
  <c r="H46" i="5"/>
  <c r="O45" i="5"/>
  <c r="G45" i="5"/>
  <c r="N44" i="5"/>
  <c r="F44" i="5"/>
  <c r="L42" i="5"/>
  <c r="K41" i="5"/>
  <c r="J40" i="5"/>
  <c r="Q39" i="5"/>
  <c r="P38" i="5"/>
  <c r="H38" i="5"/>
  <c r="O37" i="5"/>
  <c r="G37" i="5"/>
  <c r="N36" i="5"/>
  <c r="F36" i="5"/>
  <c r="L34" i="5"/>
  <c r="K33" i="5"/>
  <c r="Q48" i="5"/>
  <c r="I48" i="5"/>
  <c r="K42" i="5"/>
  <c r="J41" i="5"/>
  <c r="Q40" i="5"/>
  <c r="I40" i="5"/>
  <c r="K34" i="5"/>
  <c r="J33" i="5"/>
  <c r="P48" i="5"/>
  <c r="H48" i="5"/>
  <c r="L44" i="5"/>
  <c r="J42" i="5"/>
  <c r="Q41" i="5"/>
  <c r="I41" i="5"/>
  <c r="P40" i="5"/>
  <c r="H40" i="5"/>
  <c r="L36" i="5"/>
  <c r="J34" i="5"/>
  <c r="I33" i="5"/>
  <c r="O48" i="5"/>
  <c r="G48" i="5"/>
  <c r="L45" i="5"/>
  <c r="K44" i="5"/>
  <c r="J43" i="5"/>
  <c r="Q42" i="5"/>
  <c r="I42" i="5"/>
  <c r="P41" i="5"/>
  <c r="H41" i="5"/>
  <c r="O40" i="5"/>
  <c r="G40" i="5"/>
  <c r="L37" i="5"/>
  <c r="K36" i="5"/>
  <c r="J35" i="5"/>
  <c r="Q34" i="5"/>
  <c r="I34" i="5"/>
  <c r="H33" i="5"/>
  <c r="N48" i="5"/>
  <c r="F48" i="5"/>
  <c r="P42" i="5"/>
  <c r="O41" i="5"/>
  <c r="G41" i="5"/>
  <c r="N40" i="5"/>
  <c r="F40" i="5"/>
  <c r="Q35" i="5"/>
  <c r="P34" i="5"/>
  <c r="H34" i="5"/>
  <c r="G33" i="5"/>
  <c r="F33" i="5"/>
  <c r="L48" i="5"/>
  <c r="L40" i="5"/>
  <c r="N34" i="5"/>
  <c r="AC36" i="1"/>
  <c r="AC52" i="1"/>
  <c r="AC28" i="1"/>
  <c r="C11" i="2"/>
  <c r="C68" i="2"/>
  <c r="C76" i="2"/>
  <c r="C84" i="2"/>
  <c r="C92" i="2"/>
  <c r="C100" i="2"/>
  <c r="C108" i="2"/>
  <c r="C116" i="2"/>
  <c r="C124" i="2"/>
  <c r="C132" i="2"/>
  <c r="C140" i="2"/>
  <c r="C148" i="2"/>
  <c r="C156" i="2"/>
  <c r="C164" i="2"/>
  <c r="C172" i="2"/>
  <c r="C180" i="2"/>
  <c r="AC27" i="1"/>
  <c r="AC35" i="1"/>
  <c r="AC51" i="1"/>
  <c r="AC59" i="1"/>
  <c r="AC67" i="1"/>
  <c r="AC91" i="1"/>
  <c r="AC107" i="1"/>
  <c r="AC115" i="1"/>
  <c r="AC123" i="1"/>
  <c r="AC131" i="1"/>
  <c r="AC139" i="1"/>
  <c r="AC155" i="1"/>
  <c r="AC163" i="1"/>
  <c r="AC171" i="1"/>
  <c r="AC179" i="1"/>
  <c r="C10" i="2"/>
  <c r="C27" i="2"/>
  <c r="C35" i="2"/>
  <c r="C51" i="2"/>
  <c r="C59" i="2"/>
  <c r="C67" i="2"/>
  <c r="C91" i="2"/>
  <c r="C107" i="2"/>
  <c r="C115" i="2"/>
  <c r="C123" i="2"/>
  <c r="C131" i="2"/>
  <c r="C139" i="2"/>
  <c r="C155" i="2"/>
  <c r="C163" i="2"/>
  <c r="C171" i="2"/>
  <c r="C179" i="2"/>
  <c r="AJ39" i="2"/>
  <c r="AJ43" i="2"/>
  <c r="AJ44" i="2"/>
  <c r="AJ64" i="2"/>
  <c r="AJ69" i="2"/>
  <c r="AJ75" i="2"/>
  <c r="AJ80" i="2"/>
  <c r="AJ85" i="2"/>
  <c r="AJ90" i="2"/>
  <c r="AJ99" i="2"/>
  <c r="AJ112" i="2"/>
  <c r="AJ117" i="2"/>
  <c r="AJ122" i="2"/>
  <c r="AJ133" i="2"/>
  <c r="AJ142" i="2"/>
  <c r="AJ149" i="2"/>
  <c r="AJ165" i="2"/>
  <c r="AJ170" i="2"/>
  <c r="AJ176" i="2"/>
  <c r="R61" i="5" l="1"/>
  <c r="R60" i="5"/>
  <c r="R62" i="5"/>
  <c r="R66" i="5"/>
  <c r="R65" i="5"/>
  <c r="R67" i="5"/>
  <c r="R59" i="5"/>
  <c r="R72" i="5"/>
  <c r="R71" i="5"/>
  <c r="R69" i="5"/>
  <c r="R68" i="5"/>
  <c r="R63" i="5"/>
  <c r="R58" i="5"/>
  <c r="R64" i="5"/>
  <c r="R70" i="5"/>
  <c r="R73" i="5"/>
  <c r="R39" i="5"/>
  <c r="R42" i="5"/>
  <c r="R41" i="5"/>
  <c r="R35" i="5"/>
  <c r="R33" i="5"/>
  <c r="R43" i="5"/>
  <c r="R34" i="5"/>
  <c r="R47" i="5"/>
  <c r="R40" i="5"/>
  <c r="R48" i="5"/>
  <c r="R37" i="5"/>
  <c r="R44" i="5"/>
  <c r="R38" i="5"/>
  <c r="R45" i="5"/>
  <c r="R46" i="5"/>
  <c r="R36" i="5"/>
  <c r="D166" i="2"/>
  <c r="E166" i="2" s="1"/>
  <c r="T166" i="2" l="1"/>
  <c r="S166" i="2"/>
  <c r="R166" i="2"/>
  <c r="Q166" i="2"/>
  <c r="P166" i="2"/>
  <c r="O166" i="2"/>
  <c r="N166" i="2"/>
  <c r="M166" i="2"/>
  <c r="L166" i="2"/>
  <c r="K166" i="2"/>
  <c r="J166" i="2"/>
  <c r="I166" i="2"/>
  <c r="AJ25" i="2"/>
  <c r="AJ20" i="2"/>
  <c r="AJ19" i="2"/>
  <c r="AJ7" i="2"/>
  <c r="AJ6" i="2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24" i="10"/>
  <c r="D49" i="10" s="1"/>
  <c r="H49" i="10" s="1"/>
  <c r="D23" i="10"/>
  <c r="D48" i="10" s="1"/>
  <c r="D22" i="10"/>
  <c r="D47" i="10" s="1"/>
  <c r="H47" i="10" s="1"/>
  <c r="D21" i="10"/>
  <c r="D46" i="10" s="1"/>
  <c r="D20" i="10"/>
  <c r="D45" i="10" s="1"/>
  <c r="H45" i="10" s="1"/>
  <c r="D19" i="10"/>
  <c r="D44" i="10" s="1"/>
  <c r="L44" i="10" s="1"/>
  <c r="D18" i="10"/>
  <c r="D43" i="10" s="1"/>
  <c r="H43" i="10" s="1"/>
  <c r="D17" i="10"/>
  <c r="D42" i="10" s="1"/>
  <c r="D16" i="10"/>
  <c r="D41" i="10" s="1"/>
  <c r="H41" i="10" s="1"/>
  <c r="D15" i="10"/>
  <c r="D40" i="10" s="1"/>
  <c r="D14" i="10"/>
  <c r="D39" i="10" s="1"/>
  <c r="H39" i="10" s="1"/>
  <c r="D13" i="10"/>
  <c r="D38" i="10" s="1"/>
  <c r="D12" i="10"/>
  <c r="D37" i="10" s="1"/>
  <c r="D11" i="10"/>
  <c r="D36" i="10" s="1"/>
  <c r="D10" i="10"/>
  <c r="D35" i="10" s="1"/>
  <c r="H35" i="10" s="1"/>
  <c r="D9" i="10"/>
  <c r="D34" i="10" s="1"/>
  <c r="D33" i="10"/>
  <c r="D31" i="10"/>
  <c r="D30" i="10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7" i="6"/>
  <c r="D6" i="6"/>
  <c r="D13" i="9"/>
  <c r="D12" i="9"/>
  <c r="D11" i="9"/>
  <c r="D10" i="9"/>
  <c r="D9" i="9"/>
  <c r="D8" i="9"/>
  <c r="D7" i="9"/>
  <c r="D6" i="9"/>
  <c r="D5" i="9"/>
  <c r="D4" i="9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1" i="10"/>
  <c r="C30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E3" i="10"/>
  <c r="B2" i="10" s="1"/>
  <c r="O41" i="10" l="1"/>
  <c r="K49" i="10"/>
  <c r="G39" i="10"/>
  <c r="O43" i="10"/>
  <c r="O47" i="10"/>
  <c r="G43" i="10"/>
  <c r="K47" i="10"/>
  <c r="H37" i="10"/>
  <c r="G37" i="10"/>
  <c r="I37" i="10"/>
  <c r="K37" i="10"/>
  <c r="O37" i="10"/>
  <c r="L36" i="10"/>
  <c r="E36" i="10"/>
  <c r="G36" i="10"/>
  <c r="K36" i="10"/>
  <c r="O36" i="10"/>
  <c r="M36" i="10"/>
  <c r="O44" i="10"/>
  <c r="I49" i="10"/>
  <c r="I45" i="10"/>
  <c r="K43" i="10"/>
  <c r="K39" i="10"/>
  <c r="K45" i="10"/>
  <c r="O39" i="10"/>
  <c r="G35" i="10"/>
  <c r="G49" i="10"/>
  <c r="G45" i="10"/>
  <c r="I43" i="10"/>
  <c r="I39" i="10"/>
  <c r="I47" i="10"/>
  <c r="K44" i="10"/>
  <c r="K41" i="10"/>
  <c r="O35" i="10"/>
  <c r="G47" i="10"/>
  <c r="I41" i="10"/>
  <c r="K35" i="10"/>
  <c r="M44" i="10"/>
  <c r="G44" i="10"/>
  <c r="O49" i="10"/>
  <c r="O45" i="10"/>
  <c r="E44" i="10"/>
  <c r="G41" i="10"/>
  <c r="I35" i="10"/>
  <c r="H33" i="10"/>
  <c r="G33" i="10"/>
  <c r="I33" i="10"/>
  <c r="K33" i="10"/>
  <c r="O33" i="10"/>
  <c r="H31" i="10"/>
  <c r="K31" i="10"/>
  <c r="G31" i="10"/>
  <c r="I31" i="10"/>
  <c r="O31" i="10"/>
  <c r="L40" i="10"/>
  <c r="E40" i="10"/>
  <c r="M40" i="10"/>
  <c r="F40" i="10"/>
  <c r="N40" i="10"/>
  <c r="G40" i="10"/>
  <c r="O40" i="10"/>
  <c r="H40" i="10"/>
  <c r="P40" i="10"/>
  <c r="I40" i="10"/>
  <c r="K40" i="10"/>
  <c r="J40" i="10"/>
  <c r="L34" i="10"/>
  <c r="E34" i="10"/>
  <c r="M34" i="10"/>
  <c r="F34" i="10"/>
  <c r="N34" i="10"/>
  <c r="G34" i="10"/>
  <c r="O34" i="10"/>
  <c r="H34" i="10"/>
  <c r="P34" i="10"/>
  <c r="I34" i="10"/>
  <c r="J34" i="10"/>
  <c r="K34" i="10"/>
  <c r="L42" i="10"/>
  <c r="E42" i="10"/>
  <c r="M42" i="10"/>
  <c r="F42" i="10"/>
  <c r="N42" i="10"/>
  <c r="G42" i="10"/>
  <c r="O42" i="10"/>
  <c r="H42" i="10"/>
  <c r="P42" i="10"/>
  <c r="I42" i="10"/>
  <c r="K42" i="10"/>
  <c r="J42" i="10"/>
  <c r="L32" i="10"/>
  <c r="M32" i="10"/>
  <c r="E32" i="10"/>
  <c r="F32" i="10"/>
  <c r="N32" i="10"/>
  <c r="O32" i="10"/>
  <c r="G32" i="10"/>
  <c r="H32" i="10"/>
  <c r="P32" i="10"/>
  <c r="K32" i="10"/>
  <c r="I32" i="10"/>
  <c r="J32" i="10"/>
  <c r="L48" i="10"/>
  <c r="M48" i="10"/>
  <c r="F48" i="10"/>
  <c r="N48" i="10"/>
  <c r="G48" i="10"/>
  <c r="H48" i="10"/>
  <c r="P48" i="10"/>
  <c r="O48" i="10"/>
  <c r="I48" i="10"/>
  <c r="E48" i="10"/>
  <c r="J48" i="10"/>
  <c r="K48" i="10"/>
  <c r="L38" i="10"/>
  <c r="E38" i="10"/>
  <c r="M38" i="10"/>
  <c r="F38" i="10"/>
  <c r="N38" i="10"/>
  <c r="G38" i="10"/>
  <c r="O38" i="10"/>
  <c r="H38" i="10"/>
  <c r="P38" i="10"/>
  <c r="I38" i="10"/>
  <c r="K38" i="10"/>
  <c r="J38" i="10"/>
  <c r="L46" i="10"/>
  <c r="F46" i="10"/>
  <c r="N46" i="10"/>
  <c r="G46" i="10"/>
  <c r="O46" i="10"/>
  <c r="H46" i="10"/>
  <c r="P46" i="10"/>
  <c r="M46" i="10"/>
  <c r="I46" i="10"/>
  <c r="J46" i="10"/>
  <c r="K46" i="10"/>
  <c r="E46" i="10"/>
  <c r="N49" i="10"/>
  <c r="F49" i="10"/>
  <c r="N47" i="10"/>
  <c r="F47" i="10"/>
  <c r="N45" i="10"/>
  <c r="F45" i="10"/>
  <c r="J44" i="10"/>
  <c r="N43" i="10"/>
  <c r="F43" i="10"/>
  <c r="N41" i="10"/>
  <c r="F41" i="10"/>
  <c r="N39" i="10"/>
  <c r="F39" i="10"/>
  <c r="N37" i="10"/>
  <c r="F37" i="10"/>
  <c r="J36" i="10"/>
  <c r="N35" i="10"/>
  <c r="F35" i="10"/>
  <c r="N33" i="10"/>
  <c r="F33" i="10"/>
  <c r="N31" i="10"/>
  <c r="F31" i="10"/>
  <c r="M49" i="10"/>
  <c r="E49" i="10"/>
  <c r="M47" i="10"/>
  <c r="E47" i="10"/>
  <c r="M45" i="10"/>
  <c r="E45" i="10"/>
  <c r="I44" i="10"/>
  <c r="M43" i="10"/>
  <c r="E43" i="10"/>
  <c r="M41" i="10"/>
  <c r="E41" i="10"/>
  <c r="M39" i="10"/>
  <c r="E39" i="10"/>
  <c r="M37" i="10"/>
  <c r="E37" i="10"/>
  <c r="I36" i="10"/>
  <c r="M35" i="10"/>
  <c r="E35" i="10"/>
  <c r="M33" i="10"/>
  <c r="E33" i="10"/>
  <c r="M31" i="10"/>
  <c r="E31" i="10"/>
  <c r="L49" i="10"/>
  <c r="L47" i="10"/>
  <c r="L45" i="10"/>
  <c r="P44" i="10"/>
  <c r="H44" i="10"/>
  <c r="L43" i="10"/>
  <c r="L41" i="10"/>
  <c r="L39" i="10"/>
  <c r="L37" i="10"/>
  <c r="P36" i="10"/>
  <c r="H36" i="10"/>
  <c r="L35" i="10"/>
  <c r="L33" i="10"/>
  <c r="L31" i="10"/>
  <c r="J49" i="10"/>
  <c r="J47" i="10"/>
  <c r="J45" i="10"/>
  <c r="N44" i="10"/>
  <c r="F44" i="10"/>
  <c r="J43" i="10"/>
  <c r="J41" i="10"/>
  <c r="J39" i="10"/>
  <c r="J37" i="10"/>
  <c r="N36" i="10"/>
  <c r="F36" i="10"/>
  <c r="J35" i="10"/>
  <c r="J33" i="10"/>
  <c r="J31" i="10"/>
  <c r="P49" i="10"/>
  <c r="P47" i="10"/>
  <c r="P45" i="10"/>
  <c r="P43" i="10"/>
  <c r="P41" i="10"/>
  <c r="P39" i="10"/>
  <c r="P37" i="10"/>
  <c r="P35" i="10"/>
  <c r="P33" i="10"/>
  <c r="P31" i="10"/>
  <c r="Q26" i="10"/>
  <c r="N30" i="10"/>
  <c r="F30" i="10"/>
  <c r="O30" i="10"/>
  <c r="M30" i="10"/>
  <c r="E30" i="10"/>
  <c r="L30" i="10"/>
  <c r="K30" i="10"/>
  <c r="J30" i="10"/>
  <c r="I30" i="10"/>
  <c r="P30" i="10"/>
  <c r="H30" i="10"/>
  <c r="G30" i="10"/>
  <c r="C28" i="9"/>
  <c r="C27" i="9"/>
  <c r="C26" i="9"/>
  <c r="C25" i="9"/>
  <c r="C24" i="9"/>
  <c r="C23" i="9"/>
  <c r="C22" i="9"/>
  <c r="C21" i="9"/>
  <c r="C20" i="9"/>
  <c r="C19" i="9"/>
  <c r="P15" i="9"/>
  <c r="O15" i="9"/>
  <c r="N15" i="9"/>
  <c r="M15" i="9"/>
  <c r="L15" i="9"/>
  <c r="K15" i="9"/>
  <c r="J15" i="9"/>
  <c r="I15" i="9"/>
  <c r="H15" i="9"/>
  <c r="G15" i="9"/>
  <c r="F15" i="9"/>
  <c r="E15" i="9"/>
  <c r="Q13" i="9"/>
  <c r="D28" i="9"/>
  <c r="Q12" i="9"/>
  <c r="D27" i="9"/>
  <c r="Q11" i="9"/>
  <c r="D26" i="9"/>
  <c r="Q10" i="9"/>
  <c r="D25" i="9"/>
  <c r="Q9" i="9"/>
  <c r="D24" i="9"/>
  <c r="Q8" i="9"/>
  <c r="D23" i="9"/>
  <c r="Q7" i="9"/>
  <c r="D22" i="9"/>
  <c r="Q6" i="9"/>
  <c r="D21" i="9"/>
  <c r="Q5" i="9"/>
  <c r="D20" i="9"/>
  <c r="Q4" i="9"/>
  <c r="D19" i="9"/>
  <c r="D36" i="6"/>
  <c r="E36" i="6" s="1"/>
  <c r="D37" i="6"/>
  <c r="H37" i="6" s="1"/>
  <c r="D38" i="6"/>
  <c r="J38" i="6" s="1"/>
  <c r="D39" i="6"/>
  <c r="E39" i="6" s="1"/>
  <c r="D40" i="6"/>
  <c r="F40" i="6" s="1"/>
  <c r="D41" i="6"/>
  <c r="H41" i="6" s="1"/>
  <c r="D42" i="6"/>
  <c r="J42" i="6" s="1"/>
  <c r="D43" i="6"/>
  <c r="E43" i="6" s="1"/>
  <c r="D44" i="6"/>
  <c r="F44" i="6" s="1"/>
  <c r="D45" i="6"/>
  <c r="H45" i="6" s="1"/>
  <c r="D46" i="6"/>
  <c r="K46" i="6" s="1"/>
  <c r="D47" i="6"/>
  <c r="E47" i="6" s="1"/>
  <c r="D48" i="6"/>
  <c r="F48" i="6" s="1"/>
  <c r="D49" i="6"/>
  <c r="H49" i="6" s="1"/>
  <c r="D50" i="6"/>
  <c r="K50" i="6" s="1"/>
  <c r="D51" i="6"/>
  <c r="E51" i="6" s="1"/>
  <c r="D52" i="6"/>
  <c r="E52" i="6" s="1"/>
  <c r="D53" i="6"/>
  <c r="H53" i="6" s="1"/>
  <c r="D54" i="6"/>
  <c r="K54" i="6" s="1"/>
  <c r="D55" i="6"/>
  <c r="E55" i="6" s="1"/>
  <c r="D56" i="6"/>
  <c r="E56" i="6" s="1"/>
  <c r="D57" i="6"/>
  <c r="H57" i="6" s="1"/>
  <c r="D58" i="6"/>
  <c r="I58" i="6" s="1"/>
  <c r="D59" i="6"/>
  <c r="F59" i="6" s="1"/>
  <c r="C29" i="5"/>
  <c r="C30" i="5"/>
  <c r="C31" i="5"/>
  <c r="C32" i="5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P26" i="7"/>
  <c r="O26" i="7"/>
  <c r="N26" i="7"/>
  <c r="M26" i="7"/>
  <c r="L26" i="7"/>
  <c r="K26" i="7"/>
  <c r="J26" i="7"/>
  <c r="I26" i="7"/>
  <c r="H26" i="7"/>
  <c r="G26" i="7"/>
  <c r="F26" i="7"/>
  <c r="E26" i="7"/>
  <c r="D49" i="7"/>
  <c r="D48" i="7"/>
  <c r="I48" i="7" s="1"/>
  <c r="D47" i="7"/>
  <c r="D46" i="7"/>
  <c r="G46" i="7" s="1"/>
  <c r="D45" i="7"/>
  <c r="N45" i="7" s="1"/>
  <c r="D44" i="7"/>
  <c r="M44" i="7" s="1"/>
  <c r="D43" i="7"/>
  <c r="D42" i="7"/>
  <c r="D41" i="7"/>
  <c r="J41" i="7" s="1"/>
  <c r="D40" i="7"/>
  <c r="I40" i="7" s="1"/>
  <c r="D39" i="7"/>
  <c r="D38" i="7"/>
  <c r="O38" i="7" s="1"/>
  <c r="D37" i="7"/>
  <c r="F37" i="7" s="1"/>
  <c r="D36" i="7"/>
  <c r="M36" i="7" s="1"/>
  <c r="D35" i="7"/>
  <c r="D34" i="7"/>
  <c r="D33" i="7"/>
  <c r="J33" i="7" s="1"/>
  <c r="D32" i="7"/>
  <c r="D31" i="7"/>
  <c r="D30" i="7"/>
  <c r="G30" i="7" s="1"/>
  <c r="E3" i="7"/>
  <c r="B2" i="7" s="1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P21" i="8"/>
  <c r="O21" i="8"/>
  <c r="N21" i="8"/>
  <c r="M21" i="8"/>
  <c r="L21" i="8"/>
  <c r="K21" i="8"/>
  <c r="J21" i="8"/>
  <c r="I21" i="8"/>
  <c r="H21" i="8"/>
  <c r="G21" i="8"/>
  <c r="F21" i="8"/>
  <c r="E21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G25" i="8" s="1"/>
  <c r="E3" i="8"/>
  <c r="B2" i="8" s="1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39" i="6"/>
  <c r="C38" i="6"/>
  <c r="C37" i="6"/>
  <c r="C36" i="6"/>
  <c r="C35" i="6"/>
  <c r="P31" i="6"/>
  <c r="O31" i="6"/>
  <c r="N31" i="6"/>
  <c r="M31" i="6"/>
  <c r="L31" i="6"/>
  <c r="K31" i="6"/>
  <c r="J31" i="6"/>
  <c r="I31" i="6"/>
  <c r="H31" i="6"/>
  <c r="G31" i="6"/>
  <c r="F31" i="6"/>
  <c r="E31" i="6"/>
  <c r="Q31" i="6"/>
  <c r="D35" i="6"/>
  <c r="E3" i="6"/>
  <c r="B2" i="6" s="1"/>
  <c r="Q25" i="5"/>
  <c r="P25" i="5"/>
  <c r="O25" i="5"/>
  <c r="N25" i="5"/>
  <c r="M25" i="5"/>
  <c r="L25" i="5"/>
  <c r="K25" i="5"/>
  <c r="J25" i="5"/>
  <c r="I25" i="5"/>
  <c r="H25" i="5"/>
  <c r="G25" i="5"/>
  <c r="F25" i="5"/>
  <c r="D32" i="5"/>
  <c r="D31" i="5"/>
  <c r="D29" i="5"/>
  <c r="F30" i="4"/>
  <c r="F28" i="4"/>
  <c r="F27" i="4"/>
  <c r="B186" i="2"/>
  <c r="B41" i="4" s="1"/>
  <c r="A186" i="2"/>
  <c r="B185" i="2"/>
  <c r="B40" i="4" s="1"/>
  <c r="A185" i="2"/>
  <c r="B184" i="2"/>
  <c r="A184" i="2"/>
  <c r="B183" i="2"/>
  <c r="B39" i="4" s="1"/>
  <c r="A183" i="2"/>
  <c r="B182" i="2"/>
  <c r="A182" i="2"/>
  <c r="B181" i="2"/>
  <c r="A181" i="2"/>
  <c r="B180" i="2"/>
  <c r="A180" i="2"/>
  <c r="B179" i="2"/>
  <c r="A179" i="2"/>
  <c r="B178" i="2"/>
  <c r="A178" i="2"/>
  <c r="B177" i="2"/>
  <c r="A177" i="2"/>
  <c r="B176" i="2"/>
  <c r="A176" i="2"/>
  <c r="B175" i="2"/>
  <c r="A175" i="2"/>
  <c r="B174" i="2"/>
  <c r="B38" i="4" s="1"/>
  <c r="A174" i="2"/>
  <c r="B173" i="2"/>
  <c r="B37" i="4" s="1"/>
  <c r="A173" i="2"/>
  <c r="B172" i="2"/>
  <c r="A172" i="2"/>
  <c r="B171" i="2"/>
  <c r="A171" i="2"/>
  <c r="B170" i="2"/>
  <c r="A170" i="2"/>
  <c r="B169" i="2"/>
  <c r="B36" i="4" s="1"/>
  <c r="A169" i="2"/>
  <c r="B168" i="2"/>
  <c r="B35" i="4" s="1"/>
  <c r="A168" i="2"/>
  <c r="B167" i="2"/>
  <c r="A167" i="2"/>
  <c r="B166" i="2"/>
  <c r="A166" i="2"/>
  <c r="B165" i="2"/>
  <c r="A165" i="2"/>
  <c r="B164" i="2"/>
  <c r="B34" i="4" s="1"/>
  <c r="A164" i="2"/>
  <c r="B163" i="2"/>
  <c r="A163" i="2"/>
  <c r="B162" i="2"/>
  <c r="A162" i="2"/>
  <c r="B161" i="2"/>
  <c r="A161" i="2"/>
  <c r="B160" i="2"/>
  <c r="A160" i="2"/>
  <c r="B159" i="2"/>
  <c r="A159" i="2"/>
  <c r="B158" i="2"/>
  <c r="A158" i="2"/>
  <c r="B157" i="2"/>
  <c r="A157" i="2"/>
  <c r="B156" i="2"/>
  <c r="A156" i="2"/>
  <c r="B155" i="2"/>
  <c r="A155" i="2"/>
  <c r="B154" i="2"/>
  <c r="A154" i="2"/>
  <c r="B153" i="2"/>
  <c r="A153" i="2"/>
  <c r="B152" i="2"/>
  <c r="A152" i="2"/>
  <c r="B151" i="2"/>
  <c r="A151" i="2"/>
  <c r="B150" i="2"/>
  <c r="A150" i="2"/>
  <c r="B149" i="2"/>
  <c r="A149" i="2"/>
  <c r="B148" i="2"/>
  <c r="B33" i="4" s="1"/>
  <c r="A148" i="2"/>
  <c r="B147" i="2"/>
  <c r="B32" i="4" s="1"/>
  <c r="A147" i="2"/>
  <c r="B146" i="2"/>
  <c r="B31" i="4" s="1"/>
  <c r="A146" i="2"/>
  <c r="B145" i="2"/>
  <c r="A145" i="2"/>
  <c r="B144" i="2"/>
  <c r="A144" i="2"/>
  <c r="B143" i="2"/>
  <c r="A143" i="2"/>
  <c r="B142" i="2"/>
  <c r="A142" i="2"/>
  <c r="B141" i="2"/>
  <c r="B30" i="4" s="1"/>
  <c r="A141" i="2"/>
  <c r="B140" i="2"/>
  <c r="A140" i="2"/>
  <c r="B139" i="2"/>
  <c r="A139" i="2"/>
  <c r="B138" i="2"/>
  <c r="A138" i="2"/>
  <c r="B137" i="2"/>
  <c r="A137" i="2"/>
  <c r="B136" i="2"/>
  <c r="A136" i="2"/>
  <c r="B135" i="2"/>
  <c r="A135" i="2"/>
  <c r="B134" i="2"/>
  <c r="A134" i="2"/>
  <c r="B133" i="2"/>
  <c r="A133" i="2"/>
  <c r="B132" i="2"/>
  <c r="B29" i="4" s="1"/>
  <c r="A132" i="2"/>
  <c r="B131" i="2"/>
  <c r="A131" i="2"/>
  <c r="B130" i="2"/>
  <c r="A130" i="2"/>
  <c r="B129" i="2"/>
  <c r="A129" i="2"/>
  <c r="B128" i="2"/>
  <c r="A128" i="2"/>
  <c r="B127" i="2"/>
  <c r="A127" i="2"/>
  <c r="B126" i="2"/>
  <c r="A126" i="2"/>
  <c r="B125" i="2"/>
  <c r="A125" i="2"/>
  <c r="B124" i="2"/>
  <c r="A124" i="2"/>
  <c r="B123" i="2"/>
  <c r="A123" i="2"/>
  <c r="B122" i="2"/>
  <c r="A122" i="2"/>
  <c r="B121" i="2"/>
  <c r="B28" i="4" s="1"/>
  <c r="A121" i="2"/>
  <c r="B120" i="2"/>
  <c r="A120" i="2"/>
  <c r="B119" i="2"/>
  <c r="A119" i="2"/>
  <c r="B118" i="2"/>
  <c r="A118" i="2"/>
  <c r="B117" i="2"/>
  <c r="A117" i="2"/>
  <c r="B116" i="2"/>
  <c r="B27" i="4" s="1"/>
  <c r="A116" i="2"/>
  <c r="B115" i="2"/>
  <c r="A115" i="2"/>
  <c r="B114" i="2"/>
  <c r="A114" i="2"/>
  <c r="B113" i="2"/>
  <c r="A113" i="2"/>
  <c r="B112" i="2"/>
  <c r="A112" i="2"/>
  <c r="B111" i="2"/>
  <c r="B26" i="4" s="1"/>
  <c r="A111" i="2"/>
  <c r="B110" i="2"/>
  <c r="A110" i="2"/>
  <c r="B109" i="2"/>
  <c r="A109" i="2"/>
  <c r="B108" i="2"/>
  <c r="A108" i="2"/>
  <c r="B107" i="2"/>
  <c r="A107" i="2"/>
  <c r="B106" i="2"/>
  <c r="A106" i="2"/>
  <c r="B105" i="2"/>
  <c r="A105" i="2"/>
  <c r="B104" i="2"/>
  <c r="A104" i="2"/>
  <c r="B103" i="2"/>
  <c r="A103" i="2"/>
  <c r="B102" i="2"/>
  <c r="A102" i="2"/>
  <c r="B101" i="2"/>
  <c r="A101" i="2"/>
  <c r="B100" i="2"/>
  <c r="A100" i="2"/>
  <c r="B99" i="2"/>
  <c r="A99" i="2"/>
  <c r="B98" i="2"/>
  <c r="B25" i="4" s="1"/>
  <c r="A98" i="2"/>
  <c r="B97" i="2"/>
  <c r="A97" i="2"/>
  <c r="B96" i="2"/>
  <c r="A96" i="2"/>
  <c r="B95" i="2"/>
  <c r="A95" i="2"/>
  <c r="B94" i="2"/>
  <c r="A94" i="2"/>
  <c r="B93" i="2"/>
  <c r="A93" i="2"/>
  <c r="B92" i="2"/>
  <c r="A92" i="2"/>
  <c r="B91" i="2"/>
  <c r="A91" i="2"/>
  <c r="B90" i="2"/>
  <c r="A90" i="2"/>
  <c r="B89" i="2"/>
  <c r="B24" i="4" s="1"/>
  <c r="A89" i="2"/>
  <c r="B88" i="2"/>
  <c r="A88" i="2"/>
  <c r="B87" i="2"/>
  <c r="A87" i="2"/>
  <c r="B86" i="2"/>
  <c r="A86" i="2"/>
  <c r="B85" i="2"/>
  <c r="A85" i="2"/>
  <c r="B84" i="2"/>
  <c r="B23" i="4" s="1"/>
  <c r="A84" i="2"/>
  <c r="B83" i="2"/>
  <c r="A83" i="2"/>
  <c r="B82" i="2"/>
  <c r="A82" i="2"/>
  <c r="B81" i="2"/>
  <c r="A81" i="2"/>
  <c r="B80" i="2"/>
  <c r="A80" i="2"/>
  <c r="B79" i="2"/>
  <c r="B22" i="4" s="1"/>
  <c r="A79" i="2"/>
  <c r="B78" i="2"/>
  <c r="A78" i="2"/>
  <c r="B77" i="2"/>
  <c r="A77" i="2"/>
  <c r="B76" i="2"/>
  <c r="A76" i="2"/>
  <c r="B75" i="2"/>
  <c r="A75" i="2"/>
  <c r="B74" i="2"/>
  <c r="B21" i="4" s="1"/>
  <c r="A74" i="2"/>
  <c r="B73" i="2"/>
  <c r="A73" i="2"/>
  <c r="B72" i="2"/>
  <c r="A72" i="2"/>
  <c r="B71" i="2"/>
  <c r="A71" i="2"/>
  <c r="B70" i="2"/>
  <c r="A70" i="2"/>
  <c r="B69" i="2"/>
  <c r="A69" i="2"/>
  <c r="B68" i="2"/>
  <c r="B20" i="4" s="1"/>
  <c r="A68" i="2"/>
  <c r="B67" i="2"/>
  <c r="A67" i="2"/>
  <c r="B66" i="2"/>
  <c r="A66" i="2"/>
  <c r="B65" i="2"/>
  <c r="A65" i="2"/>
  <c r="B64" i="2"/>
  <c r="A64" i="2"/>
  <c r="B63" i="2"/>
  <c r="B19" i="4" s="1"/>
  <c r="A63" i="2"/>
  <c r="B62" i="2"/>
  <c r="A62" i="2"/>
  <c r="B61" i="2"/>
  <c r="A61" i="2"/>
  <c r="B60" i="2"/>
  <c r="A60" i="2"/>
  <c r="B59" i="2"/>
  <c r="A59" i="2"/>
  <c r="B58" i="2"/>
  <c r="A58" i="2"/>
  <c r="B57" i="2"/>
  <c r="A57" i="2"/>
  <c r="B56" i="2"/>
  <c r="A56" i="2"/>
  <c r="B55" i="2"/>
  <c r="A55" i="2"/>
  <c r="B54" i="2"/>
  <c r="A54" i="2"/>
  <c r="B53" i="2"/>
  <c r="A53" i="2"/>
  <c r="B52" i="2"/>
  <c r="A52" i="2"/>
  <c r="B51" i="2"/>
  <c r="A51" i="2"/>
  <c r="B50" i="2"/>
  <c r="A50" i="2"/>
  <c r="B49" i="2"/>
  <c r="A49" i="2"/>
  <c r="B48" i="2"/>
  <c r="A48" i="2"/>
  <c r="B47" i="2"/>
  <c r="A47" i="2"/>
  <c r="B46" i="2"/>
  <c r="A46" i="2"/>
  <c r="B45" i="2"/>
  <c r="A45" i="2"/>
  <c r="B44" i="2"/>
  <c r="A44" i="2"/>
  <c r="B43" i="2"/>
  <c r="A43" i="2"/>
  <c r="B42" i="2"/>
  <c r="B18" i="4" s="1"/>
  <c r="A42" i="2"/>
  <c r="B41" i="2"/>
  <c r="B17" i="4" s="1"/>
  <c r="A41" i="2"/>
  <c r="B40" i="2"/>
  <c r="A40" i="2"/>
  <c r="B39" i="2"/>
  <c r="A39" i="2"/>
  <c r="B38" i="2"/>
  <c r="B16" i="4" s="1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B15" i="4" s="1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6" i="2"/>
  <c r="B13" i="4" s="1"/>
  <c r="A16" i="2"/>
  <c r="B15" i="2"/>
  <c r="B12" i="4" s="1"/>
  <c r="A15" i="2"/>
  <c r="B14" i="2"/>
  <c r="B11" i="4" s="1"/>
  <c r="A14" i="2"/>
  <c r="B13" i="2"/>
  <c r="B10" i="4" s="1"/>
  <c r="A13" i="2"/>
  <c r="B12" i="2"/>
  <c r="B9" i="4" s="1"/>
  <c r="A12" i="2"/>
  <c r="B11" i="2"/>
  <c r="B8" i="4" s="1"/>
  <c r="A11" i="2"/>
  <c r="B10" i="2"/>
  <c r="B7" i="4" s="1"/>
  <c r="A10" i="2"/>
  <c r="B9" i="2"/>
  <c r="B6" i="4" s="1"/>
  <c r="A9" i="2"/>
  <c r="B8" i="2"/>
  <c r="B5" i="4" s="1"/>
  <c r="A8" i="2"/>
  <c r="B7" i="2"/>
  <c r="A7" i="2"/>
  <c r="B6" i="2"/>
  <c r="A6" i="2"/>
  <c r="P42" i="6" l="1"/>
  <c r="I42" i="6"/>
  <c r="M42" i="6"/>
  <c r="Q38" i="10"/>
  <c r="Q41" i="10"/>
  <c r="Q43" i="10"/>
  <c r="Q36" i="10"/>
  <c r="Q37" i="10"/>
  <c r="Q45" i="10"/>
  <c r="Q39" i="10"/>
  <c r="Q47" i="10"/>
  <c r="Q49" i="10"/>
  <c r="Q35" i="10"/>
  <c r="Q44" i="10"/>
  <c r="Q46" i="10"/>
  <c r="Q48" i="10"/>
  <c r="Q42" i="10"/>
  <c r="Q40" i="10"/>
  <c r="Q34" i="10"/>
  <c r="M36" i="6"/>
  <c r="Q33" i="10"/>
  <c r="Q32" i="10"/>
  <c r="H51" i="10"/>
  <c r="M77" i="3" s="1"/>
  <c r="O51" i="10"/>
  <c r="AH77" i="3" s="1"/>
  <c r="I51" i="10"/>
  <c r="P77" i="3" s="1"/>
  <c r="Q31" i="10"/>
  <c r="E42" i="6"/>
  <c r="N57" i="6"/>
  <c r="L57" i="6"/>
  <c r="F57" i="6"/>
  <c r="K56" i="6"/>
  <c r="J47" i="6"/>
  <c r="L58" i="6"/>
  <c r="O50" i="6"/>
  <c r="O42" i="6"/>
  <c r="H58" i="6"/>
  <c r="J50" i="6"/>
  <c r="N42" i="6"/>
  <c r="L40" i="6"/>
  <c r="O45" i="6"/>
  <c r="E54" i="6"/>
  <c r="G45" i="6"/>
  <c r="L42" i="6"/>
  <c r="M48" i="6"/>
  <c r="K57" i="6"/>
  <c r="K48" i="6"/>
  <c r="G42" i="6"/>
  <c r="P58" i="6"/>
  <c r="G57" i="6"/>
  <c r="N54" i="6"/>
  <c r="L48" i="6"/>
  <c r="E45" i="6"/>
  <c r="M50" i="6"/>
  <c r="O53" i="6"/>
  <c r="O37" i="6"/>
  <c r="O57" i="6"/>
  <c r="G53" i="6"/>
  <c r="H50" i="6"/>
  <c r="N37" i="6"/>
  <c r="O55" i="6"/>
  <c r="E53" i="6"/>
  <c r="O41" i="6"/>
  <c r="M37" i="6"/>
  <c r="G55" i="6"/>
  <c r="O59" i="6"/>
  <c r="K40" i="6"/>
  <c r="M59" i="6"/>
  <c r="P55" i="6"/>
  <c r="P54" i="6"/>
  <c r="P53" i="6"/>
  <c r="K52" i="6"/>
  <c r="E40" i="6"/>
  <c r="L37" i="6"/>
  <c r="L59" i="6"/>
  <c r="O43" i="6"/>
  <c r="K37" i="6"/>
  <c r="K59" i="6"/>
  <c r="E57" i="6"/>
  <c r="K55" i="6"/>
  <c r="M54" i="6"/>
  <c r="N53" i="6"/>
  <c r="O51" i="6"/>
  <c r="F50" i="6"/>
  <c r="I48" i="6"/>
  <c r="N45" i="6"/>
  <c r="L43" i="6"/>
  <c r="M41" i="6"/>
  <c r="O39" i="6"/>
  <c r="G37" i="6"/>
  <c r="I59" i="6"/>
  <c r="J55" i="6"/>
  <c r="L54" i="6"/>
  <c r="L53" i="6"/>
  <c r="I51" i="6"/>
  <c r="E48" i="6"/>
  <c r="L45" i="6"/>
  <c r="J43" i="6"/>
  <c r="F41" i="6"/>
  <c r="F37" i="6"/>
  <c r="G59" i="6"/>
  <c r="M56" i="6"/>
  <c r="I55" i="6"/>
  <c r="I54" i="6"/>
  <c r="O49" i="6"/>
  <c r="I43" i="6"/>
  <c r="E37" i="6"/>
  <c r="E59" i="6"/>
  <c r="M57" i="6"/>
  <c r="L56" i="6"/>
  <c r="H55" i="6"/>
  <c r="G54" i="6"/>
  <c r="F53" i="6"/>
  <c r="P50" i="6"/>
  <c r="K49" i="6"/>
  <c r="P47" i="6"/>
  <c r="F45" i="6"/>
  <c r="H43" i="6"/>
  <c r="H42" i="6"/>
  <c r="M40" i="6"/>
  <c r="L39" i="6"/>
  <c r="J39" i="6"/>
  <c r="H39" i="6"/>
  <c r="G39" i="6"/>
  <c r="P39" i="6"/>
  <c r="F39" i="6"/>
  <c r="N39" i="6"/>
  <c r="M39" i="6"/>
  <c r="N38" i="6"/>
  <c r="H38" i="6"/>
  <c r="L36" i="6"/>
  <c r="K36" i="6"/>
  <c r="Q29" i="5"/>
  <c r="J29" i="5"/>
  <c r="I29" i="5"/>
  <c r="K29" i="5"/>
  <c r="P29" i="5"/>
  <c r="L29" i="5"/>
  <c r="M29" i="5"/>
  <c r="N29" i="5"/>
  <c r="G29" i="5"/>
  <c r="O29" i="5"/>
  <c r="H29" i="5"/>
  <c r="P51" i="10"/>
  <c r="AK77" i="3" s="1"/>
  <c r="F51" i="10"/>
  <c r="G77" i="3" s="1"/>
  <c r="J51" i="10"/>
  <c r="S77" i="3" s="1"/>
  <c r="N51" i="10"/>
  <c r="AE77" i="3" s="1"/>
  <c r="K51" i="10"/>
  <c r="V77" i="3" s="1"/>
  <c r="L51" i="10"/>
  <c r="Y77" i="3" s="1"/>
  <c r="G51" i="10"/>
  <c r="J77" i="3" s="1"/>
  <c r="M51" i="10"/>
  <c r="AB77" i="3" s="1"/>
  <c r="H26" i="8"/>
  <c r="P26" i="8"/>
  <c r="I26" i="8"/>
  <c r="J26" i="8"/>
  <c r="M26" i="8"/>
  <c r="K26" i="8"/>
  <c r="L26" i="8"/>
  <c r="E26" i="8"/>
  <c r="F26" i="8"/>
  <c r="N26" i="8"/>
  <c r="G26" i="8"/>
  <c r="O26" i="8"/>
  <c r="F30" i="8"/>
  <c r="N30" i="8"/>
  <c r="G30" i="8"/>
  <c r="O30" i="8"/>
  <c r="H30" i="8"/>
  <c r="P30" i="8"/>
  <c r="I30" i="8"/>
  <c r="K30" i="8"/>
  <c r="J30" i="8"/>
  <c r="L30" i="8"/>
  <c r="E30" i="8"/>
  <c r="M30" i="8"/>
  <c r="L34" i="8"/>
  <c r="E34" i="8"/>
  <c r="M34" i="8"/>
  <c r="F34" i="8"/>
  <c r="N34" i="8"/>
  <c r="G34" i="8"/>
  <c r="O34" i="8"/>
  <c r="H34" i="8"/>
  <c r="P34" i="8"/>
  <c r="I34" i="8"/>
  <c r="J34" i="8"/>
  <c r="K34" i="8"/>
  <c r="J38" i="8"/>
  <c r="K38" i="8"/>
  <c r="L38" i="8"/>
  <c r="E38" i="8"/>
  <c r="M38" i="8"/>
  <c r="G38" i="8"/>
  <c r="F38" i="8"/>
  <c r="N38" i="8"/>
  <c r="I38" i="8"/>
  <c r="O38" i="8"/>
  <c r="H38" i="8"/>
  <c r="P38" i="8"/>
  <c r="F37" i="8"/>
  <c r="N37" i="8"/>
  <c r="G37" i="8"/>
  <c r="O37" i="8"/>
  <c r="H37" i="8"/>
  <c r="P37" i="8"/>
  <c r="K37" i="8"/>
  <c r="M37" i="8"/>
  <c r="I37" i="8"/>
  <c r="J37" i="8"/>
  <c r="L37" i="8"/>
  <c r="E37" i="8"/>
  <c r="K27" i="8"/>
  <c r="L27" i="8"/>
  <c r="E27" i="8"/>
  <c r="M27" i="8"/>
  <c r="F27" i="8"/>
  <c r="N27" i="8"/>
  <c r="P27" i="8"/>
  <c r="G27" i="8"/>
  <c r="O27" i="8"/>
  <c r="H27" i="8"/>
  <c r="I27" i="8"/>
  <c r="J27" i="8"/>
  <c r="J31" i="8"/>
  <c r="K31" i="8"/>
  <c r="L31" i="8"/>
  <c r="G31" i="8"/>
  <c r="E31" i="8"/>
  <c r="M31" i="8"/>
  <c r="F31" i="8"/>
  <c r="N31" i="8"/>
  <c r="O31" i="8"/>
  <c r="H31" i="8"/>
  <c r="P31" i="8"/>
  <c r="I31" i="8"/>
  <c r="G35" i="8"/>
  <c r="O35" i="8"/>
  <c r="H35" i="8"/>
  <c r="P35" i="8"/>
  <c r="I35" i="8"/>
  <c r="L35" i="8"/>
  <c r="J35" i="8"/>
  <c r="K35" i="8"/>
  <c r="F35" i="8"/>
  <c r="E35" i="8"/>
  <c r="M35" i="8"/>
  <c r="N35" i="8"/>
  <c r="F39" i="8"/>
  <c r="N39" i="8"/>
  <c r="G39" i="8"/>
  <c r="O39" i="8"/>
  <c r="H39" i="8"/>
  <c r="P39" i="8"/>
  <c r="K39" i="8"/>
  <c r="I39" i="8"/>
  <c r="J39" i="8"/>
  <c r="E39" i="8"/>
  <c r="L39" i="8"/>
  <c r="M39" i="8"/>
  <c r="J29" i="8"/>
  <c r="K29" i="8"/>
  <c r="L29" i="8"/>
  <c r="O29" i="8"/>
  <c r="E29" i="8"/>
  <c r="M29" i="8"/>
  <c r="F29" i="8"/>
  <c r="N29" i="8"/>
  <c r="G29" i="8"/>
  <c r="H29" i="8"/>
  <c r="P29" i="8"/>
  <c r="I29" i="8"/>
  <c r="G28" i="8"/>
  <c r="O28" i="8"/>
  <c r="H28" i="8"/>
  <c r="P28" i="8"/>
  <c r="I28" i="8"/>
  <c r="L28" i="8"/>
  <c r="J28" i="8"/>
  <c r="K28" i="8"/>
  <c r="E28" i="8"/>
  <c r="M28" i="8"/>
  <c r="F28" i="8"/>
  <c r="N28" i="8"/>
  <c r="E32" i="8"/>
  <c r="M32" i="8"/>
  <c r="F32" i="8"/>
  <c r="N32" i="8"/>
  <c r="G32" i="8"/>
  <c r="O32" i="8"/>
  <c r="J32" i="8"/>
  <c r="L32" i="8"/>
  <c r="H32" i="8"/>
  <c r="P32" i="8"/>
  <c r="I32" i="8"/>
  <c r="K32" i="8"/>
  <c r="K36" i="8"/>
  <c r="L36" i="8"/>
  <c r="E36" i="8"/>
  <c r="M36" i="8"/>
  <c r="P36" i="8"/>
  <c r="J36" i="8"/>
  <c r="F36" i="8"/>
  <c r="N36" i="8"/>
  <c r="H36" i="8"/>
  <c r="G36" i="8"/>
  <c r="O36" i="8"/>
  <c r="I36" i="8"/>
  <c r="I33" i="8"/>
  <c r="J33" i="8"/>
  <c r="K33" i="8"/>
  <c r="N33" i="8"/>
  <c r="L33" i="8"/>
  <c r="F33" i="8"/>
  <c r="H33" i="8"/>
  <c r="E33" i="8"/>
  <c r="M33" i="8"/>
  <c r="P33" i="8"/>
  <c r="G33" i="8"/>
  <c r="O33" i="8"/>
  <c r="J59" i="6"/>
  <c r="O58" i="6"/>
  <c r="G58" i="6"/>
  <c r="I56" i="6"/>
  <c r="J54" i="6"/>
  <c r="L51" i="6"/>
  <c r="N50" i="6"/>
  <c r="E50" i="6"/>
  <c r="G49" i="6"/>
  <c r="I47" i="6"/>
  <c r="L46" i="6"/>
  <c r="P43" i="6"/>
  <c r="G43" i="6"/>
  <c r="L41" i="6"/>
  <c r="G38" i="6"/>
  <c r="N58" i="6"/>
  <c r="F58" i="6"/>
  <c r="M52" i="6"/>
  <c r="K51" i="6"/>
  <c r="F49" i="6"/>
  <c r="H47" i="6"/>
  <c r="J46" i="6"/>
  <c r="K41" i="6"/>
  <c r="P38" i="6"/>
  <c r="F38" i="6"/>
  <c r="M46" i="6"/>
  <c r="P59" i="6"/>
  <c r="H59" i="6"/>
  <c r="M58" i="6"/>
  <c r="E58" i="6"/>
  <c r="H54" i="6"/>
  <c r="M53" i="6"/>
  <c r="L52" i="6"/>
  <c r="J51" i="6"/>
  <c r="L50" i="6"/>
  <c r="P49" i="6"/>
  <c r="E49" i="6"/>
  <c r="G47" i="6"/>
  <c r="I46" i="6"/>
  <c r="M45" i="6"/>
  <c r="M44" i="6"/>
  <c r="N43" i="6"/>
  <c r="F42" i="6"/>
  <c r="G41" i="6"/>
  <c r="I40" i="6"/>
  <c r="K39" i="6"/>
  <c r="O38" i="6"/>
  <c r="E38" i="6"/>
  <c r="H46" i="6"/>
  <c r="L44" i="6"/>
  <c r="N59" i="6"/>
  <c r="K58" i="6"/>
  <c r="L55" i="6"/>
  <c r="O54" i="6"/>
  <c r="F54" i="6"/>
  <c r="K53" i="6"/>
  <c r="I52" i="6"/>
  <c r="G51" i="6"/>
  <c r="I50" i="6"/>
  <c r="N49" i="6"/>
  <c r="O47" i="6"/>
  <c r="P46" i="6"/>
  <c r="G46" i="6"/>
  <c r="K45" i="6"/>
  <c r="K44" i="6"/>
  <c r="K43" i="6"/>
  <c r="E41" i="6"/>
  <c r="I39" i="6"/>
  <c r="M38" i="6"/>
  <c r="J58" i="6"/>
  <c r="M49" i="6"/>
  <c r="L47" i="6"/>
  <c r="O46" i="6"/>
  <c r="F46" i="6"/>
  <c r="I44" i="6"/>
  <c r="L38" i="6"/>
  <c r="P51" i="6"/>
  <c r="G50" i="6"/>
  <c r="L49" i="6"/>
  <c r="K47" i="6"/>
  <c r="N46" i="6"/>
  <c r="E46" i="6"/>
  <c r="E44" i="6"/>
  <c r="N41" i="6"/>
  <c r="I38" i="6"/>
  <c r="Q21" i="8"/>
  <c r="E44" i="7"/>
  <c r="J34" i="7"/>
  <c r="K34" i="7"/>
  <c r="J42" i="7"/>
  <c r="K42" i="7"/>
  <c r="F45" i="7"/>
  <c r="O30" i="7"/>
  <c r="P30" i="7"/>
  <c r="E51" i="10"/>
  <c r="D77" i="3" s="1"/>
  <c r="E77" i="3" s="1"/>
  <c r="AO77" i="3" s="1"/>
  <c r="Q30" i="10"/>
  <c r="P25" i="8"/>
  <c r="Q26" i="7"/>
  <c r="Q15" i="9"/>
  <c r="O21" i="9"/>
  <c r="G21" i="9"/>
  <c r="N21" i="9"/>
  <c r="F21" i="9"/>
  <c r="M21" i="9"/>
  <c r="E21" i="9"/>
  <c r="L21" i="9"/>
  <c r="K21" i="9"/>
  <c r="H21" i="9"/>
  <c r="J21" i="9"/>
  <c r="P21" i="9"/>
  <c r="I21" i="9"/>
  <c r="K25" i="9"/>
  <c r="J25" i="9"/>
  <c r="I25" i="9"/>
  <c r="P25" i="9"/>
  <c r="H25" i="9"/>
  <c r="O25" i="9"/>
  <c r="G25" i="9"/>
  <c r="N25" i="9"/>
  <c r="F25" i="9"/>
  <c r="L25" i="9"/>
  <c r="M25" i="9"/>
  <c r="E25" i="9"/>
  <c r="N20" i="9"/>
  <c r="F20" i="9"/>
  <c r="M20" i="9"/>
  <c r="E20" i="9"/>
  <c r="G20" i="9"/>
  <c r="L20" i="9"/>
  <c r="K20" i="9"/>
  <c r="J20" i="9"/>
  <c r="I20" i="9"/>
  <c r="O20" i="9"/>
  <c r="P20" i="9"/>
  <c r="H20" i="9"/>
  <c r="P22" i="9"/>
  <c r="H22" i="9"/>
  <c r="I22" i="9"/>
  <c r="O22" i="9"/>
  <c r="G22" i="9"/>
  <c r="N22" i="9"/>
  <c r="F22" i="9"/>
  <c r="M22" i="9"/>
  <c r="E22" i="9"/>
  <c r="L22" i="9"/>
  <c r="K22" i="9"/>
  <c r="J22" i="9"/>
  <c r="L26" i="9"/>
  <c r="E26" i="9"/>
  <c r="K26" i="9"/>
  <c r="J26" i="9"/>
  <c r="M26" i="9"/>
  <c r="I26" i="9"/>
  <c r="P26" i="9"/>
  <c r="H26" i="9"/>
  <c r="O26" i="9"/>
  <c r="G26" i="9"/>
  <c r="N26" i="9"/>
  <c r="F26" i="9"/>
  <c r="J24" i="9"/>
  <c r="I24" i="9"/>
  <c r="P24" i="9"/>
  <c r="H24" i="9"/>
  <c r="O24" i="9"/>
  <c r="G24" i="9"/>
  <c r="N24" i="9"/>
  <c r="F24" i="9"/>
  <c r="M24" i="9"/>
  <c r="E24" i="9"/>
  <c r="K24" i="9"/>
  <c r="L24" i="9"/>
  <c r="M19" i="9"/>
  <c r="E19" i="9"/>
  <c r="N19" i="9"/>
  <c r="L19" i="9"/>
  <c r="K19" i="9"/>
  <c r="J19" i="9"/>
  <c r="I19" i="9"/>
  <c r="P19" i="9"/>
  <c r="H19" i="9"/>
  <c r="F19" i="9"/>
  <c r="O19" i="9"/>
  <c r="G19" i="9"/>
  <c r="I23" i="9"/>
  <c r="P23" i="9"/>
  <c r="H23" i="9"/>
  <c r="O23" i="9"/>
  <c r="G23" i="9"/>
  <c r="N23" i="9"/>
  <c r="F23" i="9"/>
  <c r="M23" i="9"/>
  <c r="E23" i="9"/>
  <c r="L23" i="9"/>
  <c r="J23" i="9"/>
  <c r="K23" i="9"/>
  <c r="M27" i="9"/>
  <c r="E27" i="9"/>
  <c r="L27" i="9"/>
  <c r="N27" i="9"/>
  <c r="K27" i="9"/>
  <c r="J27" i="9"/>
  <c r="F27" i="9"/>
  <c r="I27" i="9"/>
  <c r="P27" i="9"/>
  <c r="H27" i="9"/>
  <c r="O27" i="9"/>
  <c r="G27" i="9"/>
  <c r="N28" i="9"/>
  <c r="F28" i="9"/>
  <c r="M28" i="9"/>
  <c r="E28" i="9"/>
  <c r="L28" i="9"/>
  <c r="K28" i="9"/>
  <c r="J28" i="9"/>
  <c r="G28" i="9"/>
  <c r="I28" i="9"/>
  <c r="O28" i="9"/>
  <c r="P28" i="9"/>
  <c r="H28" i="9"/>
  <c r="J56" i="6"/>
  <c r="J52" i="6"/>
  <c r="H51" i="6"/>
  <c r="J48" i="6"/>
  <c r="J44" i="6"/>
  <c r="J40" i="6"/>
  <c r="J36" i="6"/>
  <c r="I36" i="6"/>
  <c r="J57" i="6"/>
  <c r="P56" i="6"/>
  <c r="H56" i="6"/>
  <c r="N55" i="6"/>
  <c r="F55" i="6"/>
  <c r="J53" i="6"/>
  <c r="P52" i="6"/>
  <c r="H52" i="6"/>
  <c r="N51" i="6"/>
  <c r="F51" i="6"/>
  <c r="J49" i="6"/>
  <c r="P48" i="6"/>
  <c r="H48" i="6"/>
  <c r="N47" i="6"/>
  <c r="F47" i="6"/>
  <c r="J45" i="6"/>
  <c r="P44" i="6"/>
  <c r="H44" i="6"/>
  <c r="F43" i="6"/>
  <c r="J41" i="6"/>
  <c r="P40" i="6"/>
  <c r="H40" i="6"/>
  <c r="J37" i="6"/>
  <c r="P36" i="6"/>
  <c r="H36" i="6"/>
  <c r="I57" i="6"/>
  <c r="O56" i="6"/>
  <c r="G56" i="6"/>
  <c r="M55" i="6"/>
  <c r="I53" i="6"/>
  <c r="O52" i="6"/>
  <c r="G52" i="6"/>
  <c r="M51" i="6"/>
  <c r="I49" i="6"/>
  <c r="O48" i="6"/>
  <c r="G48" i="6"/>
  <c r="M47" i="6"/>
  <c r="I45" i="6"/>
  <c r="O44" i="6"/>
  <c r="G44" i="6"/>
  <c r="M43" i="6"/>
  <c r="K42" i="6"/>
  <c r="I41" i="6"/>
  <c r="O40" i="6"/>
  <c r="G40" i="6"/>
  <c r="K38" i="6"/>
  <c r="I37" i="6"/>
  <c r="O36" i="6"/>
  <c r="G36" i="6"/>
  <c r="P57" i="6"/>
  <c r="N56" i="6"/>
  <c r="F56" i="6"/>
  <c r="N52" i="6"/>
  <c r="F52" i="6"/>
  <c r="N48" i="6"/>
  <c r="P45" i="6"/>
  <c r="N44" i="6"/>
  <c r="P41" i="6"/>
  <c r="N40" i="6"/>
  <c r="P37" i="6"/>
  <c r="N36" i="6"/>
  <c r="F36" i="6"/>
  <c r="O31" i="7"/>
  <c r="G31" i="7"/>
  <c r="K31" i="7"/>
  <c r="N31" i="7"/>
  <c r="F31" i="7"/>
  <c r="M31" i="7"/>
  <c r="E31" i="7"/>
  <c r="L31" i="7"/>
  <c r="J31" i="7"/>
  <c r="I31" i="7"/>
  <c r="O39" i="7"/>
  <c r="G39" i="7"/>
  <c r="K39" i="7"/>
  <c r="N39" i="7"/>
  <c r="F39" i="7"/>
  <c r="M39" i="7"/>
  <c r="E39" i="7"/>
  <c r="L39" i="7"/>
  <c r="J39" i="7"/>
  <c r="I39" i="7"/>
  <c r="O47" i="7"/>
  <c r="G47" i="7"/>
  <c r="K47" i="7"/>
  <c r="N47" i="7"/>
  <c r="F47" i="7"/>
  <c r="M47" i="7"/>
  <c r="E47" i="7"/>
  <c r="L47" i="7"/>
  <c r="J47" i="7"/>
  <c r="I47" i="7"/>
  <c r="E36" i="7"/>
  <c r="H47" i="7"/>
  <c r="H39" i="7"/>
  <c r="P47" i="7"/>
  <c r="P32" i="7"/>
  <c r="H32" i="7"/>
  <c r="O32" i="7"/>
  <c r="G32" i="7"/>
  <c r="L32" i="7"/>
  <c r="N32" i="7"/>
  <c r="F32" i="7"/>
  <c r="M32" i="7"/>
  <c r="E32" i="7"/>
  <c r="K32" i="7"/>
  <c r="J32" i="7"/>
  <c r="L44" i="7"/>
  <c r="P44" i="7"/>
  <c r="K44" i="7"/>
  <c r="H44" i="7"/>
  <c r="J44" i="7"/>
  <c r="I44" i="7"/>
  <c r="O44" i="7"/>
  <c r="G44" i="7"/>
  <c r="N44" i="7"/>
  <c r="F44" i="7"/>
  <c r="H31" i="7"/>
  <c r="P39" i="7"/>
  <c r="I33" i="7"/>
  <c r="E33" i="7"/>
  <c r="P33" i="7"/>
  <c r="H33" i="7"/>
  <c r="M33" i="7"/>
  <c r="O33" i="7"/>
  <c r="G33" i="7"/>
  <c r="N33" i="7"/>
  <c r="F33" i="7"/>
  <c r="L33" i="7"/>
  <c r="K33" i="7"/>
  <c r="M37" i="7"/>
  <c r="E37" i="7"/>
  <c r="L37" i="7"/>
  <c r="I37" i="7"/>
  <c r="K37" i="7"/>
  <c r="J37" i="7"/>
  <c r="P37" i="7"/>
  <c r="H37" i="7"/>
  <c r="O37" i="7"/>
  <c r="G37" i="7"/>
  <c r="I41" i="7"/>
  <c r="P41" i="7"/>
  <c r="H41" i="7"/>
  <c r="E41" i="7"/>
  <c r="O41" i="7"/>
  <c r="G41" i="7"/>
  <c r="N41" i="7"/>
  <c r="F41" i="7"/>
  <c r="M41" i="7"/>
  <c r="L41" i="7"/>
  <c r="K41" i="7"/>
  <c r="M45" i="7"/>
  <c r="E45" i="7"/>
  <c r="L45" i="7"/>
  <c r="I45" i="7"/>
  <c r="K45" i="7"/>
  <c r="J45" i="7"/>
  <c r="P45" i="7"/>
  <c r="H45" i="7"/>
  <c r="O45" i="7"/>
  <c r="G45" i="7"/>
  <c r="I49" i="7"/>
  <c r="M49" i="7"/>
  <c r="P49" i="7"/>
  <c r="H49" i="7"/>
  <c r="E49" i="7"/>
  <c r="O49" i="7"/>
  <c r="G49" i="7"/>
  <c r="N49" i="7"/>
  <c r="F49" i="7"/>
  <c r="L49" i="7"/>
  <c r="K49" i="7"/>
  <c r="N37" i="7"/>
  <c r="K43" i="7"/>
  <c r="O43" i="7"/>
  <c r="J43" i="7"/>
  <c r="I43" i="7"/>
  <c r="G43" i="7"/>
  <c r="P43" i="7"/>
  <c r="H43" i="7"/>
  <c r="N43" i="7"/>
  <c r="F43" i="7"/>
  <c r="M43" i="7"/>
  <c r="E43" i="7"/>
  <c r="P40" i="7"/>
  <c r="H40" i="7"/>
  <c r="L40" i="7"/>
  <c r="O40" i="7"/>
  <c r="G40" i="7"/>
  <c r="N40" i="7"/>
  <c r="F40" i="7"/>
  <c r="M40" i="7"/>
  <c r="E40" i="7"/>
  <c r="K40" i="7"/>
  <c r="J40" i="7"/>
  <c r="I32" i="7"/>
  <c r="K35" i="7"/>
  <c r="O35" i="7"/>
  <c r="J35" i="7"/>
  <c r="I35" i="7"/>
  <c r="P35" i="7"/>
  <c r="H35" i="7"/>
  <c r="G35" i="7"/>
  <c r="N35" i="7"/>
  <c r="F35" i="7"/>
  <c r="M35" i="7"/>
  <c r="E35" i="7"/>
  <c r="L43" i="7"/>
  <c r="L36" i="7"/>
  <c r="P36" i="7"/>
  <c r="K36" i="7"/>
  <c r="H36" i="7"/>
  <c r="J36" i="7"/>
  <c r="I36" i="7"/>
  <c r="O36" i="7"/>
  <c r="G36" i="7"/>
  <c r="N36" i="7"/>
  <c r="F36" i="7"/>
  <c r="P48" i="7"/>
  <c r="H48" i="7"/>
  <c r="L48" i="7"/>
  <c r="O48" i="7"/>
  <c r="G48" i="7"/>
  <c r="N48" i="7"/>
  <c r="F48" i="7"/>
  <c r="M48" i="7"/>
  <c r="E48" i="7"/>
  <c r="K48" i="7"/>
  <c r="J48" i="7"/>
  <c r="P31" i="7"/>
  <c r="N30" i="7"/>
  <c r="F30" i="7"/>
  <c r="M30" i="7"/>
  <c r="E30" i="7"/>
  <c r="L30" i="7"/>
  <c r="J30" i="7"/>
  <c r="K30" i="7"/>
  <c r="I30" i="7"/>
  <c r="N38" i="7"/>
  <c r="F38" i="7"/>
  <c r="J38" i="7"/>
  <c r="M38" i="7"/>
  <c r="E38" i="7"/>
  <c r="L38" i="7"/>
  <c r="K38" i="7"/>
  <c r="I38" i="7"/>
  <c r="P38" i="7"/>
  <c r="H38" i="7"/>
  <c r="N46" i="7"/>
  <c r="F46" i="7"/>
  <c r="J46" i="7"/>
  <c r="M46" i="7"/>
  <c r="E46" i="7"/>
  <c r="L46" i="7"/>
  <c r="K46" i="7"/>
  <c r="I46" i="7"/>
  <c r="P46" i="7"/>
  <c r="H46" i="7"/>
  <c r="H30" i="7"/>
  <c r="L35" i="7"/>
  <c r="G38" i="7"/>
  <c r="O46" i="7"/>
  <c r="J49" i="7"/>
  <c r="L34" i="7"/>
  <c r="L42" i="7"/>
  <c r="E34" i="7"/>
  <c r="M34" i="7"/>
  <c r="E42" i="7"/>
  <c r="M42" i="7"/>
  <c r="G34" i="7"/>
  <c r="O34" i="7"/>
  <c r="G42" i="7"/>
  <c r="O42" i="7"/>
  <c r="N34" i="7"/>
  <c r="H34" i="7"/>
  <c r="P34" i="7"/>
  <c r="H42" i="7"/>
  <c r="P42" i="7"/>
  <c r="N42" i="7"/>
  <c r="I34" i="7"/>
  <c r="I42" i="7"/>
  <c r="F34" i="7"/>
  <c r="F42" i="7"/>
  <c r="N25" i="8"/>
  <c r="F25" i="8"/>
  <c r="J25" i="8"/>
  <c r="M25" i="8"/>
  <c r="E25" i="8"/>
  <c r="L25" i="8"/>
  <c r="K25" i="8"/>
  <c r="I25" i="8"/>
  <c r="H25" i="8"/>
  <c r="O25" i="8"/>
  <c r="N35" i="6"/>
  <c r="F35" i="6"/>
  <c r="M35" i="6"/>
  <c r="E35" i="6"/>
  <c r="L35" i="6"/>
  <c r="G35" i="6"/>
  <c r="K35" i="6"/>
  <c r="J35" i="6"/>
  <c r="I35" i="6"/>
  <c r="P35" i="6"/>
  <c r="H35" i="6"/>
  <c r="O35" i="6"/>
  <c r="P31" i="5"/>
  <c r="H31" i="5"/>
  <c r="O31" i="5"/>
  <c r="G31" i="5"/>
  <c r="N31" i="5"/>
  <c r="F31" i="5"/>
  <c r="M31" i="5"/>
  <c r="L31" i="5"/>
  <c r="K31" i="5"/>
  <c r="J31" i="5"/>
  <c r="Q31" i="5"/>
  <c r="I31" i="5"/>
  <c r="Q32" i="5"/>
  <c r="I32" i="5"/>
  <c r="P32" i="5"/>
  <c r="H32" i="5"/>
  <c r="O32" i="5"/>
  <c r="G32" i="5"/>
  <c r="N32" i="5"/>
  <c r="F32" i="5"/>
  <c r="M32" i="5"/>
  <c r="L32" i="5"/>
  <c r="K32" i="5"/>
  <c r="J32" i="5"/>
  <c r="F29" i="5"/>
  <c r="D34" i="2"/>
  <c r="D22" i="2"/>
  <c r="E22" i="2" s="1"/>
  <c r="D14" i="2"/>
  <c r="H77" i="3" l="1"/>
  <c r="K77" i="3" s="1"/>
  <c r="AM77" i="3"/>
  <c r="AM105" i="3" s="1"/>
  <c r="R54" i="5"/>
  <c r="R57" i="5"/>
  <c r="R56" i="5"/>
  <c r="E14" i="2"/>
  <c r="C11" i="4" s="1"/>
  <c r="T14" i="2"/>
  <c r="L14" i="2"/>
  <c r="S14" i="2"/>
  <c r="K14" i="2"/>
  <c r="R14" i="2"/>
  <c r="J14" i="2"/>
  <c r="Q14" i="2"/>
  <c r="I14" i="2"/>
  <c r="P14" i="2"/>
  <c r="O14" i="2"/>
  <c r="M14" i="2"/>
  <c r="N14" i="2"/>
  <c r="Q47" i="7"/>
  <c r="Q38" i="8"/>
  <c r="Q40" i="7"/>
  <c r="G41" i="8"/>
  <c r="J71" i="3" s="1"/>
  <c r="G51" i="7"/>
  <c r="J76" i="3" s="1"/>
  <c r="Q32" i="7"/>
  <c r="Q51" i="10"/>
  <c r="L41" i="8"/>
  <c r="Y71" i="3" s="1"/>
  <c r="Q26" i="8"/>
  <c r="Q37" i="6"/>
  <c r="Q51" i="6"/>
  <c r="Q57" i="6"/>
  <c r="Q59" i="6"/>
  <c r="Q52" i="6"/>
  <c r="Q45" i="6"/>
  <c r="Q53" i="6"/>
  <c r="Q47" i="6"/>
  <c r="Q39" i="6"/>
  <c r="Q40" i="6"/>
  <c r="Q55" i="6"/>
  <c r="Q54" i="6"/>
  <c r="Q56" i="6"/>
  <c r="Q48" i="6"/>
  <c r="Q43" i="6"/>
  <c r="Q44" i="6"/>
  <c r="Q42" i="6"/>
  <c r="L61" i="6"/>
  <c r="Y18" i="3" s="1"/>
  <c r="N30" i="9"/>
  <c r="AE14" i="3" s="1"/>
  <c r="Q36" i="6"/>
  <c r="G61" i="6"/>
  <c r="J18" i="3" s="1"/>
  <c r="M51" i="7"/>
  <c r="AB76" i="3" s="1"/>
  <c r="N51" i="7"/>
  <c r="AE76" i="3" s="1"/>
  <c r="Q35" i="7"/>
  <c r="Q39" i="7"/>
  <c r="I51" i="7"/>
  <c r="P76" i="3" s="1"/>
  <c r="Q49" i="7"/>
  <c r="Q43" i="7"/>
  <c r="F51" i="7"/>
  <c r="G76" i="3" s="1"/>
  <c r="Q46" i="7"/>
  <c r="Q36" i="7"/>
  <c r="Q31" i="7"/>
  <c r="Q42" i="7"/>
  <c r="J51" i="7"/>
  <c r="S76" i="3" s="1"/>
  <c r="Q37" i="7"/>
  <c r="K51" i="7"/>
  <c r="V76" i="3" s="1"/>
  <c r="H51" i="7"/>
  <c r="M76" i="3" s="1"/>
  <c r="Q38" i="7"/>
  <c r="L51" i="7"/>
  <c r="Y76" i="3" s="1"/>
  <c r="Q48" i="7"/>
  <c r="Q44" i="7"/>
  <c r="Q34" i="7"/>
  <c r="P51" i="7"/>
  <c r="AK76" i="3" s="1"/>
  <c r="Q45" i="7"/>
  <c r="Q33" i="7"/>
  <c r="O51" i="7"/>
  <c r="AH76" i="3" s="1"/>
  <c r="Q41" i="7"/>
  <c r="Q35" i="8"/>
  <c r="M41" i="8"/>
  <c r="AB71" i="3" s="1"/>
  <c r="J41" i="8"/>
  <c r="S71" i="3" s="1"/>
  <c r="Q32" i="8"/>
  <c r="Q31" i="8"/>
  <c r="O41" i="8"/>
  <c r="AH71" i="3" s="1"/>
  <c r="F41" i="8"/>
  <c r="G71" i="3" s="1"/>
  <c r="P41" i="8"/>
  <c r="AK71" i="3" s="1"/>
  <c r="Q33" i="8"/>
  <c r="Q37" i="8"/>
  <c r="H41" i="8"/>
  <c r="M71" i="3" s="1"/>
  <c r="N41" i="8"/>
  <c r="AE71" i="3" s="1"/>
  <c r="Q36" i="8"/>
  <c r="Q27" i="8"/>
  <c r="Q34" i="8"/>
  <c r="Q30" i="8"/>
  <c r="I41" i="8"/>
  <c r="P71" i="3" s="1"/>
  <c r="Q39" i="8"/>
  <c r="K41" i="8"/>
  <c r="V71" i="3" s="1"/>
  <c r="Q28" i="8"/>
  <c r="Q29" i="8"/>
  <c r="Q38" i="6"/>
  <c r="M61" i="6"/>
  <c r="AB18" i="3" s="1"/>
  <c r="Q41" i="6"/>
  <c r="O61" i="6"/>
  <c r="AH18" i="3" s="1"/>
  <c r="N61" i="6"/>
  <c r="AE18" i="3" s="1"/>
  <c r="Q49" i="6"/>
  <c r="Q58" i="6"/>
  <c r="K61" i="6"/>
  <c r="V18" i="3" s="1"/>
  <c r="Q46" i="6"/>
  <c r="Q50" i="6"/>
  <c r="O30" i="9"/>
  <c r="AH14" i="3" s="1"/>
  <c r="Q26" i="9"/>
  <c r="H30" i="9"/>
  <c r="M14" i="3" s="1"/>
  <c r="Q28" i="9"/>
  <c r="P30" i="9"/>
  <c r="AK14" i="3" s="1"/>
  <c r="Q25" i="9"/>
  <c r="I30" i="9"/>
  <c r="P14" i="3" s="1"/>
  <c r="J30" i="9"/>
  <c r="S14" i="3" s="1"/>
  <c r="Q23" i="9"/>
  <c r="K30" i="9"/>
  <c r="V14" i="3" s="1"/>
  <c r="Q22" i="9"/>
  <c r="Q27" i="9"/>
  <c r="M30" i="9"/>
  <c r="AB14" i="3" s="1"/>
  <c r="Q24" i="9"/>
  <c r="Q21" i="9"/>
  <c r="G30" i="9"/>
  <c r="J14" i="3" s="1"/>
  <c r="L30" i="9"/>
  <c r="Y14" i="3" s="1"/>
  <c r="Q20" i="9"/>
  <c r="F30" i="9"/>
  <c r="G14" i="3" s="1"/>
  <c r="E30" i="9"/>
  <c r="D14" i="3" s="1"/>
  <c r="E14" i="3" s="1"/>
  <c r="H14" i="3" s="1"/>
  <c r="Q19" i="9"/>
  <c r="H61" i="6"/>
  <c r="M18" i="3" s="1"/>
  <c r="F61" i="6"/>
  <c r="G18" i="3" s="1"/>
  <c r="I61" i="6"/>
  <c r="P18" i="3" s="1"/>
  <c r="J61" i="6"/>
  <c r="S18" i="3" s="1"/>
  <c r="P61" i="6"/>
  <c r="AK18" i="3" s="1"/>
  <c r="R31" i="5"/>
  <c r="R32" i="5"/>
  <c r="E51" i="7"/>
  <c r="D76" i="3" s="1"/>
  <c r="Q30" i="7"/>
  <c r="E41" i="8"/>
  <c r="D71" i="3" s="1"/>
  <c r="Q25" i="8"/>
  <c r="E61" i="6"/>
  <c r="D18" i="3" s="1"/>
  <c r="Q35" i="6"/>
  <c r="R29" i="5"/>
  <c r="E34" i="2"/>
  <c r="N77" i="3" l="1"/>
  <c r="AQ77" i="3"/>
  <c r="AP77" i="3"/>
  <c r="E71" i="3"/>
  <c r="AO71" i="3" s="1"/>
  <c r="AM71" i="3"/>
  <c r="AM99" i="3" s="1"/>
  <c r="AM18" i="3"/>
  <c r="AM96" i="3" s="1"/>
  <c r="E18" i="3"/>
  <c r="AO18" i="3" s="1"/>
  <c r="E76" i="3"/>
  <c r="AO76" i="3" s="1"/>
  <c r="AM76" i="3"/>
  <c r="AM104" i="3" s="1"/>
  <c r="AO14" i="3"/>
  <c r="AM14" i="3"/>
  <c r="AM83" i="3" s="1"/>
  <c r="Q51" i="7"/>
  <c r="Q41" i="8"/>
  <c r="Q61" i="6"/>
  <c r="Q30" i="9"/>
  <c r="O8" i="2"/>
  <c r="O11" i="2"/>
  <c r="O12" i="2"/>
  <c r="O10" i="2"/>
  <c r="N10" i="2"/>
  <c r="M10" i="2"/>
  <c r="L10" i="2"/>
  <c r="J10" i="2"/>
  <c r="I10" i="2"/>
  <c r="M9" i="2"/>
  <c r="L9" i="2"/>
  <c r="K9" i="2"/>
  <c r="N8" i="2"/>
  <c r="M8" i="2"/>
  <c r="L8" i="2"/>
  <c r="N11" i="2"/>
  <c r="M11" i="2"/>
  <c r="L11" i="2"/>
  <c r="K11" i="2"/>
  <c r="J11" i="2"/>
  <c r="I11" i="2"/>
  <c r="I12" i="2"/>
  <c r="L12" i="2"/>
  <c r="N12" i="2"/>
  <c r="D183" i="2"/>
  <c r="E183" i="2" s="1"/>
  <c r="C39" i="4" s="1"/>
  <c r="C5" i="4"/>
  <c r="D9" i="2"/>
  <c r="E9" i="2" s="1"/>
  <c r="C6" i="4" s="1"/>
  <c r="D10" i="2"/>
  <c r="E10" i="2" s="1"/>
  <c r="D11" i="2"/>
  <c r="E11" i="2" s="1"/>
  <c r="C8" i="4" s="1"/>
  <c r="D12" i="2"/>
  <c r="E12" i="2" s="1"/>
  <c r="C9" i="4" s="1"/>
  <c r="D13" i="2"/>
  <c r="D16" i="2"/>
  <c r="S16" i="2" s="1"/>
  <c r="D18" i="2"/>
  <c r="E18" i="2" s="1"/>
  <c r="F8" i="2" s="1"/>
  <c r="D21" i="2"/>
  <c r="E21" i="2" s="1"/>
  <c r="D23" i="2"/>
  <c r="E23" i="2" s="1"/>
  <c r="D24" i="2"/>
  <c r="D26" i="2"/>
  <c r="E26" i="2" s="1"/>
  <c r="D28" i="2"/>
  <c r="E28" i="2" s="1"/>
  <c r="D29" i="2"/>
  <c r="E29" i="2" s="1"/>
  <c r="D30" i="2"/>
  <c r="E30" i="2" s="1"/>
  <c r="D31" i="2"/>
  <c r="E31" i="2" s="1"/>
  <c r="D32" i="2"/>
  <c r="D35" i="2"/>
  <c r="E35" i="2" s="1"/>
  <c r="D37" i="2"/>
  <c r="D38" i="2"/>
  <c r="E38" i="2" s="1"/>
  <c r="C16" i="4" s="1"/>
  <c r="D40" i="2"/>
  <c r="E40" i="2" s="1"/>
  <c r="D41" i="2"/>
  <c r="E41" i="2" s="1"/>
  <c r="C17" i="4" s="1"/>
  <c r="D42" i="2"/>
  <c r="E42" i="2" s="1"/>
  <c r="C18" i="4" s="1"/>
  <c r="D45" i="2"/>
  <c r="D46" i="2"/>
  <c r="D47" i="2"/>
  <c r="D48" i="2"/>
  <c r="D49" i="2"/>
  <c r="D50" i="2"/>
  <c r="D51" i="2"/>
  <c r="D52" i="2"/>
  <c r="E52" i="2" s="1"/>
  <c r="D53" i="2"/>
  <c r="D54" i="2"/>
  <c r="E54" i="2" s="1"/>
  <c r="D55" i="2"/>
  <c r="D56" i="2"/>
  <c r="D57" i="2"/>
  <c r="D58" i="2"/>
  <c r="D59" i="2"/>
  <c r="E59" i="2" s="1"/>
  <c r="D60" i="2"/>
  <c r="E60" i="2" s="1"/>
  <c r="D61" i="2"/>
  <c r="D62" i="2"/>
  <c r="D63" i="2"/>
  <c r="E63" i="2" s="1"/>
  <c r="D65" i="2"/>
  <c r="D67" i="2"/>
  <c r="D68" i="2"/>
  <c r="E68" i="2" s="1"/>
  <c r="C20" i="4" s="1"/>
  <c r="D70" i="2"/>
  <c r="E70" i="2" s="1"/>
  <c r="D71" i="2"/>
  <c r="E71" i="2" s="1"/>
  <c r="D73" i="2"/>
  <c r="E73" i="2" s="1"/>
  <c r="D77" i="2"/>
  <c r="E77" i="2" s="1"/>
  <c r="D78" i="2"/>
  <c r="E78" i="2" s="1"/>
  <c r="F78" i="2" s="1"/>
  <c r="D79" i="2"/>
  <c r="E79" i="2" s="1"/>
  <c r="C22" i="4" s="1"/>
  <c r="D81" i="2"/>
  <c r="E81" i="2" s="1"/>
  <c r="F81" i="2" s="1"/>
  <c r="D83" i="2"/>
  <c r="E83" i="2" s="1"/>
  <c r="F83" i="2" s="1"/>
  <c r="D84" i="2"/>
  <c r="E84" i="2" s="1"/>
  <c r="C23" i="4" s="1"/>
  <c r="D86" i="2"/>
  <c r="E86" i="2" s="1"/>
  <c r="D87" i="2"/>
  <c r="E87" i="2" s="1"/>
  <c r="D88" i="2"/>
  <c r="E88" i="2" s="1"/>
  <c r="D89" i="2"/>
  <c r="E89" i="2" s="1"/>
  <c r="C24" i="4" s="1"/>
  <c r="D91" i="2"/>
  <c r="E91" i="2" s="1"/>
  <c r="D93" i="2"/>
  <c r="E93" i="2" s="1"/>
  <c r="D94" i="2"/>
  <c r="E94" i="2" s="1"/>
  <c r="D95" i="2"/>
  <c r="E95" i="2" s="1"/>
  <c r="D96" i="2"/>
  <c r="E96" i="2" s="1"/>
  <c r="D97" i="2"/>
  <c r="E97" i="2" s="1"/>
  <c r="D98" i="2"/>
  <c r="E98" i="2" s="1"/>
  <c r="C25" i="4" s="1"/>
  <c r="D101" i="2"/>
  <c r="E101" i="2" s="1"/>
  <c r="D102" i="2"/>
  <c r="E102" i="2" s="1"/>
  <c r="D103" i="2"/>
  <c r="E103" i="2" s="1"/>
  <c r="D105" i="2"/>
  <c r="E105" i="2" s="1"/>
  <c r="D106" i="2"/>
  <c r="E106" i="2" s="1"/>
  <c r="D107" i="2"/>
  <c r="E107" i="2" s="1"/>
  <c r="D109" i="2"/>
  <c r="D110" i="2"/>
  <c r="E110" i="2" s="1"/>
  <c r="D111" i="2"/>
  <c r="E111" i="2" s="1"/>
  <c r="C26" i="4" s="1"/>
  <c r="D113" i="2"/>
  <c r="D114" i="2"/>
  <c r="D115" i="2"/>
  <c r="D116" i="2"/>
  <c r="E116" i="2" s="1"/>
  <c r="C27" i="4" s="1"/>
  <c r="D118" i="2"/>
  <c r="E118" i="2" s="1"/>
  <c r="D119" i="2"/>
  <c r="E119" i="2" s="1"/>
  <c r="D121" i="2"/>
  <c r="E121" i="2" s="1"/>
  <c r="C28" i="4" s="1"/>
  <c r="D123" i="2"/>
  <c r="E123" i="2" s="1"/>
  <c r="D124" i="2"/>
  <c r="E124" i="2" s="1"/>
  <c r="D125" i="2"/>
  <c r="E125" i="2" s="1"/>
  <c r="D126" i="2"/>
  <c r="E126" i="2" s="1"/>
  <c r="D127" i="2"/>
  <c r="E127" i="2" s="1"/>
  <c r="D129" i="2"/>
  <c r="E129" i="2" s="1"/>
  <c r="D131" i="2"/>
  <c r="E131" i="2" s="1"/>
  <c r="D132" i="2"/>
  <c r="E132" i="2" s="1"/>
  <c r="C29" i="4" s="1"/>
  <c r="D134" i="2"/>
  <c r="E134" i="2" s="1"/>
  <c r="D135" i="2"/>
  <c r="E135" i="2" s="1"/>
  <c r="D137" i="2"/>
  <c r="E137" i="2" s="1"/>
  <c r="D139" i="2"/>
  <c r="E139" i="2" s="1"/>
  <c r="D141" i="2"/>
  <c r="E141" i="2" s="1"/>
  <c r="C30" i="4" s="1"/>
  <c r="D143" i="2"/>
  <c r="E143" i="2" s="1"/>
  <c r="D144" i="2"/>
  <c r="E144" i="2" s="1"/>
  <c r="D145" i="2"/>
  <c r="E145" i="2" s="1"/>
  <c r="D147" i="2"/>
  <c r="E147" i="2" s="1"/>
  <c r="C32" i="4" s="1"/>
  <c r="D148" i="2"/>
  <c r="E148" i="2" s="1"/>
  <c r="C33" i="4" s="1"/>
  <c r="D150" i="2"/>
  <c r="D151" i="2"/>
  <c r="E151" i="2" s="1"/>
  <c r="D152" i="2"/>
  <c r="D153" i="2"/>
  <c r="E153" i="2" s="1"/>
  <c r="D154" i="2"/>
  <c r="D156" i="2"/>
  <c r="D157" i="2"/>
  <c r="D158" i="2"/>
  <c r="D159" i="2"/>
  <c r="E159" i="2" s="1"/>
  <c r="D160" i="2"/>
  <c r="D161" i="2"/>
  <c r="E161" i="2" s="1"/>
  <c r="D162" i="2"/>
  <c r="D164" i="2"/>
  <c r="E164" i="2" s="1"/>
  <c r="C34" i="4" s="1"/>
  <c r="D168" i="2"/>
  <c r="E168" i="2" s="1"/>
  <c r="C35" i="4" s="1"/>
  <c r="D169" i="2"/>
  <c r="E169" i="2" s="1"/>
  <c r="C36" i="4" s="1"/>
  <c r="D171" i="2"/>
  <c r="D172" i="2"/>
  <c r="I172" i="2" s="1"/>
  <c r="D173" i="2"/>
  <c r="E173" i="2" s="1"/>
  <c r="D177" i="2"/>
  <c r="I177" i="2" s="1"/>
  <c r="D178" i="2"/>
  <c r="D179" i="2"/>
  <c r="D180" i="2"/>
  <c r="D181" i="2"/>
  <c r="D185" i="2"/>
  <c r="E185" i="2" s="1"/>
  <c r="C40" i="4" s="1"/>
  <c r="D186" i="2"/>
  <c r="E186" i="2" s="1"/>
  <c r="H71" i="3" l="1"/>
  <c r="AP71" i="3" s="1"/>
  <c r="E109" i="2"/>
  <c r="N109" i="2"/>
  <c r="L109" i="2"/>
  <c r="J109" i="2"/>
  <c r="T109" i="2"/>
  <c r="K109" i="2"/>
  <c r="I109" i="2"/>
  <c r="S109" i="2"/>
  <c r="R109" i="2"/>
  <c r="Q109" i="2"/>
  <c r="M109" i="2"/>
  <c r="P109" i="2"/>
  <c r="O109" i="2"/>
  <c r="I37" i="2"/>
  <c r="K71" i="3"/>
  <c r="AR77" i="3"/>
  <c r="Q77" i="3"/>
  <c r="H76" i="3"/>
  <c r="AM108" i="3"/>
  <c r="H18" i="3"/>
  <c r="E24" i="2"/>
  <c r="F24" i="2" s="1"/>
  <c r="D15" i="4" s="1"/>
  <c r="E58" i="2"/>
  <c r="F58" i="2" s="1"/>
  <c r="C7" i="4"/>
  <c r="F22" i="2"/>
  <c r="O22" i="2" s="1"/>
  <c r="E171" i="2"/>
  <c r="F171" i="2" s="1"/>
  <c r="I171" i="2"/>
  <c r="C19" i="4"/>
  <c r="F63" i="2"/>
  <c r="E50" i="2"/>
  <c r="F50" i="2" s="1"/>
  <c r="AP14" i="3"/>
  <c r="K14" i="3"/>
  <c r="I8" i="2"/>
  <c r="C41" i="4"/>
  <c r="F186" i="2"/>
  <c r="C14" i="4"/>
  <c r="F25" i="2"/>
  <c r="P10" i="2"/>
  <c r="P12" i="2"/>
  <c r="P9" i="2"/>
  <c r="P8" i="2"/>
  <c r="T150" i="2"/>
  <c r="L150" i="2"/>
  <c r="K150" i="2"/>
  <c r="S150" i="2"/>
  <c r="R150" i="2"/>
  <c r="J150" i="2"/>
  <c r="Q150" i="2"/>
  <c r="I150" i="2"/>
  <c r="P150" i="2"/>
  <c r="O150" i="2"/>
  <c r="N150" i="2"/>
  <c r="M150" i="2"/>
  <c r="J8" i="2"/>
  <c r="F18" i="2"/>
  <c r="D14" i="4" s="1"/>
  <c r="F14" i="2"/>
  <c r="D11" i="4" s="1"/>
  <c r="F34" i="2"/>
  <c r="S13" i="2"/>
  <c r="I16" i="2"/>
  <c r="I161" i="2"/>
  <c r="K16" i="2"/>
  <c r="F26" i="2"/>
  <c r="E114" i="2"/>
  <c r="F114" i="2" s="1"/>
  <c r="O180" i="2"/>
  <c r="P180" i="2"/>
  <c r="Q180" i="2"/>
  <c r="J180" i="2"/>
  <c r="R180" i="2"/>
  <c r="K180" i="2"/>
  <c r="S180" i="2"/>
  <c r="M180" i="2"/>
  <c r="L180" i="2"/>
  <c r="N180" i="2"/>
  <c r="I180" i="2"/>
  <c r="T180" i="2"/>
  <c r="K13" i="2"/>
  <c r="E156" i="2"/>
  <c r="F156" i="2" s="1"/>
  <c r="L181" i="2"/>
  <c r="T181" i="2"/>
  <c r="M181" i="2"/>
  <c r="N181" i="2"/>
  <c r="O181" i="2"/>
  <c r="P181" i="2"/>
  <c r="J181" i="2"/>
  <c r="R181" i="2"/>
  <c r="S181" i="2"/>
  <c r="I181" i="2"/>
  <c r="E181" i="2"/>
  <c r="F181" i="2" s="1"/>
  <c r="K181" i="2"/>
  <c r="Q181" i="2"/>
  <c r="E61" i="2"/>
  <c r="F61" i="2" s="1"/>
  <c r="J179" i="2"/>
  <c r="R179" i="2"/>
  <c r="K179" i="2"/>
  <c r="S179" i="2"/>
  <c r="L179" i="2"/>
  <c r="T179" i="2"/>
  <c r="M179" i="2"/>
  <c r="N179" i="2"/>
  <c r="P179" i="2"/>
  <c r="O179" i="2"/>
  <c r="Q179" i="2"/>
  <c r="I179" i="2"/>
  <c r="E179" i="2"/>
  <c r="F179" i="2" s="1"/>
  <c r="I160" i="2"/>
  <c r="E160" i="2"/>
  <c r="F160" i="2" s="1"/>
  <c r="E152" i="2"/>
  <c r="F152" i="2" s="1"/>
  <c r="E115" i="2"/>
  <c r="F115" i="2" s="1"/>
  <c r="E51" i="2"/>
  <c r="F51" i="2" s="1"/>
  <c r="Q13" i="2"/>
  <c r="E154" i="2"/>
  <c r="F154" i="2" s="1"/>
  <c r="E45" i="2"/>
  <c r="F45" i="2" s="1"/>
  <c r="I153" i="2"/>
  <c r="P177" i="2"/>
  <c r="Q177" i="2"/>
  <c r="J177" i="2"/>
  <c r="R177" i="2"/>
  <c r="K177" i="2"/>
  <c r="S177" i="2"/>
  <c r="L177" i="2"/>
  <c r="T177" i="2"/>
  <c r="N177" i="2"/>
  <c r="E177" i="2"/>
  <c r="F177" i="2" s="1"/>
  <c r="M177" i="2"/>
  <c r="O177" i="2"/>
  <c r="I158" i="2"/>
  <c r="E158" i="2"/>
  <c r="F158" i="2" s="1"/>
  <c r="E150" i="2"/>
  <c r="F150" i="2" s="1"/>
  <c r="E113" i="2"/>
  <c r="F113" i="2" s="1"/>
  <c r="E57" i="2"/>
  <c r="F57" i="2" s="1"/>
  <c r="E49" i="2"/>
  <c r="F49" i="2" s="1"/>
  <c r="R16" i="2"/>
  <c r="J16" i="2"/>
  <c r="E16" i="2"/>
  <c r="Q16" i="2"/>
  <c r="P16" i="2"/>
  <c r="O16" i="2"/>
  <c r="N16" i="2"/>
  <c r="T16" i="2"/>
  <c r="L16" i="2"/>
  <c r="T159" i="2"/>
  <c r="E172" i="2"/>
  <c r="F172" i="2" s="1"/>
  <c r="E53" i="2"/>
  <c r="F53" i="2" s="1"/>
  <c r="M178" i="2"/>
  <c r="N178" i="2"/>
  <c r="O178" i="2"/>
  <c r="P178" i="2"/>
  <c r="Q178" i="2"/>
  <c r="K178" i="2"/>
  <c r="S178" i="2"/>
  <c r="T178" i="2"/>
  <c r="J178" i="2"/>
  <c r="L178" i="2"/>
  <c r="I178" i="2"/>
  <c r="R178" i="2"/>
  <c r="D175" i="2"/>
  <c r="F166" i="2"/>
  <c r="E157" i="2"/>
  <c r="F157" i="2" s="1"/>
  <c r="D130" i="2"/>
  <c r="E130" i="2" s="1"/>
  <c r="F130" i="2" s="1"/>
  <c r="D74" i="2"/>
  <c r="E74" i="2" s="1"/>
  <c r="E65" i="2"/>
  <c r="E56" i="2"/>
  <c r="F56" i="2" s="1"/>
  <c r="E48" i="2"/>
  <c r="F48" i="2" s="1"/>
  <c r="E37" i="2"/>
  <c r="F37" i="2" s="1"/>
  <c r="D15" i="2"/>
  <c r="L161" i="2"/>
  <c r="T161" i="2"/>
  <c r="M161" i="2"/>
  <c r="N161" i="2"/>
  <c r="O161" i="2"/>
  <c r="P161" i="2"/>
  <c r="J161" i="2"/>
  <c r="R161" i="2"/>
  <c r="K161" i="2"/>
  <c r="Q161" i="2"/>
  <c r="S161" i="2"/>
  <c r="E55" i="2"/>
  <c r="F55" i="2" s="1"/>
  <c r="E47" i="2"/>
  <c r="F47" i="2" s="1"/>
  <c r="I13" i="2"/>
  <c r="P13" i="2"/>
  <c r="O13" i="2"/>
  <c r="N13" i="2"/>
  <c r="E13" i="2"/>
  <c r="F23" i="2" s="1"/>
  <c r="M13" i="2"/>
  <c r="T13" i="2"/>
  <c r="L13" i="2"/>
  <c r="R13" i="2"/>
  <c r="J13" i="2"/>
  <c r="E67" i="2"/>
  <c r="D9" i="14" s="1"/>
  <c r="E178" i="2"/>
  <c r="F178" i="2" s="1"/>
  <c r="D182" i="2"/>
  <c r="D163" i="2"/>
  <c r="D155" i="2"/>
  <c r="D146" i="2"/>
  <c r="E146" i="2" s="1"/>
  <c r="D128" i="2"/>
  <c r="E128" i="2" s="1"/>
  <c r="F128" i="2" s="1"/>
  <c r="D92" i="2"/>
  <c r="E92" i="2" s="1"/>
  <c r="F92" i="2" s="1"/>
  <c r="D82" i="2"/>
  <c r="E82" i="2" s="1"/>
  <c r="F82" i="2" s="1"/>
  <c r="F84" i="2" s="1"/>
  <c r="D23" i="4" s="1"/>
  <c r="D72" i="2"/>
  <c r="E72" i="2" s="1"/>
  <c r="F72" i="2" s="1"/>
  <c r="E62" i="2"/>
  <c r="F62" i="2" s="1"/>
  <c r="F54" i="2"/>
  <c r="E46" i="2"/>
  <c r="F46" i="2" s="1"/>
  <c r="E32" i="2"/>
  <c r="F32" i="2" s="1"/>
  <c r="E180" i="2"/>
  <c r="F180" i="2" s="1"/>
  <c r="M16" i="2"/>
  <c r="Q162" i="2"/>
  <c r="J162" i="2"/>
  <c r="R162" i="2"/>
  <c r="K162" i="2"/>
  <c r="S162" i="2"/>
  <c r="L162" i="2"/>
  <c r="T162" i="2"/>
  <c r="M162" i="2"/>
  <c r="O162" i="2"/>
  <c r="E162" i="2"/>
  <c r="F162" i="2" s="1"/>
  <c r="N162" i="2"/>
  <c r="P162" i="2"/>
  <c r="I162" i="2"/>
  <c r="D33" i="2"/>
  <c r="E33" i="2" s="1"/>
  <c r="F33" i="2" s="1"/>
  <c r="D100" i="2"/>
  <c r="E100" i="2" s="1"/>
  <c r="F100" i="2" s="1"/>
  <c r="D108" i="2"/>
  <c r="E108" i="2" s="1"/>
  <c r="F108" i="2" s="1"/>
  <c r="D136" i="2"/>
  <c r="E136" i="2" s="1"/>
  <c r="F136" i="2" s="1"/>
  <c r="F161" i="2"/>
  <c r="F153" i="2"/>
  <c r="F144" i="2"/>
  <c r="F116" i="2"/>
  <c r="D27" i="4" s="1"/>
  <c r="I27" i="4" s="1"/>
  <c r="F98" i="2"/>
  <c r="F60" i="2"/>
  <c r="F52" i="2"/>
  <c r="F88" i="2"/>
  <c r="F68" i="2"/>
  <c r="D20" i="4" s="1"/>
  <c r="D27" i="2"/>
  <c r="E27" i="2" s="1"/>
  <c r="F27" i="2" s="1"/>
  <c r="D36" i="2"/>
  <c r="E36" i="2" s="1"/>
  <c r="F36" i="2" s="1"/>
  <c r="D120" i="2"/>
  <c r="E120" i="2" s="1"/>
  <c r="F120" i="2" s="1"/>
  <c r="D138" i="2"/>
  <c r="E138" i="2" s="1"/>
  <c r="F138" i="2" s="1"/>
  <c r="D174" i="2"/>
  <c r="E174" i="2" s="1"/>
  <c r="D184" i="2"/>
  <c r="E184" i="2" s="1"/>
  <c r="F184" i="2" s="1"/>
  <c r="F159" i="2"/>
  <c r="F151" i="2"/>
  <c r="F132" i="2"/>
  <c r="D29" i="4" s="1"/>
  <c r="F124" i="2"/>
  <c r="F96" i="2"/>
  <c r="F40" i="2"/>
  <c r="D66" i="2"/>
  <c r="D76" i="2"/>
  <c r="E76" i="2" s="1"/>
  <c r="F76" i="2" s="1"/>
  <c r="G76" i="2" s="1"/>
  <c r="D104" i="2"/>
  <c r="E104" i="2" s="1"/>
  <c r="F104" i="2" s="1"/>
  <c r="D140" i="2"/>
  <c r="E140" i="2" s="1"/>
  <c r="F140" i="2" s="1"/>
  <c r="D167" i="2"/>
  <c r="J158" i="2"/>
  <c r="K8" i="2"/>
  <c r="I9" i="2"/>
  <c r="P159" i="2"/>
  <c r="M12" i="2"/>
  <c r="J160" i="2"/>
  <c r="J9" i="2"/>
  <c r="L159" i="2"/>
  <c r="N9" i="2"/>
  <c r="S159" i="2"/>
  <c r="K159" i="2"/>
  <c r="O9" i="2"/>
  <c r="R159" i="2"/>
  <c r="J159" i="2"/>
  <c r="K12" i="2"/>
  <c r="Q159" i="2"/>
  <c r="I159" i="2"/>
  <c r="O159" i="2"/>
  <c r="K10" i="2"/>
  <c r="N159" i="2"/>
  <c r="M159" i="2"/>
  <c r="J12" i="2"/>
  <c r="D5" i="4"/>
  <c r="F12" i="2"/>
  <c r="D9" i="4" s="1"/>
  <c r="F42" i="2"/>
  <c r="D18" i="4" s="1"/>
  <c r="F148" i="2"/>
  <c r="D33" i="4" s="1"/>
  <c r="F169" i="2"/>
  <c r="D36" i="4" s="1"/>
  <c r="D41" i="4"/>
  <c r="F134" i="2"/>
  <c r="F126" i="2"/>
  <c r="F118" i="2"/>
  <c r="F110" i="2"/>
  <c r="F102" i="2"/>
  <c r="F94" i="2"/>
  <c r="F86" i="2"/>
  <c r="F70" i="2"/>
  <c r="F38" i="2"/>
  <c r="D16" i="4" s="1"/>
  <c r="F29" i="2"/>
  <c r="F10" i="2"/>
  <c r="D7" i="4" s="1"/>
  <c r="F106" i="2"/>
  <c r="F185" i="2"/>
  <c r="D40" i="4" s="1"/>
  <c r="F164" i="2"/>
  <c r="D34" i="4" s="1"/>
  <c r="F141" i="2"/>
  <c r="D30" i="4" s="1"/>
  <c r="I30" i="4" s="1"/>
  <c r="F125" i="2"/>
  <c r="F109" i="2"/>
  <c r="F101" i="2"/>
  <c r="F93" i="2"/>
  <c r="F77" i="2"/>
  <c r="G77" i="2" s="1"/>
  <c r="F28" i="2"/>
  <c r="F9" i="2"/>
  <c r="D6" i="4" s="1"/>
  <c r="F31" i="2"/>
  <c r="F183" i="2"/>
  <c r="D39" i="4" s="1"/>
  <c r="F147" i="2"/>
  <c r="D32" i="4" s="1"/>
  <c r="F139" i="2"/>
  <c r="F131" i="2"/>
  <c r="F123" i="2"/>
  <c r="F107" i="2"/>
  <c r="F91" i="2"/>
  <c r="F59" i="2"/>
  <c r="F35" i="2"/>
  <c r="F168" i="2"/>
  <c r="D35" i="4" s="1"/>
  <c r="F145" i="2"/>
  <c r="F137" i="2"/>
  <c r="F129" i="2"/>
  <c r="F121" i="2"/>
  <c r="D28" i="4" s="1"/>
  <c r="I28" i="4" s="1"/>
  <c r="F105" i="2"/>
  <c r="F97" i="2"/>
  <c r="F89" i="2"/>
  <c r="D24" i="4" s="1"/>
  <c r="F73" i="2"/>
  <c r="F41" i="2"/>
  <c r="D17" i="4" s="1"/>
  <c r="F11" i="2"/>
  <c r="D8" i="4" s="1"/>
  <c r="F30" i="2"/>
  <c r="D19" i="4"/>
  <c r="F71" i="2"/>
  <c r="F79" i="2"/>
  <c r="D22" i="4" s="1"/>
  <c r="F87" i="2"/>
  <c r="F95" i="2"/>
  <c r="F103" i="2"/>
  <c r="F111" i="2"/>
  <c r="D26" i="4" s="1"/>
  <c r="F119" i="2"/>
  <c r="F127" i="2"/>
  <c r="F135" i="2"/>
  <c r="F143" i="2"/>
  <c r="F173" i="2"/>
  <c r="M22" i="2" l="1"/>
  <c r="L22" i="2"/>
  <c r="K22" i="2"/>
  <c r="D25" i="4"/>
  <c r="G92" i="2"/>
  <c r="G93" i="2"/>
  <c r="G94" i="2"/>
  <c r="G95" i="2"/>
  <c r="G97" i="2"/>
  <c r="G91" i="2"/>
  <c r="G96" i="2"/>
  <c r="N22" i="2"/>
  <c r="I22" i="2"/>
  <c r="P22" i="2"/>
  <c r="J22" i="2"/>
  <c r="AQ71" i="3"/>
  <c r="N71" i="3"/>
  <c r="T77" i="3"/>
  <c r="AS77" i="3"/>
  <c r="K76" i="3"/>
  <c r="AP76" i="3"/>
  <c r="AP18" i="3"/>
  <c r="K18" i="3"/>
  <c r="C15" i="4"/>
  <c r="F21" i="2"/>
  <c r="I21" i="2"/>
  <c r="AQ14" i="3"/>
  <c r="N14" i="3"/>
  <c r="F67" i="2"/>
  <c r="F65" i="2"/>
  <c r="P11" i="2"/>
  <c r="F13" i="2"/>
  <c r="D10" i="4" s="1"/>
  <c r="C10" i="4"/>
  <c r="F174" i="2"/>
  <c r="C38" i="4"/>
  <c r="C37" i="4"/>
  <c r="F146" i="2"/>
  <c r="D31" i="4" s="1"/>
  <c r="C31" i="4"/>
  <c r="F74" i="2"/>
  <c r="D21" i="4" s="1"/>
  <c r="C21" i="4"/>
  <c r="F16" i="2"/>
  <c r="D13" i="4" s="1"/>
  <c r="C13" i="4"/>
  <c r="U14" i="2"/>
  <c r="E66" i="2"/>
  <c r="N163" i="2"/>
  <c r="O163" i="2"/>
  <c r="P163" i="2"/>
  <c r="Q163" i="2"/>
  <c r="J163" i="2"/>
  <c r="R163" i="2"/>
  <c r="L163" i="2"/>
  <c r="T163" i="2"/>
  <c r="M163" i="2"/>
  <c r="I163" i="2"/>
  <c r="S163" i="2"/>
  <c r="E163" i="2"/>
  <c r="F163" i="2" s="1"/>
  <c r="K163" i="2"/>
  <c r="I15" i="2"/>
  <c r="M15" i="2"/>
  <c r="T15" i="2"/>
  <c r="L15" i="2"/>
  <c r="E15" i="2"/>
  <c r="S15" i="2"/>
  <c r="K15" i="2"/>
  <c r="R15" i="2"/>
  <c r="J15" i="2"/>
  <c r="Q15" i="2"/>
  <c r="O15" i="2"/>
  <c r="P15" i="2"/>
  <c r="N15" i="2"/>
  <c r="K175" i="2"/>
  <c r="S175" i="2"/>
  <c r="L175" i="2"/>
  <c r="T175" i="2"/>
  <c r="M175" i="2"/>
  <c r="N175" i="2"/>
  <c r="O175" i="2"/>
  <c r="Q175" i="2"/>
  <c r="J175" i="2"/>
  <c r="I175" i="2"/>
  <c r="P175" i="2"/>
  <c r="E175" i="2"/>
  <c r="F175" i="2" s="1"/>
  <c r="R175" i="2"/>
  <c r="E167" i="2"/>
  <c r="F167" i="2" s="1"/>
  <c r="I167" i="2"/>
  <c r="E155" i="2"/>
  <c r="F155" i="2" s="1"/>
  <c r="Q182" i="2"/>
  <c r="J182" i="2"/>
  <c r="R182" i="2"/>
  <c r="K182" i="2"/>
  <c r="S182" i="2"/>
  <c r="L182" i="2"/>
  <c r="T182" i="2"/>
  <c r="M182" i="2"/>
  <c r="O182" i="2"/>
  <c r="N182" i="2"/>
  <c r="P182" i="2"/>
  <c r="I182" i="2"/>
  <c r="E182" i="2"/>
  <c r="F182" i="2" s="1"/>
  <c r="K158" i="2"/>
  <c r="AR71" i="3" l="1"/>
  <c r="Q71" i="3"/>
  <c r="AT77" i="3"/>
  <c r="W77" i="3"/>
  <c r="AQ76" i="3"/>
  <c r="N76" i="3"/>
  <c r="AQ18" i="3"/>
  <c r="N18" i="3"/>
  <c r="AR14" i="3"/>
  <c r="Q14" i="3"/>
  <c r="F66" i="2"/>
  <c r="E7" i="14"/>
  <c r="E31" i="3" s="1"/>
  <c r="AO31" i="3" s="1"/>
  <c r="AM7" i="14"/>
  <c r="E9" i="14"/>
  <c r="E33" i="3" s="1"/>
  <c r="AO33" i="3" s="1"/>
  <c r="AM9" i="14"/>
  <c r="E11" i="4"/>
  <c r="AJ14" i="2"/>
  <c r="Q9" i="2"/>
  <c r="Q12" i="2"/>
  <c r="Q8" i="2"/>
  <c r="Q11" i="2"/>
  <c r="Q10" i="2"/>
  <c r="Q22" i="2" s="1"/>
  <c r="F15" i="2"/>
  <c r="D12" i="4" s="1"/>
  <c r="C12" i="4"/>
  <c r="D38" i="4"/>
  <c r="D37" i="4"/>
  <c r="K160" i="2"/>
  <c r="L158" i="2"/>
  <c r="L160" i="2"/>
  <c r="T66" i="2"/>
  <c r="T65" i="2"/>
  <c r="S66" i="2"/>
  <c r="S65" i="2"/>
  <c r="R66" i="2"/>
  <c r="R65" i="2"/>
  <c r="Q66" i="2"/>
  <c r="Q65" i="2"/>
  <c r="P66" i="2"/>
  <c r="P65" i="2"/>
  <c r="O66" i="2"/>
  <c r="O65" i="2"/>
  <c r="N66" i="2"/>
  <c r="N65" i="2"/>
  <c r="M66" i="2"/>
  <c r="M65" i="2"/>
  <c r="M27" i="2"/>
  <c r="L66" i="2"/>
  <c r="L65" i="2"/>
  <c r="K66" i="2"/>
  <c r="K65" i="2"/>
  <c r="J66" i="2"/>
  <c r="J65" i="2"/>
  <c r="T156" i="2"/>
  <c r="T155" i="2"/>
  <c r="I27" i="2"/>
  <c r="T71" i="3" l="1"/>
  <c r="AS71" i="3"/>
  <c r="Z77" i="3"/>
  <c r="AU77" i="3"/>
  <c r="AR76" i="3"/>
  <c r="Q76" i="3"/>
  <c r="AR18" i="3"/>
  <c r="Q18" i="3"/>
  <c r="I65" i="2"/>
  <c r="AS14" i="3"/>
  <c r="T14" i="3"/>
  <c r="AO9" i="14"/>
  <c r="AO7" i="14"/>
  <c r="AM8" i="14"/>
  <c r="E8" i="14"/>
  <c r="E32" i="3" s="1"/>
  <c r="AO32" i="3" s="1"/>
  <c r="R12" i="2"/>
  <c r="R11" i="2"/>
  <c r="R8" i="2"/>
  <c r="R9" i="2"/>
  <c r="R10" i="2"/>
  <c r="R22" i="2" s="1"/>
  <c r="T151" i="2"/>
  <c r="M160" i="2"/>
  <c r="K157" i="2"/>
  <c r="M155" i="2"/>
  <c r="K155" i="2"/>
  <c r="I152" i="2"/>
  <c r="U16" i="2"/>
  <c r="AJ16" i="2" s="1"/>
  <c r="U13" i="2"/>
  <c r="AJ13" i="2" s="1"/>
  <c r="S155" i="2"/>
  <c r="J153" i="2"/>
  <c r="I154" i="2"/>
  <c r="Q156" i="2"/>
  <c r="I156" i="2"/>
  <c r="L157" i="2"/>
  <c r="P156" i="2"/>
  <c r="L155" i="2"/>
  <c r="J157" i="2"/>
  <c r="N156" i="2"/>
  <c r="R155" i="2"/>
  <c r="J155" i="2"/>
  <c r="I157" i="2"/>
  <c r="M156" i="2"/>
  <c r="Q155" i="2"/>
  <c r="I155" i="2"/>
  <c r="M152" i="2"/>
  <c r="I151" i="2"/>
  <c r="L156" i="2"/>
  <c r="P155" i="2"/>
  <c r="L152" i="2"/>
  <c r="S156" i="2"/>
  <c r="K156" i="2"/>
  <c r="O155" i="2"/>
  <c r="K152" i="2"/>
  <c r="O156" i="2"/>
  <c r="R156" i="2"/>
  <c r="J156" i="2"/>
  <c r="N155" i="2"/>
  <c r="J152" i="2"/>
  <c r="AT71" i="3" l="1"/>
  <c r="N152" i="2" s="1"/>
  <c r="W71" i="3"/>
  <c r="AV77" i="3"/>
  <c r="AC77" i="3"/>
  <c r="T76" i="3"/>
  <c r="AS76" i="3"/>
  <c r="M157" i="2" s="1"/>
  <c r="AS18" i="3"/>
  <c r="T18" i="3"/>
  <c r="I66" i="2"/>
  <c r="AT14" i="3"/>
  <c r="W14" i="3"/>
  <c r="AO8" i="14"/>
  <c r="T9" i="2"/>
  <c r="S9" i="2"/>
  <c r="S8" i="2"/>
  <c r="S11" i="2"/>
  <c r="T12" i="2"/>
  <c r="S10" i="2"/>
  <c r="S22" i="2" s="1"/>
  <c r="S12" i="2"/>
  <c r="T11" i="2"/>
  <c r="E10" i="4"/>
  <c r="G10" i="4" s="1"/>
  <c r="H10" i="4" s="1"/>
  <c r="E13" i="4"/>
  <c r="G13" i="4" s="1"/>
  <c r="H13" i="4" s="1"/>
  <c r="N151" i="2"/>
  <c r="J151" i="2"/>
  <c r="R151" i="2"/>
  <c r="K151" i="2"/>
  <c r="O151" i="2"/>
  <c r="P151" i="2"/>
  <c r="M158" i="2"/>
  <c r="Q151" i="2"/>
  <c r="S151" i="2"/>
  <c r="L151" i="2"/>
  <c r="M151" i="2"/>
  <c r="N160" i="2"/>
  <c r="N158" i="2"/>
  <c r="J154" i="2"/>
  <c r="K153" i="2"/>
  <c r="R18" i="2"/>
  <c r="AE17" i="2" s="1"/>
  <c r="Q18" i="2"/>
  <c r="AD17" i="2" s="1"/>
  <c r="P18" i="2"/>
  <c r="AC17" i="2" s="1"/>
  <c r="O18" i="2"/>
  <c r="AB17" i="2" s="1"/>
  <c r="N18" i="2"/>
  <c r="AA17" i="2" s="1"/>
  <c r="M18" i="2"/>
  <c r="Z17" i="2" s="1"/>
  <c r="L18" i="2"/>
  <c r="Y17" i="2" s="1"/>
  <c r="K18" i="2"/>
  <c r="X17" i="2" s="1"/>
  <c r="J18" i="2"/>
  <c r="W17" i="2" s="1"/>
  <c r="J60" i="2" l="1"/>
  <c r="J59" i="2"/>
  <c r="J51" i="2"/>
  <c r="W51" i="2" s="1"/>
  <c r="J52" i="2"/>
  <c r="N51" i="2"/>
  <c r="AA51" i="2" s="1"/>
  <c r="N59" i="2"/>
  <c r="AA59" i="2" s="1"/>
  <c r="N52" i="2"/>
  <c r="AA52" i="2" s="1"/>
  <c r="N60" i="2"/>
  <c r="AA60" i="2" s="1"/>
  <c r="R59" i="2"/>
  <c r="AE59" i="2" s="1"/>
  <c r="R52" i="2"/>
  <c r="AE52" i="2" s="1"/>
  <c r="R51" i="2"/>
  <c r="AE51" i="2" s="1"/>
  <c r="R60" i="2"/>
  <c r="AE60" i="2" s="1"/>
  <c r="K60" i="2"/>
  <c r="X60" i="2" s="1"/>
  <c r="K52" i="2"/>
  <c r="X52" i="2" s="1"/>
  <c r="K59" i="2"/>
  <c r="X59" i="2" s="1"/>
  <c r="K51" i="2"/>
  <c r="X51" i="2" s="1"/>
  <c r="L60" i="2"/>
  <c r="L52" i="2"/>
  <c r="L51" i="2"/>
  <c r="Y51" i="2" s="1"/>
  <c r="L59" i="2"/>
  <c r="Y59" i="2" s="1"/>
  <c r="M52" i="2"/>
  <c r="Z52" i="2" s="1"/>
  <c r="M51" i="2"/>
  <c r="Z51" i="2" s="1"/>
  <c r="M59" i="2"/>
  <c r="Z59" i="2" s="1"/>
  <c r="M60" i="2"/>
  <c r="Z60" i="2" s="1"/>
  <c r="O59" i="2"/>
  <c r="AB59" i="2" s="1"/>
  <c r="O60" i="2"/>
  <c r="O52" i="2"/>
  <c r="AB52" i="2" s="1"/>
  <c r="O51" i="2"/>
  <c r="AB51" i="2" s="1"/>
  <c r="P60" i="2"/>
  <c r="AC60" i="2" s="1"/>
  <c r="P51" i="2"/>
  <c r="P52" i="2"/>
  <c r="AC52" i="2" s="1"/>
  <c r="P59" i="2"/>
  <c r="AC59" i="2" s="1"/>
  <c r="Q51" i="2"/>
  <c r="Q52" i="2"/>
  <c r="AD52" i="2" s="1"/>
  <c r="Q60" i="2"/>
  <c r="AD60" i="2" s="1"/>
  <c r="Q59" i="2"/>
  <c r="AD59" i="2" s="1"/>
  <c r="Z71" i="3"/>
  <c r="AU71" i="3"/>
  <c r="O152" i="2" s="1"/>
  <c r="AF77" i="3"/>
  <c r="AW77" i="3"/>
  <c r="AT76" i="3"/>
  <c r="N157" i="2" s="1"/>
  <c r="AA157" i="2" s="1"/>
  <c r="W76" i="3"/>
  <c r="AT18" i="3"/>
  <c r="W18" i="3"/>
  <c r="Q81" i="2"/>
  <c r="Q82" i="2"/>
  <c r="Q83" i="2"/>
  <c r="Q76" i="2"/>
  <c r="Q77" i="2"/>
  <c r="Q78" i="2"/>
  <c r="P81" i="2"/>
  <c r="P82" i="2"/>
  <c r="P83" i="2"/>
  <c r="P76" i="2"/>
  <c r="P77" i="2"/>
  <c r="P78" i="2"/>
  <c r="N81" i="2"/>
  <c r="N82" i="2"/>
  <c r="N83" i="2"/>
  <c r="N76" i="2"/>
  <c r="N77" i="2"/>
  <c r="N78" i="2"/>
  <c r="R81" i="2"/>
  <c r="R82" i="2"/>
  <c r="R83" i="2"/>
  <c r="R76" i="2"/>
  <c r="R77" i="2"/>
  <c r="R78" i="2"/>
  <c r="J77" i="2"/>
  <c r="J78" i="2"/>
  <c r="J81" i="2"/>
  <c r="J82" i="2"/>
  <c r="J83" i="2"/>
  <c r="J76" i="2"/>
  <c r="W59" i="2"/>
  <c r="W52" i="2"/>
  <c r="M81" i="2"/>
  <c r="M82" i="2"/>
  <c r="M83" i="2"/>
  <c r="M76" i="2"/>
  <c r="M77" i="2"/>
  <c r="M78" i="2"/>
  <c r="O81" i="2"/>
  <c r="O82" i="2"/>
  <c r="O83" i="2"/>
  <c r="O76" i="2"/>
  <c r="O77" i="2"/>
  <c r="O78" i="2"/>
  <c r="K78" i="2"/>
  <c r="K81" i="2"/>
  <c r="K82" i="2"/>
  <c r="K83" i="2"/>
  <c r="K76" i="2"/>
  <c r="K77" i="2"/>
  <c r="L81" i="2"/>
  <c r="L82" i="2"/>
  <c r="L83" i="2"/>
  <c r="L76" i="2"/>
  <c r="L77" i="2"/>
  <c r="L78" i="2"/>
  <c r="Y60" i="2"/>
  <c r="Y52" i="2"/>
  <c r="AU14" i="3"/>
  <c r="Z14" i="3"/>
  <c r="O145" i="2"/>
  <c r="O143" i="2"/>
  <c r="O108" i="2"/>
  <c r="O40" i="2"/>
  <c r="O31" i="2"/>
  <c r="O29" i="2"/>
  <c r="O144" i="2"/>
  <c r="O134" i="2"/>
  <c r="O35" i="2"/>
  <c r="O32" i="2"/>
  <c r="O30" i="2"/>
  <c r="O28" i="2"/>
  <c r="O26" i="2"/>
  <c r="P145" i="2"/>
  <c r="P143" i="2"/>
  <c r="P108" i="2"/>
  <c r="P40" i="2"/>
  <c r="P31" i="2"/>
  <c r="P29" i="2"/>
  <c r="P144" i="2"/>
  <c r="P134" i="2"/>
  <c r="P35" i="2"/>
  <c r="P32" i="2"/>
  <c r="P30" i="2"/>
  <c r="P28" i="2"/>
  <c r="P26" i="2"/>
  <c r="N145" i="2"/>
  <c r="N143" i="2"/>
  <c r="N108" i="2"/>
  <c r="N40" i="2"/>
  <c r="N31" i="2"/>
  <c r="N29" i="2"/>
  <c r="N144" i="2"/>
  <c r="N134" i="2"/>
  <c r="N35" i="2"/>
  <c r="N32" i="2"/>
  <c r="N30" i="2"/>
  <c r="N28" i="2"/>
  <c r="N26" i="2"/>
  <c r="J144" i="2"/>
  <c r="J134" i="2"/>
  <c r="J35" i="2"/>
  <c r="J32" i="2"/>
  <c r="W32" i="2" s="1"/>
  <c r="J30" i="2"/>
  <c r="J28" i="2"/>
  <c r="J145" i="2"/>
  <c r="J143" i="2"/>
  <c r="J108" i="2"/>
  <c r="J40" i="2"/>
  <c r="J33" i="2"/>
  <c r="J31" i="2"/>
  <c r="J29" i="2"/>
  <c r="J26" i="2"/>
  <c r="K144" i="2"/>
  <c r="K134" i="2"/>
  <c r="K35" i="2"/>
  <c r="K32" i="2"/>
  <c r="K30" i="2"/>
  <c r="K28" i="2"/>
  <c r="K145" i="2"/>
  <c r="K143" i="2"/>
  <c r="K108" i="2"/>
  <c r="K40" i="2"/>
  <c r="K31" i="2"/>
  <c r="K29" i="2"/>
  <c r="K26" i="2"/>
  <c r="M144" i="2"/>
  <c r="M134" i="2"/>
  <c r="M35" i="2"/>
  <c r="M32" i="2"/>
  <c r="M30" i="2"/>
  <c r="M28" i="2"/>
  <c r="M145" i="2"/>
  <c r="M143" i="2"/>
  <c r="M108" i="2"/>
  <c r="M40" i="2"/>
  <c r="M31" i="2"/>
  <c r="M29" i="2"/>
  <c r="M26" i="2"/>
  <c r="Q145" i="2"/>
  <c r="Q143" i="2"/>
  <c r="Q108" i="2"/>
  <c r="Q40" i="2"/>
  <c r="Q31" i="2"/>
  <c r="Q29" i="2"/>
  <c r="Q144" i="2"/>
  <c r="Q134" i="2"/>
  <c r="Q35" i="2"/>
  <c r="Q32" i="2"/>
  <c r="Q30" i="2"/>
  <c r="Q28" i="2"/>
  <c r="Q26" i="2"/>
  <c r="R144" i="2"/>
  <c r="R134" i="2"/>
  <c r="R35" i="2"/>
  <c r="R32" i="2"/>
  <c r="R30" i="2"/>
  <c r="R28" i="2"/>
  <c r="R145" i="2"/>
  <c r="R143" i="2"/>
  <c r="R108" i="2"/>
  <c r="R40" i="2"/>
  <c r="R31" i="2"/>
  <c r="R29" i="2"/>
  <c r="R26" i="2"/>
  <c r="L144" i="2"/>
  <c r="L134" i="2"/>
  <c r="L35" i="2"/>
  <c r="L32" i="2"/>
  <c r="L30" i="2"/>
  <c r="L28" i="2"/>
  <c r="L145" i="2"/>
  <c r="L143" i="2"/>
  <c r="L108" i="2"/>
  <c r="L40" i="2"/>
  <c r="L31" i="2"/>
  <c r="L29" i="2"/>
  <c r="L26" i="2"/>
  <c r="U9" i="2"/>
  <c r="U12" i="2"/>
  <c r="S18" i="2"/>
  <c r="AF17" i="2" s="1"/>
  <c r="U11" i="2"/>
  <c r="T8" i="2"/>
  <c r="T10" i="2"/>
  <c r="AA14" i="2"/>
  <c r="AA22" i="2"/>
  <c r="AC14" i="2"/>
  <c r="AC22" i="2"/>
  <c r="Y14" i="2"/>
  <c r="Y22" i="2"/>
  <c r="AB14" i="2"/>
  <c r="AB22" i="2"/>
  <c r="AD14" i="2"/>
  <c r="AD22" i="2"/>
  <c r="W14" i="2"/>
  <c r="AE14" i="2"/>
  <c r="AE22" i="2"/>
  <c r="Z14" i="2"/>
  <c r="Z22" i="2"/>
  <c r="X14" i="2"/>
  <c r="X22" i="2"/>
  <c r="W18" i="2"/>
  <c r="W60" i="2"/>
  <c r="W10" i="2"/>
  <c r="W12" i="2"/>
  <c r="W8" i="2"/>
  <c r="W11" i="2"/>
  <c r="W9" i="2"/>
  <c r="W161" i="2"/>
  <c r="W159" i="2"/>
  <c r="W150" i="2"/>
  <c r="W16" i="2"/>
  <c r="W65" i="2"/>
  <c r="W13" i="2"/>
  <c r="W152" i="2"/>
  <c r="W156" i="2"/>
  <c r="W157" i="2"/>
  <c r="W162" i="2"/>
  <c r="W179" i="2"/>
  <c r="W177" i="2"/>
  <c r="W154" i="2"/>
  <c r="W160" i="2"/>
  <c r="W151" i="2"/>
  <c r="W180" i="2"/>
  <c r="W178" i="2"/>
  <c r="W181" i="2"/>
  <c r="W158" i="2"/>
  <c r="W166" i="2"/>
  <c r="W153" i="2"/>
  <c r="W163" i="2"/>
  <c r="W66" i="2"/>
  <c r="W182" i="2"/>
  <c r="W175" i="2"/>
  <c r="W15" i="2"/>
  <c r="W155" i="2"/>
  <c r="Z12" i="2"/>
  <c r="Z9" i="2"/>
  <c r="Z11" i="2"/>
  <c r="Z18" i="2"/>
  <c r="Z10" i="2"/>
  <c r="Z156" i="2"/>
  <c r="Z181" i="2"/>
  <c r="Z151" i="2"/>
  <c r="Z13" i="2"/>
  <c r="Z160" i="2"/>
  <c r="Z177" i="2"/>
  <c r="Z152" i="2"/>
  <c r="Z162" i="2"/>
  <c r="Z179" i="2"/>
  <c r="Z166" i="2"/>
  <c r="Z180" i="2"/>
  <c r="Z158" i="2"/>
  <c r="Z65" i="2"/>
  <c r="Z178" i="2"/>
  <c r="Z16" i="2"/>
  <c r="Z157" i="2"/>
  <c r="Z159" i="2"/>
  <c r="Z161" i="2"/>
  <c r="Z182" i="2"/>
  <c r="Z175" i="2"/>
  <c r="Z163" i="2"/>
  <c r="Z15" i="2"/>
  <c r="Z66" i="2"/>
  <c r="Z155" i="2"/>
  <c r="AA18" i="2"/>
  <c r="AA12" i="2"/>
  <c r="AA9" i="2"/>
  <c r="AA11" i="2"/>
  <c r="AA10" i="2"/>
  <c r="AA166" i="2"/>
  <c r="AA162" i="2"/>
  <c r="AA179" i="2"/>
  <c r="AA178" i="2"/>
  <c r="AA160" i="2"/>
  <c r="AA177" i="2"/>
  <c r="AA156" i="2"/>
  <c r="AA151" i="2"/>
  <c r="AA65" i="2"/>
  <c r="AA16" i="2"/>
  <c r="AA13" i="2"/>
  <c r="AA159" i="2"/>
  <c r="AA152" i="2"/>
  <c r="AA180" i="2"/>
  <c r="AA158" i="2"/>
  <c r="AA161" i="2"/>
  <c r="AA181" i="2"/>
  <c r="AA15" i="2"/>
  <c r="AA175" i="2"/>
  <c r="AA66" i="2"/>
  <c r="AA182" i="2"/>
  <c r="AA155" i="2"/>
  <c r="AA163" i="2"/>
  <c r="AC18" i="2"/>
  <c r="AC11" i="2"/>
  <c r="AC10" i="2"/>
  <c r="AC12" i="2"/>
  <c r="AC9" i="2"/>
  <c r="AC159" i="2"/>
  <c r="AC156" i="2"/>
  <c r="AC162" i="2"/>
  <c r="AC181" i="2"/>
  <c r="AC166" i="2"/>
  <c r="AC161" i="2"/>
  <c r="AC179" i="2"/>
  <c r="AC180" i="2"/>
  <c r="AC177" i="2"/>
  <c r="AC65" i="2"/>
  <c r="AC13" i="2"/>
  <c r="AC16" i="2"/>
  <c r="AC178" i="2"/>
  <c r="AC151" i="2"/>
  <c r="AC66" i="2"/>
  <c r="AC182" i="2"/>
  <c r="AC163" i="2"/>
  <c r="AC175" i="2"/>
  <c r="AC155" i="2"/>
  <c r="AC15" i="2"/>
  <c r="AD18" i="2"/>
  <c r="AD11" i="2"/>
  <c r="AD10" i="2"/>
  <c r="AD9" i="2"/>
  <c r="AD12" i="2"/>
  <c r="AD178" i="2"/>
  <c r="AD166" i="2"/>
  <c r="AD181" i="2"/>
  <c r="AD161" i="2"/>
  <c r="AD156" i="2"/>
  <c r="AD16" i="2"/>
  <c r="AD151" i="2"/>
  <c r="AD179" i="2"/>
  <c r="AD13" i="2"/>
  <c r="AD159" i="2"/>
  <c r="AD162" i="2"/>
  <c r="AD177" i="2"/>
  <c r="AD180" i="2"/>
  <c r="AD65" i="2"/>
  <c r="AD182" i="2"/>
  <c r="AD15" i="2"/>
  <c r="AD175" i="2"/>
  <c r="AD163" i="2"/>
  <c r="AD155" i="2"/>
  <c r="AD66" i="2"/>
  <c r="X18" i="2"/>
  <c r="X10" i="2"/>
  <c r="X12" i="2"/>
  <c r="X9" i="2"/>
  <c r="X11" i="2"/>
  <c r="X16" i="2"/>
  <c r="X166" i="2"/>
  <c r="X153" i="2"/>
  <c r="X162" i="2"/>
  <c r="X13" i="2"/>
  <c r="X178" i="2"/>
  <c r="X160" i="2"/>
  <c r="X156" i="2"/>
  <c r="X157" i="2"/>
  <c r="X159" i="2"/>
  <c r="X161" i="2"/>
  <c r="X65" i="2"/>
  <c r="X181" i="2"/>
  <c r="X150" i="2"/>
  <c r="X152" i="2"/>
  <c r="X158" i="2"/>
  <c r="X177" i="2"/>
  <c r="X180" i="2"/>
  <c r="X151" i="2"/>
  <c r="X179" i="2"/>
  <c r="X15" i="2"/>
  <c r="X175" i="2"/>
  <c r="X182" i="2"/>
  <c r="X155" i="2"/>
  <c r="X66" i="2"/>
  <c r="X163" i="2"/>
  <c r="Y18" i="2"/>
  <c r="Y10" i="2"/>
  <c r="Y12" i="2"/>
  <c r="Y9" i="2"/>
  <c r="Y11" i="2"/>
  <c r="Y158" i="2"/>
  <c r="Y13" i="2"/>
  <c r="Y162" i="2"/>
  <c r="Y156" i="2"/>
  <c r="Y152" i="2"/>
  <c r="Y180" i="2"/>
  <c r="Y177" i="2"/>
  <c r="Y157" i="2"/>
  <c r="Y160" i="2"/>
  <c r="Y65" i="2"/>
  <c r="Y178" i="2"/>
  <c r="Y161" i="2"/>
  <c r="Y181" i="2"/>
  <c r="Y159" i="2"/>
  <c r="Y166" i="2"/>
  <c r="Y16" i="2"/>
  <c r="Y151" i="2"/>
  <c r="Y179" i="2"/>
  <c r="Y155" i="2"/>
  <c r="Y66" i="2"/>
  <c r="Y15" i="2"/>
  <c r="Y163" i="2"/>
  <c r="Y175" i="2"/>
  <c r="Y182" i="2"/>
  <c r="AB60" i="2"/>
  <c r="AB18" i="2"/>
  <c r="AB9" i="2"/>
  <c r="AB11" i="2"/>
  <c r="AB10" i="2"/>
  <c r="AB12" i="2"/>
  <c r="AB178" i="2"/>
  <c r="AB161" i="2"/>
  <c r="AB181" i="2"/>
  <c r="AB159" i="2"/>
  <c r="AB16" i="2"/>
  <c r="AB13" i="2"/>
  <c r="AB180" i="2"/>
  <c r="AB166" i="2"/>
  <c r="AB156" i="2"/>
  <c r="AB152" i="2"/>
  <c r="AB65" i="2"/>
  <c r="AB177" i="2"/>
  <c r="AB162" i="2"/>
  <c r="AB179" i="2"/>
  <c r="AB151" i="2"/>
  <c r="AB182" i="2"/>
  <c r="AB163" i="2"/>
  <c r="AB175" i="2"/>
  <c r="AB66" i="2"/>
  <c r="AB15" i="2"/>
  <c r="AB155" i="2"/>
  <c r="AE18" i="2"/>
  <c r="AE10" i="2"/>
  <c r="AE12" i="2"/>
  <c r="AE11" i="2"/>
  <c r="AE9" i="2"/>
  <c r="AE162" i="2"/>
  <c r="AE179" i="2"/>
  <c r="AE16" i="2"/>
  <c r="AE156" i="2"/>
  <c r="AE65" i="2"/>
  <c r="AE151" i="2"/>
  <c r="AE180" i="2"/>
  <c r="AE181" i="2"/>
  <c r="AE161" i="2"/>
  <c r="AE166" i="2"/>
  <c r="AE13" i="2"/>
  <c r="AE159" i="2"/>
  <c r="AE177" i="2"/>
  <c r="AE178" i="2"/>
  <c r="AE163" i="2"/>
  <c r="AE175" i="2"/>
  <c r="AE66" i="2"/>
  <c r="AE155" i="2"/>
  <c r="AE182" i="2"/>
  <c r="AE15" i="2"/>
  <c r="O158" i="2"/>
  <c r="AB158" i="2" s="1"/>
  <c r="O160" i="2"/>
  <c r="AB160" i="2" s="1"/>
  <c r="R23" i="2"/>
  <c r="AE23" i="2" s="1"/>
  <c r="R21" i="2"/>
  <c r="AE21" i="2" s="1"/>
  <c r="R167" i="2"/>
  <c r="AE167" i="2" s="1"/>
  <c r="Q167" i="2"/>
  <c r="AD167" i="2" s="1"/>
  <c r="Q21" i="2"/>
  <c r="AD21" i="2" s="1"/>
  <c r="Q23" i="2"/>
  <c r="AD23" i="2" s="1"/>
  <c r="P23" i="2"/>
  <c r="AC23" i="2" s="1"/>
  <c r="P167" i="2"/>
  <c r="AC167" i="2" s="1"/>
  <c r="P21" i="2"/>
  <c r="AC21" i="2" s="1"/>
  <c r="O167" i="2"/>
  <c r="AB167" i="2" s="1"/>
  <c r="O21" i="2"/>
  <c r="AB21" i="2" s="1"/>
  <c r="O23" i="2"/>
  <c r="AB23" i="2" s="1"/>
  <c r="N167" i="2"/>
  <c r="AA167" i="2" s="1"/>
  <c r="N21" i="2"/>
  <c r="AA21" i="2" s="1"/>
  <c r="N23" i="2"/>
  <c r="AA23" i="2" s="1"/>
  <c r="M167" i="2"/>
  <c r="Z167" i="2" s="1"/>
  <c r="M23" i="2"/>
  <c r="Z23" i="2" s="1"/>
  <c r="M21" i="2"/>
  <c r="Z21" i="2" s="1"/>
  <c r="L167" i="2"/>
  <c r="Y167" i="2" s="1"/>
  <c r="L23" i="2"/>
  <c r="Y23" i="2" s="1"/>
  <c r="L21" i="2"/>
  <c r="Y21" i="2" s="1"/>
  <c r="K23" i="2"/>
  <c r="X23" i="2" s="1"/>
  <c r="K167" i="2"/>
  <c r="X167" i="2" s="1"/>
  <c r="K21" i="2"/>
  <c r="X21" i="2" s="1"/>
  <c r="J167" i="2"/>
  <c r="W167" i="2" s="1"/>
  <c r="J23" i="2"/>
  <c r="J21" i="2"/>
  <c r="K33" i="2"/>
  <c r="K154" i="2"/>
  <c r="X154" i="2" s="1"/>
  <c r="Y150" i="2"/>
  <c r="L153" i="2"/>
  <c r="Y153" i="2" s="1"/>
  <c r="AE8" i="2"/>
  <c r="Y8" i="2"/>
  <c r="AD8" i="2"/>
  <c r="X8" i="2"/>
  <c r="Z8" i="2"/>
  <c r="AA8" i="2"/>
  <c r="AB8" i="2"/>
  <c r="AC8" i="2"/>
  <c r="S52" i="2" l="1"/>
  <c r="S60" i="2"/>
  <c r="AF60" i="2" s="1"/>
  <c r="S59" i="2"/>
  <c r="AF59" i="2" s="1"/>
  <c r="S51" i="2"/>
  <c r="AF51" i="2" s="1"/>
  <c r="AV71" i="3"/>
  <c r="P152" i="2" s="1"/>
  <c r="AC152" i="2" s="1"/>
  <c r="AC71" i="3"/>
  <c r="AX77" i="3"/>
  <c r="AI77" i="3"/>
  <c r="Z76" i="3"/>
  <c r="AU76" i="3"/>
  <c r="O157" i="2" s="1"/>
  <c r="AB157" i="2" s="1"/>
  <c r="Z18" i="3"/>
  <c r="AU18" i="3"/>
  <c r="U10" i="2"/>
  <c r="E7" i="4" s="1"/>
  <c r="G7" i="4" s="1"/>
  <c r="H7" i="4" s="1"/>
  <c r="T22" i="2"/>
  <c r="U22" i="2" s="1"/>
  <c r="AD51" i="2"/>
  <c r="S82" i="2"/>
  <c r="S83" i="2"/>
  <c r="S76" i="2"/>
  <c r="S77" i="2"/>
  <c r="S78" i="2"/>
  <c r="S81" i="2"/>
  <c r="AC51" i="2"/>
  <c r="AV14" i="3"/>
  <c r="AC14" i="3"/>
  <c r="AF155" i="2"/>
  <c r="AF16" i="2"/>
  <c r="AF9" i="2"/>
  <c r="AF182" i="2"/>
  <c r="AF151" i="2"/>
  <c r="S167" i="2"/>
  <c r="AF167" i="2" s="1"/>
  <c r="AF8" i="2"/>
  <c r="AF178" i="2"/>
  <c r="AF156" i="2"/>
  <c r="E8" i="4"/>
  <c r="G8" i="4" s="1"/>
  <c r="H8" i="4" s="1"/>
  <c r="AJ11" i="2"/>
  <c r="AF18" i="2"/>
  <c r="S144" i="2"/>
  <c r="S134" i="2"/>
  <c r="S35" i="2"/>
  <c r="S32" i="2"/>
  <c r="S30" i="2"/>
  <c r="S28" i="2"/>
  <c r="S145" i="2"/>
  <c r="S143" i="2"/>
  <c r="S108" i="2"/>
  <c r="AF52" i="2"/>
  <c r="S40" i="2"/>
  <c r="S31" i="2"/>
  <c r="S29" i="2"/>
  <c r="S26" i="2"/>
  <c r="E9" i="4"/>
  <c r="G9" i="4" s="1"/>
  <c r="H9" i="4" s="1"/>
  <c r="AJ12" i="2"/>
  <c r="W22" i="2"/>
  <c r="E6" i="4"/>
  <c r="G6" i="4" s="1"/>
  <c r="H6" i="4" s="1"/>
  <c r="AJ9" i="2"/>
  <c r="W21" i="2"/>
  <c r="W23" i="2"/>
  <c r="AF166" i="2"/>
  <c r="AF181" i="2"/>
  <c r="S23" i="2"/>
  <c r="AF23" i="2" s="1"/>
  <c r="AF15" i="2"/>
  <c r="AF162" i="2"/>
  <c r="AF163" i="2"/>
  <c r="AF13" i="2"/>
  <c r="AF14" i="2"/>
  <c r="AF22" i="2"/>
  <c r="AF66" i="2"/>
  <c r="AF179" i="2"/>
  <c r="AF11" i="2"/>
  <c r="AF180" i="2"/>
  <c r="AF12" i="2"/>
  <c r="AF161" i="2"/>
  <c r="AF177" i="2"/>
  <c r="AF10" i="2"/>
  <c r="S21" i="2"/>
  <c r="AF21" i="2" s="1"/>
  <c r="AF175" i="2"/>
  <c r="AF159" i="2"/>
  <c r="AF65" i="2"/>
  <c r="T18" i="2"/>
  <c r="AG17" i="2" s="1"/>
  <c r="U8" i="2"/>
  <c r="X32" i="2"/>
  <c r="O24" i="2"/>
  <c r="AB24" i="2" s="1"/>
  <c r="P160" i="2"/>
  <c r="AC160" i="2" s="1"/>
  <c r="P158" i="2"/>
  <c r="AC158" i="2" s="1"/>
  <c r="R24" i="2"/>
  <c r="AE24" i="2" s="1"/>
  <c r="T183" i="2"/>
  <c r="S183" i="2"/>
  <c r="AF183" i="2" s="1"/>
  <c r="R183" i="2"/>
  <c r="AE183" i="2" s="1"/>
  <c r="Q24" i="2"/>
  <c r="AD24" i="2" s="1"/>
  <c r="Q183" i="2"/>
  <c r="AD183" i="2" s="1"/>
  <c r="P24" i="2"/>
  <c r="AC24" i="2" s="1"/>
  <c r="P183" i="2"/>
  <c r="AC183" i="2" s="1"/>
  <c r="O183" i="2"/>
  <c r="AB183" i="2" s="1"/>
  <c r="N168" i="2"/>
  <c r="AA168" i="2" s="1"/>
  <c r="N24" i="2"/>
  <c r="AA24" i="2" s="1"/>
  <c r="N183" i="2"/>
  <c r="AA183" i="2" s="1"/>
  <c r="M24" i="2"/>
  <c r="Z24" i="2" s="1"/>
  <c r="M168" i="2"/>
  <c r="Z168" i="2" s="1"/>
  <c r="M183" i="2"/>
  <c r="Z183" i="2" s="1"/>
  <c r="L168" i="2"/>
  <c r="Y168" i="2" s="1"/>
  <c r="L24" i="2"/>
  <c r="Y24" i="2" s="1"/>
  <c r="L183" i="2"/>
  <c r="Y183" i="2" s="1"/>
  <c r="K183" i="2"/>
  <c r="X183" i="2" s="1"/>
  <c r="K164" i="2"/>
  <c r="X164" i="2" s="1"/>
  <c r="K24" i="2"/>
  <c r="X24" i="2" s="1"/>
  <c r="K168" i="2"/>
  <c r="X168" i="2" s="1"/>
  <c r="J24" i="2"/>
  <c r="W24" i="2" s="1"/>
  <c r="J164" i="2"/>
  <c r="W164" i="2" s="1"/>
  <c r="J168" i="2"/>
  <c r="W168" i="2" s="1"/>
  <c r="J183" i="2"/>
  <c r="W183" i="2" s="1"/>
  <c r="U179" i="2"/>
  <c r="AJ179" i="2" s="1"/>
  <c r="U156" i="2"/>
  <c r="AJ156" i="2" s="1"/>
  <c r="U177" i="2"/>
  <c r="AJ177" i="2" s="1"/>
  <c r="I183" i="2"/>
  <c r="U178" i="2"/>
  <c r="AJ178" i="2" s="1"/>
  <c r="U180" i="2"/>
  <c r="AJ180" i="2" s="1"/>
  <c r="U66" i="2"/>
  <c r="AJ66" i="2" s="1"/>
  <c r="I168" i="2"/>
  <c r="U151" i="2"/>
  <c r="AJ151" i="2" s="1"/>
  <c r="U175" i="2"/>
  <c r="AJ175" i="2" s="1"/>
  <c r="U155" i="2"/>
  <c r="AJ155" i="2" s="1"/>
  <c r="U159" i="2"/>
  <c r="AJ159" i="2" s="1"/>
  <c r="U65" i="2"/>
  <c r="AJ65" i="2" s="1"/>
  <c r="I164" i="2"/>
  <c r="U162" i="2"/>
  <c r="AJ162" i="2" s="1"/>
  <c r="U166" i="2"/>
  <c r="AJ166" i="2" s="1"/>
  <c r="O168" i="2"/>
  <c r="AB168" i="2" s="1"/>
  <c r="U163" i="2"/>
  <c r="AJ163" i="2" s="1"/>
  <c r="L154" i="2"/>
  <c r="Y154" i="2" s="1"/>
  <c r="L33" i="2"/>
  <c r="U161" i="2"/>
  <c r="AJ161" i="2" s="1"/>
  <c r="Z150" i="2"/>
  <c r="P168" i="2"/>
  <c r="AC168" i="2" s="1"/>
  <c r="M153" i="2"/>
  <c r="Z153" i="2" s="1"/>
  <c r="U181" i="2"/>
  <c r="AJ181" i="2" s="1"/>
  <c r="U182" i="2"/>
  <c r="AJ182" i="2" s="1"/>
  <c r="R168" i="2"/>
  <c r="AE168" i="2" s="1"/>
  <c r="Q168" i="2"/>
  <c r="AD168" i="2" s="1"/>
  <c r="T60" i="2" l="1"/>
  <c r="AG60" i="2" s="1"/>
  <c r="T59" i="2"/>
  <c r="AG59" i="2" s="1"/>
  <c r="T52" i="2"/>
  <c r="T51" i="2"/>
  <c r="AW71" i="3"/>
  <c r="Q152" i="2" s="1"/>
  <c r="AD152" i="2" s="1"/>
  <c r="AF71" i="3"/>
  <c r="AL77" i="3"/>
  <c r="AZ77" i="3" s="1"/>
  <c r="AY77" i="3"/>
  <c r="AV76" i="3"/>
  <c r="P157" i="2" s="1"/>
  <c r="AC76" i="3"/>
  <c r="AH22" i="2"/>
  <c r="AJ10" i="2"/>
  <c r="AV18" i="3"/>
  <c r="AC18" i="3"/>
  <c r="T78" i="2"/>
  <c r="T83" i="2"/>
  <c r="T76" i="2"/>
  <c r="T77" i="2"/>
  <c r="T81" i="2"/>
  <c r="T82" i="2"/>
  <c r="AW14" i="3"/>
  <c r="AF14" i="3"/>
  <c r="S168" i="2"/>
  <c r="AF168" i="2" s="1"/>
  <c r="E5" i="4"/>
  <c r="G5" i="4" s="1"/>
  <c r="H5" i="4" s="1"/>
  <c r="AJ8" i="2"/>
  <c r="T144" i="2"/>
  <c r="T134" i="2"/>
  <c r="T35" i="2"/>
  <c r="T32" i="2"/>
  <c r="T30" i="2"/>
  <c r="T28" i="2"/>
  <c r="T145" i="2"/>
  <c r="T143" i="2"/>
  <c r="T108" i="2"/>
  <c r="T40" i="2"/>
  <c r="T31" i="2"/>
  <c r="T29" i="2"/>
  <c r="T26" i="2"/>
  <c r="S24" i="2"/>
  <c r="AF24" i="2" s="1"/>
  <c r="AG156" i="2"/>
  <c r="AG166" i="2"/>
  <c r="AG13" i="2"/>
  <c r="AG9" i="2"/>
  <c r="AG65" i="2"/>
  <c r="AG159" i="2"/>
  <c r="AG15" i="2"/>
  <c r="AG11" i="2"/>
  <c r="AG151" i="2"/>
  <c r="AG182" i="2"/>
  <c r="AG161" i="2"/>
  <c r="AG163" i="2"/>
  <c r="T167" i="2"/>
  <c r="AG8" i="2"/>
  <c r="AG14" i="2"/>
  <c r="AG180" i="2"/>
  <c r="AG16" i="2"/>
  <c r="AG66" i="2"/>
  <c r="T23" i="2"/>
  <c r="AG23" i="2" s="1"/>
  <c r="AG18" i="2"/>
  <c r="AG155" i="2"/>
  <c r="T21" i="2"/>
  <c r="U21" i="2" s="1"/>
  <c r="AG22" i="2"/>
  <c r="AG10" i="2"/>
  <c r="AG177" i="2"/>
  <c r="AG181" i="2"/>
  <c r="AG179" i="2"/>
  <c r="AG175" i="2"/>
  <c r="AG12" i="2"/>
  <c r="AG178" i="2"/>
  <c r="AG162" i="2"/>
  <c r="AG183" i="2"/>
  <c r="Y32" i="2"/>
  <c r="L164" i="2"/>
  <c r="Y164" i="2" s="1"/>
  <c r="Q158" i="2"/>
  <c r="AD158" i="2" s="1"/>
  <c r="Q160" i="2"/>
  <c r="AD160" i="2" s="1"/>
  <c r="U183" i="2"/>
  <c r="AA150" i="2"/>
  <c r="M33" i="2"/>
  <c r="M154" i="2"/>
  <c r="Z154" i="2" s="1"/>
  <c r="N153" i="2"/>
  <c r="AA153" i="2" s="1"/>
  <c r="AI71" i="3" l="1"/>
  <c r="AX71" i="3"/>
  <c r="R152" i="2" s="1"/>
  <c r="AE152" i="2" s="1"/>
  <c r="AF76" i="3"/>
  <c r="AW76" i="3"/>
  <c r="Q157" i="2" s="1"/>
  <c r="AD157" i="2" s="1"/>
  <c r="AC157" i="2"/>
  <c r="AW18" i="3"/>
  <c r="AF18" i="3"/>
  <c r="AH21" i="2"/>
  <c r="AJ21" i="2"/>
  <c r="AX14" i="3"/>
  <c r="AI14" i="3"/>
  <c r="E39" i="4"/>
  <c r="G39" i="4" s="1"/>
  <c r="H39" i="4" s="1"/>
  <c r="AJ183" i="2"/>
  <c r="AG52" i="2"/>
  <c r="AG51" i="2"/>
  <c r="AG167" i="2"/>
  <c r="U167" i="2"/>
  <c r="T168" i="2"/>
  <c r="AG168" i="2" s="1"/>
  <c r="AG21" i="2"/>
  <c r="T24" i="2"/>
  <c r="AG24" i="2" s="1"/>
  <c r="Z32" i="2"/>
  <c r="M164" i="2"/>
  <c r="Z164" i="2" s="1"/>
  <c r="R160" i="2"/>
  <c r="AE160" i="2" s="1"/>
  <c r="R158" i="2"/>
  <c r="AE158" i="2" s="1"/>
  <c r="O153" i="2"/>
  <c r="AB153" i="2" s="1"/>
  <c r="N154" i="2"/>
  <c r="AA154" i="2" s="1"/>
  <c r="N33" i="2"/>
  <c r="AB150" i="2"/>
  <c r="AY71" i="3" l="1"/>
  <c r="S152" i="2" s="1"/>
  <c r="AF152" i="2" s="1"/>
  <c r="AL71" i="3"/>
  <c r="AZ71" i="3" s="1"/>
  <c r="T152" i="2" s="1"/>
  <c r="AG152" i="2" s="1"/>
  <c r="AI76" i="3"/>
  <c r="AX76" i="3"/>
  <c r="R157" i="2" s="1"/>
  <c r="AI18" i="3"/>
  <c r="AX18" i="3"/>
  <c r="AY14" i="3"/>
  <c r="AL14" i="3"/>
  <c r="AZ14" i="3" s="1"/>
  <c r="U168" i="2"/>
  <c r="AJ168" i="2" s="1"/>
  <c r="AJ167" i="2"/>
  <c r="AA32" i="2"/>
  <c r="N164" i="2"/>
  <c r="AA164" i="2" s="1"/>
  <c r="S160" i="2"/>
  <c r="AF160" i="2" s="1"/>
  <c r="T160" i="2"/>
  <c r="AG160" i="2" s="1"/>
  <c r="S158" i="2"/>
  <c r="AF158" i="2" s="1"/>
  <c r="T158" i="2"/>
  <c r="AG158" i="2" s="1"/>
  <c r="O33" i="2"/>
  <c r="AC150" i="2"/>
  <c r="P153" i="2"/>
  <c r="AC153" i="2" s="1"/>
  <c r="O154" i="2"/>
  <c r="AB154" i="2" s="1"/>
  <c r="AE157" i="2" l="1"/>
  <c r="AL76" i="3"/>
  <c r="AZ76" i="3" s="1"/>
  <c r="T157" i="2" s="1"/>
  <c r="AG157" i="2" s="1"/>
  <c r="AY76" i="3"/>
  <c r="S157" i="2" s="1"/>
  <c r="AF157" i="2" s="1"/>
  <c r="AL18" i="3"/>
  <c r="AZ18" i="3" s="1"/>
  <c r="AY18" i="3"/>
  <c r="E35" i="4"/>
  <c r="G35" i="4" s="1"/>
  <c r="H35" i="4" s="1"/>
  <c r="AB32" i="2"/>
  <c r="U158" i="2"/>
  <c r="AJ158" i="2" s="1"/>
  <c r="U160" i="2"/>
  <c r="AJ160" i="2" s="1"/>
  <c r="O164" i="2"/>
  <c r="AB164" i="2" s="1"/>
  <c r="AD150" i="2"/>
  <c r="Q153" i="2"/>
  <c r="AD153" i="2" s="1"/>
  <c r="P33" i="2"/>
  <c r="P154" i="2"/>
  <c r="AC154" i="2" s="1"/>
  <c r="U157" i="2" l="1"/>
  <c r="AJ157" i="2" s="1"/>
  <c r="AC32" i="2"/>
  <c r="P164" i="2"/>
  <c r="AC164" i="2" s="1"/>
  <c r="Q154" i="2"/>
  <c r="AD154" i="2" s="1"/>
  <c r="AE150" i="2"/>
  <c r="Q33" i="2"/>
  <c r="R153" i="2"/>
  <c r="AE153" i="2" s="1"/>
  <c r="AD32" i="2" l="1"/>
  <c r="Q164" i="2"/>
  <c r="AD164" i="2" s="1"/>
  <c r="T153" i="2"/>
  <c r="AG153" i="2" s="1"/>
  <c r="S153" i="2"/>
  <c r="AF153" i="2" s="1"/>
  <c r="AG150" i="2"/>
  <c r="AF150" i="2"/>
  <c r="R33" i="2"/>
  <c r="R154" i="2"/>
  <c r="AE154" i="2" s="1"/>
  <c r="AE32" i="2" l="1"/>
  <c r="U150" i="2"/>
  <c r="AJ150" i="2" s="1"/>
  <c r="R164" i="2"/>
  <c r="AE164" i="2" s="1"/>
  <c r="U152" i="2"/>
  <c r="AJ152" i="2" s="1"/>
  <c r="T154" i="2"/>
  <c r="AG154" i="2" s="1"/>
  <c r="S154" i="2"/>
  <c r="AF154" i="2" s="1"/>
  <c r="S33" i="2"/>
  <c r="AG32" i="2" l="1"/>
  <c r="T33" i="2"/>
  <c r="AF32" i="2"/>
  <c r="U154" i="2"/>
  <c r="AJ154" i="2" s="1"/>
  <c r="S164" i="2"/>
  <c r="AF164" i="2" s="1"/>
  <c r="U153" i="2"/>
  <c r="AJ153" i="2" s="1"/>
  <c r="T164" i="2"/>
  <c r="AG164" i="2" s="1"/>
  <c r="U164" i="2" l="1"/>
  <c r="AJ164" i="2" s="1"/>
  <c r="E34" i="4" l="1"/>
  <c r="G34" i="4" s="1"/>
  <c r="H34" i="4" s="1"/>
  <c r="I18" i="2" l="1"/>
  <c r="V17" i="2" s="1"/>
  <c r="U15" i="2"/>
  <c r="AJ15" i="2" s="1"/>
  <c r="I60" i="2" l="1"/>
  <c r="I59" i="2"/>
  <c r="I51" i="2"/>
  <c r="U51" i="2" s="1"/>
  <c r="AJ51" i="2" s="1"/>
  <c r="I52" i="2"/>
  <c r="U52" i="2" s="1"/>
  <c r="AJ52" i="2" s="1"/>
  <c r="I82" i="2"/>
  <c r="I77" i="2"/>
  <c r="I78" i="2"/>
  <c r="I76" i="2"/>
  <c r="I81" i="2"/>
  <c r="I83" i="2"/>
  <c r="I108" i="2"/>
  <c r="U59" i="2"/>
  <c r="AJ59" i="2" s="1"/>
  <c r="U60" i="2"/>
  <c r="AJ60" i="2" s="1"/>
  <c r="I23" i="2"/>
  <c r="V18" i="2"/>
  <c r="I145" i="2"/>
  <c r="I40" i="2"/>
  <c r="I144" i="2"/>
  <c r="I35" i="2"/>
  <c r="I26" i="2"/>
  <c r="I143" i="2"/>
  <c r="I33" i="2"/>
  <c r="I29" i="2"/>
  <c r="I134" i="2"/>
  <c r="I32" i="2"/>
  <c r="U32" i="2" s="1"/>
  <c r="AJ32" i="2" s="1"/>
  <c r="I31" i="2"/>
  <c r="I28" i="2"/>
  <c r="I30" i="2"/>
  <c r="G11" i="4"/>
  <c r="H11" i="4" s="1"/>
  <c r="E12" i="4"/>
  <c r="G12" i="4" s="1"/>
  <c r="H12" i="4" s="1"/>
  <c r="V11" i="2"/>
  <c r="V14" i="2"/>
  <c r="V152" i="2"/>
  <c r="V158" i="2"/>
  <c r="V161" i="2"/>
  <c r="V65" i="2"/>
  <c r="V179" i="2"/>
  <c r="V9" i="2"/>
  <c r="U18" i="2"/>
  <c r="AH17" i="2" s="1"/>
  <c r="V162" i="2"/>
  <c r="V12" i="2"/>
  <c r="V180" i="2"/>
  <c r="V175" i="2"/>
  <c r="V157" i="2"/>
  <c r="V155" i="2"/>
  <c r="V177" i="2"/>
  <c r="V178" i="2"/>
  <c r="V167" i="2"/>
  <c r="V183" i="2"/>
  <c r="V160" i="2"/>
  <c r="V181" i="2"/>
  <c r="V13" i="2"/>
  <c r="V163" i="2"/>
  <c r="V156" i="2"/>
  <c r="V166" i="2"/>
  <c r="V150" i="2"/>
  <c r="V151" i="2"/>
  <c r="V16" i="2"/>
  <c r="V164" i="2"/>
  <c r="V8" i="2"/>
  <c r="V182" i="2"/>
  <c r="V153" i="2"/>
  <c r="V66" i="2"/>
  <c r="V168" i="2"/>
  <c r="V15" i="2"/>
  <c r="V154" i="2"/>
  <c r="V159" i="2"/>
  <c r="V10" i="2"/>
  <c r="AJ18" i="2" l="1"/>
  <c r="U3" i="2"/>
  <c r="U2" i="2" s="1"/>
  <c r="V60" i="2"/>
  <c r="V52" i="2"/>
  <c r="V51" i="2"/>
  <c r="V32" i="2"/>
  <c r="V59" i="2"/>
  <c r="V22" i="2"/>
  <c r="AJ22" i="2"/>
  <c r="V23" i="2"/>
  <c r="U23" i="2"/>
  <c r="E14" i="4"/>
  <c r="G14" i="4" s="1"/>
  <c r="H14" i="4" s="1"/>
  <c r="AH14" i="2"/>
  <c r="F11" i="4" s="1"/>
  <c r="I24" i="2"/>
  <c r="V21" i="2"/>
  <c r="AH183" i="2"/>
  <c r="F39" i="4" s="1"/>
  <c r="AH161" i="2"/>
  <c r="AH13" i="2"/>
  <c r="F10" i="4" s="1"/>
  <c r="AH182" i="2"/>
  <c r="AH180" i="2"/>
  <c r="AH152" i="2"/>
  <c r="AH60" i="2"/>
  <c r="AH157" i="2"/>
  <c r="AH177" i="2"/>
  <c r="AH178" i="2"/>
  <c r="AH154" i="2"/>
  <c r="AH179" i="2"/>
  <c r="AH66" i="2"/>
  <c r="AH59" i="2"/>
  <c r="AH151" i="2"/>
  <c r="AH10" i="2"/>
  <c r="F7" i="4" s="1"/>
  <c r="AH16" i="2"/>
  <c r="F13" i="4" s="1"/>
  <c r="AH158" i="2"/>
  <c r="AH8" i="2"/>
  <c r="F5" i="4" s="1"/>
  <c r="AH32" i="2"/>
  <c r="AH65" i="2"/>
  <c r="AH175" i="2"/>
  <c r="AH156" i="2"/>
  <c r="AH9" i="2"/>
  <c r="F6" i="4" s="1"/>
  <c r="AH160" i="2"/>
  <c r="AH167" i="2"/>
  <c r="AH181" i="2"/>
  <c r="AH11" i="2"/>
  <c r="F8" i="4" s="1"/>
  <c r="AH150" i="2"/>
  <c r="AH155" i="2"/>
  <c r="AH12" i="2"/>
  <c r="F9" i="4" s="1"/>
  <c r="AH51" i="2"/>
  <c r="AH52" i="2"/>
  <c r="AH168" i="2"/>
  <c r="F35" i="4" s="1"/>
  <c r="I35" i="4" s="1"/>
  <c r="AH153" i="2"/>
  <c r="AH163" i="2"/>
  <c r="AH18" i="2"/>
  <c r="F14" i="4" s="1"/>
  <c r="AH166" i="2"/>
  <c r="AH162" i="2"/>
  <c r="AH159" i="2"/>
  <c r="AH164" i="2"/>
  <c r="F34" i="4" s="1"/>
  <c r="I34" i="4" s="1"/>
  <c r="AH15" i="2"/>
  <c r="F12" i="4" s="1"/>
  <c r="AJ23" i="2" l="1"/>
  <c r="AH23" i="2"/>
  <c r="G140" i="2"/>
  <c r="G120" i="2"/>
  <c r="G101" i="2"/>
  <c r="G70" i="2"/>
  <c r="G139" i="2"/>
  <c r="G115" i="2"/>
  <c r="G100" i="2"/>
  <c r="G127" i="2"/>
  <c r="G125" i="2"/>
  <c r="G124" i="2"/>
  <c r="G72" i="2"/>
  <c r="G123" i="2"/>
  <c r="G102" i="2"/>
  <c r="G71" i="2"/>
  <c r="G138" i="2"/>
  <c r="G114" i="2"/>
  <c r="G137" i="2"/>
  <c r="G113" i="2"/>
  <c r="G136" i="2"/>
  <c r="G110" i="2"/>
  <c r="G135" i="2"/>
  <c r="G131" i="2"/>
  <c r="G107" i="2"/>
  <c r="G128" i="2"/>
  <c r="I92" i="2"/>
  <c r="G105" i="2"/>
  <c r="I91" i="2"/>
  <c r="G104" i="2"/>
  <c r="G73" i="2"/>
  <c r="G103" i="2"/>
  <c r="G34" i="2"/>
  <c r="O34" i="2" s="1"/>
  <c r="AB34" i="2" s="1"/>
  <c r="G106" i="2"/>
  <c r="U24" i="2"/>
  <c r="AJ24" i="2" s="1"/>
  <c r="V24" i="2"/>
  <c r="S131" i="2" l="1"/>
  <c r="AF131" i="2" s="1"/>
  <c r="M131" i="2"/>
  <c r="O131" i="2"/>
  <c r="R131" i="2"/>
  <c r="AE131" i="2" s="1"/>
  <c r="T131" i="2"/>
  <c r="Q131" i="2"/>
  <c r="AD131" i="2" s="1"/>
  <c r="K131" i="2"/>
  <c r="X131" i="2" s="1"/>
  <c r="J131" i="2"/>
  <c r="W131" i="2" s="1"/>
  <c r="L131" i="2"/>
  <c r="Y131" i="2" s="1"/>
  <c r="N131" i="2"/>
  <c r="AA131" i="2" s="1"/>
  <c r="P131" i="2"/>
  <c r="AC131" i="2" s="1"/>
  <c r="I131" i="2"/>
  <c r="Q113" i="2"/>
  <c r="J113" i="2"/>
  <c r="R113" i="2"/>
  <c r="K113" i="2"/>
  <c r="S113" i="2"/>
  <c r="L113" i="2"/>
  <c r="I113" i="2"/>
  <c r="O113" i="2"/>
  <c r="N113" i="2"/>
  <c r="P113" i="2"/>
  <c r="M113" i="2"/>
  <c r="T113" i="2"/>
  <c r="Q114" i="2"/>
  <c r="AD114" i="2" s="1"/>
  <c r="J114" i="2"/>
  <c r="W114" i="2" s="1"/>
  <c r="S114" i="2"/>
  <c r="AF114" i="2" s="1"/>
  <c r="L114" i="2"/>
  <c r="Y114" i="2" s="1"/>
  <c r="P114" i="2"/>
  <c r="AC114" i="2" s="1"/>
  <c r="N114" i="2"/>
  <c r="AA114" i="2" s="1"/>
  <c r="K114" i="2"/>
  <c r="X114" i="2" s="1"/>
  <c r="T114" i="2"/>
  <c r="AG114" i="2" s="1"/>
  <c r="I114" i="2"/>
  <c r="O114" i="2"/>
  <c r="AB114" i="2" s="1"/>
  <c r="R114" i="2"/>
  <c r="AE114" i="2" s="1"/>
  <c r="M114" i="2"/>
  <c r="Z114" i="2" s="1"/>
  <c r="S115" i="2"/>
  <c r="AF115" i="2" s="1"/>
  <c r="L115" i="2"/>
  <c r="Y115" i="2" s="1"/>
  <c r="N115" i="2"/>
  <c r="AA115" i="2" s="1"/>
  <c r="M115" i="2"/>
  <c r="Z115" i="2" s="1"/>
  <c r="J115" i="2"/>
  <c r="W115" i="2" s="1"/>
  <c r="R115" i="2"/>
  <c r="AE115" i="2" s="1"/>
  <c r="P115" i="2"/>
  <c r="AC115" i="2" s="1"/>
  <c r="T115" i="2"/>
  <c r="AG115" i="2" s="1"/>
  <c r="Q115" i="2"/>
  <c r="AD115" i="2" s="1"/>
  <c r="K115" i="2"/>
  <c r="X115" i="2" s="1"/>
  <c r="I115" i="2"/>
  <c r="O115" i="2"/>
  <c r="AB115" i="2" s="1"/>
  <c r="T171" i="2"/>
  <c r="K171" i="2"/>
  <c r="M171" i="2"/>
  <c r="J171" i="2"/>
  <c r="S171" i="2"/>
  <c r="N171" i="2"/>
  <c r="L171" i="2"/>
  <c r="O171" i="2"/>
  <c r="Q171" i="2"/>
  <c r="P171" i="2"/>
  <c r="R171" i="2"/>
  <c r="Q172" i="2"/>
  <c r="AD172" i="2" s="1"/>
  <c r="R172" i="2"/>
  <c r="AE172" i="2" s="1"/>
  <c r="I173" i="2"/>
  <c r="O172" i="2"/>
  <c r="AB172" i="2" s="1"/>
  <c r="M172" i="2"/>
  <c r="Z172" i="2" s="1"/>
  <c r="J172" i="2"/>
  <c r="W172" i="2" s="1"/>
  <c r="K172" i="2"/>
  <c r="X172" i="2" s="1"/>
  <c r="P172" i="2"/>
  <c r="AC172" i="2" s="1"/>
  <c r="S172" i="2"/>
  <c r="AF172" i="2" s="1"/>
  <c r="L172" i="2"/>
  <c r="Y172" i="2" s="1"/>
  <c r="T172" i="2"/>
  <c r="AG172" i="2" s="1"/>
  <c r="N172" i="2"/>
  <c r="AA172" i="2" s="1"/>
  <c r="E15" i="4"/>
  <c r="G15" i="4" s="1"/>
  <c r="H15" i="4" s="1"/>
  <c r="AH24" i="2"/>
  <c r="F15" i="4" s="1"/>
  <c r="I15" i="4" s="1"/>
  <c r="J37" i="2"/>
  <c r="W37" i="2" s="1"/>
  <c r="K37" i="2"/>
  <c r="X37" i="2" s="1"/>
  <c r="L37" i="2"/>
  <c r="Y37" i="2" s="1"/>
  <c r="M37" i="2"/>
  <c r="Z37" i="2" s="1"/>
  <c r="N37" i="2"/>
  <c r="AA37" i="2" s="1"/>
  <c r="O37" i="2"/>
  <c r="AB37" i="2" s="1"/>
  <c r="P37" i="2"/>
  <c r="AC37" i="2" s="1"/>
  <c r="Q37" i="2"/>
  <c r="AD37" i="2" s="1"/>
  <c r="R37" i="2"/>
  <c r="AE37" i="2" s="1"/>
  <c r="S37" i="2"/>
  <c r="AF37" i="2" s="1"/>
  <c r="T37" i="2"/>
  <c r="AG37" i="2" s="1"/>
  <c r="I67" i="2"/>
  <c r="P67" i="2"/>
  <c r="Q67" i="2"/>
  <c r="O67" i="2"/>
  <c r="N67" i="2"/>
  <c r="M67" i="2"/>
  <c r="T67" i="2"/>
  <c r="L67" i="2"/>
  <c r="S67" i="2"/>
  <c r="K67" i="2"/>
  <c r="R67" i="2"/>
  <c r="J67" i="2"/>
  <c r="N34" i="2"/>
  <c r="AA34" i="2" s="1"/>
  <c r="L34" i="2"/>
  <c r="Y34" i="2" s="1"/>
  <c r="S34" i="2"/>
  <c r="AF34" i="2" s="1"/>
  <c r="M34" i="2"/>
  <c r="Z34" i="2" s="1"/>
  <c r="Q34" i="2"/>
  <c r="AD34" i="2" s="1"/>
  <c r="K34" i="2"/>
  <c r="X34" i="2" s="1"/>
  <c r="I34" i="2"/>
  <c r="V34" i="2" s="1"/>
  <c r="P34" i="2"/>
  <c r="AC34" i="2" s="1"/>
  <c r="R34" i="2"/>
  <c r="AE34" i="2" s="1"/>
  <c r="T34" i="2"/>
  <c r="AG34" i="2" s="1"/>
  <c r="J34" i="2"/>
  <c r="W34" i="2" s="1"/>
  <c r="AB35" i="2"/>
  <c r="AC35" i="2"/>
  <c r="W35" i="2"/>
  <c r="AE35" i="2"/>
  <c r="X35" i="2"/>
  <c r="AF35" i="2"/>
  <c r="Y35" i="2"/>
  <c r="AG35" i="2"/>
  <c r="Z35" i="2"/>
  <c r="AA35" i="2"/>
  <c r="Z33" i="2"/>
  <c r="AA33" i="2"/>
  <c r="AC33" i="2"/>
  <c r="AD33" i="2"/>
  <c r="W33" i="2"/>
  <c r="AE33" i="2"/>
  <c r="AF33" i="2"/>
  <c r="AB33" i="2"/>
  <c r="Y33" i="2"/>
  <c r="AG33" i="2"/>
  <c r="AG27" i="2"/>
  <c r="Z27" i="2"/>
  <c r="AB27" i="2"/>
  <c r="AA27" i="2"/>
  <c r="AC27" i="2"/>
  <c r="AD27" i="2"/>
  <c r="W27" i="2"/>
  <c r="AE27" i="2"/>
  <c r="X27" i="2"/>
  <c r="AF27" i="2"/>
  <c r="AF108" i="2"/>
  <c r="AB108" i="2"/>
  <c r="Y108" i="2"/>
  <c r="AC108" i="2"/>
  <c r="AG108" i="2"/>
  <c r="X108" i="2"/>
  <c r="AD108" i="2"/>
  <c r="AA108" i="2"/>
  <c r="W108" i="2"/>
  <c r="Z108" i="2"/>
  <c r="AE108" i="2"/>
  <c r="N91" i="2"/>
  <c r="P91" i="2"/>
  <c r="Q91" i="2"/>
  <c r="S91" i="2"/>
  <c r="J91" i="2"/>
  <c r="L91" i="2"/>
  <c r="T91" i="2"/>
  <c r="O91" i="2"/>
  <c r="M91" i="2"/>
  <c r="K91" i="2"/>
  <c r="R91" i="2"/>
  <c r="I106" i="2"/>
  <c r="O106" i="2"/>
  <c r="AB106" i="2" s="1"/>
  <c r="K106" i="2"/>
  <c r="X106" i="2" s="1"/>
  <c r="L106" i="2"/>
  <c r="Y106" i="2" s="1"/>
  <c r="P106" i="2"/>
  <c r="AC106" i="2" s="1"/>
  <c r="T106" i="2"/>
  <c r="AG106" i="2" s="1"/>
  <c r="J106" i="2"/>
  <c r="W106" i="2" s="1"/>
  <c r="S106" i="2"/>
  <c r="AF106" i="2" s="1"/>
  <c r="N106" i="2"/>
  <c r="AA106" i="2" s="1"/>
  <c r="R106" i="2"/>
  <c r="AE106" i="2" s="1"/>
  <c r="M106" i="2"/>
  <c r="Z106" i="2" s="1"/>
  <c r="Q106" i="2"/>
  <c r="AD106" i="2" s="1"/>
  <c r="I105" i="2"/>
  <c r="M105" i="2"/>
  <c r="Z105" i="2" s="1"/>
  <c r="T105" i="2"/>
  <c r="AG105" i="2" s="1"/>
  <c r="J105" i="2"/>
  <c r="W105" i="2" s="1"/>
  <c r="P105" i="2"/>
  <c r="AC105" i="2" s="1"/>
  <c r="K105" i="2"/>
  <c r="X105" i="2" s="1"/>
  <c r="N105" i="2"/>
  <c r="AA105" i="2" s="1"/>
  <c r="O105" i="2"/>
  <c r="AB105" i="2" s="1"/>
  <c r="R105" i="2"/>
  <c r="AE105" i="2" s="1"/>
  <c r="Q105" i="2"/>
  <c r="AD105" i="2" s="1"/>
  <c r="S105" i="2"/>
  <c r="AF105" i="2" s="1"/>
  <c r="L105" i="2"/>
  <c r="Y105" i="2" s="1"/>
  <c r="AD35" i="2"/>
  <c r="X77" i="2"/>
  <c r="AB77" i="2"/>
  <c r="Z77" i="2"/>
  <c r="W77" i="2"/>
  <c r="AA77" i="2"/>
  <c r="AF77" i="2"/>
  <c r="AC77" i="2"/>
  <c r="AE77" i="2"/>
  <c r="Y77" i="2"/>
  <c r="AG77" i="2"/>
  <c r="AD77" i="2"/>
  <c r="I137" i="2"/>
  <c r="K137" i="2"/>
  <c r="X137" i="2" s="1"/>
  <c r="S137" i="2"/>
  <c r="AF137" i="2" s="1"/>
  <c r="M137" i="2"/>
  <c r="Z137" i="2" s="1"/>
  <c r="R137" i="2"/>
  <c r="AE137" i="2" s="1"/>
  <c r="O137" i="2"/>
  <c r="AB137" i="2" s="1"/>
  <c r="L137" i="2"/>
  <c r="Y137" i="2" s="1"/>
  <c r="T137" i="2"/>
  <c r="AG137" i="2" s="1"/>
  <c r="N137" i="2"/>
  <c r="AA137" i="2" s="1"/>
  <c r="P137" i="2"/>
  <c r="AC137" i="2" s="1"/>
  <c r="J137" i="2"/>
  <c r="W137" i="2" s="1"/>
  <c r="Q137" i="2"/>
  <c r="AD137" i="2" s="1"/>
  <c r="O72" i="2"/>
  <c r="AB72" i="2" s="1"/>
  <c r="T72" i="2"/>
  <c r="AG72" i="2" s="1"/>
  <c r="M72" i="2"/>
  <c r="Z72" i="2" s="1"/>
  <c r="N72" i="2"/>
  <c r="AA72" i="2" s="1"/>
  <c r="S72" i="2"/>
  <c r="AF72" i="2" s="1"/>
  <c r="Q72" i="2"/>
  <c r="AD72" i="2" s="1"/>
  <c r="K72" i="2"/>
  <c r="X72" i="2" s="1"/>
  <c r="L72" i="2"/>
  <c r="Y72" i="2" s="1"/>
  <c r="R72" i="2"/>
  <c r="AE72" i="2" s="1"/>
  <c r="J72" i="2"/>
  <c r="W72" i="2" s="1"/>
  <c r="I72" i="2"/>
  <c r="P72" i="2"/>
  <c r="AC72" i="2" s="1"/>
  <c r="I138" i="2"/>
  <c r="T138" i="2"/>
  <c r="AG138" i="2" s="1"/>
  <c r="M138" i="2"/>
  <c r="Z138" i="2" s="1"/>
  <c r="O138" i="2"/>
  <c r="AB138" i="2" s="1"/>
  <c r="R138" i="2"/>
  <c r="AE138" i="2" s="1"/>
  <c r="K138" i="2"/>
  <c r="X138" i="2" s="1"/>
  <c r="S138" i="2"/>
  <c r="AF138" i="2" s="1"/>
  <c r="L138" i="2"/>
  <c r="Y138" i="2" s="1"/>
  <c r="P138" i="2"/>
  <c r="AC138" i="2" s="1"/>
  <c r="Q138" i="2"/>
  <c r="AD138" i="2" s="1"/>
  <c r="N138" i="2"/>
  <c r="AA138" i="2" s="1"/>
  <c r="J138" i="2"/>
  <c r="W138" i="2" s="1"/>
  <c r="AB31" i="2"/>
  <c r="W31" i="2"/>
  <c r="X31" i="2"/>
  <c r="AD31" i="2"/>
  <c r="Z31" i="2"/>
  <c r="AE31" i="2"/>
  <c r="AC31" i="2"/>
  <c r="AF31" i="2"/>
  <c r="AA31" i="2"/>
  <c r="Y31" i="2"/>
  <c r="AG31" i="2"/>
  <c r="T70" i="2"/>
  <c r="R70" i="2"/>
  <c r="M70" i="2"/>
  <c r="K70" i="2"/>
  <c r="S70" i="2"/>
  <c r="L70" i="2"/>
  <c r="N70" i="2"/>
  <c r="Q70" i="2"/>
  <c r="J70" i="2"/>
  <c r="P70" i="2"/>
  <c r="I70" i="2"/>
  <c r="O70" i="2"/>
  <c r="AF87" i="2"/>
  <c r="AB87" i="2"/>
  <c r="AG87" i="2"/>
  <c r="W87" i="2"/>
  <c r="AA87" i="2"/>
  <c r="Z87" i="2"/>
  <c r="Y87" i="2"/>
  <c r="X87" i="2"/>
  <c r="AD87" i="2"/>
  <c r="AE87" i="2"/>
  <c r="AC87" i="2"/>
  <c r="I128" i="2"/>
  <c r="L128" i="2"/>
  <c r="Y128" i="2" s="1"/>
  <c r="J128" i="2"/>
  <c r="W128" i="2" s="1"/>
  <c r="O128" i="2"/>
  <c r="AB128" i="2" s="1"/>
  <c r="N128" i="2"/>
  <c r="AA128" i="2" s="1"/>
  <c r="R128" i="2"/>
  <c r="AE128" i="2" s="1"/>
  <c r="T128" i="2"/>
  <c r="AG128" i="2" s="1"/>
  <c r="K128" i="2"/>
  <c r="X128" i="2" s="1"/>
  <c r="S128" i="2"/>
  <c r="AF128" i="2" s="1"/>
  <c r="P128" i="2"/>
  <c r="AC128" i="2" s="1"/>
  <c r="M128" i="2"/>
  <c r="Z128" i="2" s="1"/>
  <c r="Q128" i="2"/>
  <c r="AD128" i="2" s="1"/>
  <c r="AE88" i="2"/>
  <c r="X88" i="2"/>
  <c r="W88" i="2"/>
  <c r="Y88" i="2"/>
  <c r="AB88" i="2"/>
  <c r="AG88" i="2"/>
  <c r="AD88" i="2"/>
  <c r="Z88" i="2"/>
  <c r="AF88" i="2"/>
  <c r="AC88" i="2"/>
  <c r="AA88" i="2"/>
  <c r="R100" i="2"/>
  <c r="N100" i="2"/>
  <c r="K100" i="2"/>
  <c r="L100" i="2"/>
  <c r="Q100" i="2"/>
  <c r="T100" i="2"/>
  <c r="P100" i="2"/>
  <c r="J100" i="2"/>
  <c r="I100" i="2"/>
  <c r="O100" i="2"/>
  <c r="S100" i="2"/>
  <c r="M100" i="2"/>
  <c r="I36" i="2"/>
  <c r="S36" i="2"/>
  <c r="AF36" i="2" s="1"/>
  <c r="J36" i="2"/>
  <c r="W36" i="2" s="1"/>
  <c r="O36" i="2"/>
  <c r="AB36" i="2" s="1"/>
  <c r="M36" i="2"/>
  <c r="Z36" i="2" s="1"/>
  <c r="K36" i="2"/>
  <c r="X36" i="2" s="1"/>
  <c r="Q36" i="2"/>
  <c r="AD36" i="2" s="1"/>
  <c r="R36" i="2"/>
  <c r="AE36" i="2" s="1"/>
  <c r="P36" i="2"/>
  <c r="AC36" i="2" s="1"/>
  <c r="N36" i="2"/>
  <c r="AA36" i="2" s="1"/>
  <c r="L36" i="2"/>
  <c r="Y36" i="2" s="1"/>
  <c r="T36" i="2"/>
  <c r="AG36" i="2" s="1"/>
  <c r="I110" i="2"/>
  <c r="T110" i="2"/>
  <c r="AG110" i="2" s="1"/>
  <c r="J110" i="2"/>
  <c r="W110" i="2" s="1"/>
  <c r="S110" i="2"/>
  <c r="AF110" i="2" s="1"/>
  <c r="P110" i="2"/>
  <c r="AC110" i="2" s="1"/>
  <c r="L110" i="2"/>
  <c r="Y110" i="2" s="1"/>
  <c r="R110" i="2"/>
  <c r="AE110" i="2" s="1"/>
  <c r="O110" i="2"/>
  <c r="AB110" i="2" s="1"/>
  <c r="K110" i="2"/>
  <c r="X110" i="2" s="1"/>
  <c r="N110" i="2"/>
  <c r="AA110" i="2" s="1"/>
  <c r="M110" i="2"/>
  <c r="Z110" i="2" s="1"/>
  <c r="Q110" i="2"/>
  <c r="AD110" i="2" s="1"/>
  <c r="R126" i="2"/>
  <c r="AE126" i="2" s="1"/>
  <c r="I126" i="2"/>
  <c r="T126" i="2"/>
  <c r="AG126" i="2" s="1"/>
  <c r="P126" i="2"/>
  <c r="AC126" i="2" s="1"/>
  <c r="L126" i="2"/>
  <c r="Y126" i="2" s="1"/>
  <c r="Q126" i="2"/>
  <c r="AD126" i="2" s="1"/>
  <c r="O126" i="2"/>
  <c r="AB126" i="2" s="1"/>
  <c r="N126" i="2"/>
  <c r="AA126" i="2" s="1"/>
  <c r="M126" i="2"/>
  <c r="Z126" i="2" s="1"/>
  <c r="J126" i="2"/>
  <c r="W126" i="2" s="1"/>
  <c r="S126" i="2"/>
  <c r="AF126" i="2" s="1"/>
  <c r="K126" i="2"/>
  <c r="X126" i="2" s="1"/>
  <c r="I107" i="2"/>
  <c r="O107" i="2"/>
  <c r="AB107" i="2" s="1"/>
  <c r="K107" i="2"/>
  <c r="X107" i="2" s="1"/>
  <c r="P107" i="2"/>
  <c r="AC107" i="2" s="1"/>
  <c r="J107" i="2"/>
  <c r="W107" i="2" s="1"/>
  <c r="M107" i="2"/>
  <c r="Z107" i="2" s="1"/>
  <c r="R107" i="2"/>
  <c r="AE107" i="2" s="1"/>
  <c r="N107" i="2"/>
  <c r="AA107" i="2" s="1"/>
  <c r="S107" i="2"/>
  <c r="AF107" i="2" s="1"/>
  <c r="L107" i="2"/>
  <c r="Y107" i="2" s="1"/>
  <c r="Q107" i="2"/>
  <c r="AD107" i="2" s="1"/>
  <c r="T107" i="2"/>
  <c r="AG107" i="2" s="1"/>
  <c r="Y27" i="2"/>
  <c r="I120" i="2"/>
  <c r="S120" i="2"/>
  <c r="AF120" i="2" s="1"/>
  <c r="O120" i="2"/>
  <c r="AB120" i="2" s="1"/>
  <c r="Q120" i="2"/>
  <c r="AD120" i="2" s="1"/>
  <c r="L120" i="2"/>
  <c r="Y120" i="2" s="1"/>
  <c r="R120" i="2"/>
  <c r="AE120" i="2" s="1"/>
  <c r="M120" i="2"/>
  <c r="Z120" i="2" s="1"/>
  <c r="T120" i="2"/>
  <c r="AG120" i="2" s="1"/>
  <c r="N120" i="2"/>
  <c r="AA120" i="2" s="1"/>
  <c r="P120" i="2"/>
  <c r="AC120" i="2" s="1"/>
  <c r="K120" i="2"/>
  <c r="X120" i="2" s="1"/>
  <c r="J120" i="2"/>
  <c r="W120" i="2" s="1"/>
  <c r="M129" i="2"/>
  <c r="Z129" i="2" s="1"/>
  <c r="J129" i="2"/>
  <c r="W129" i="2" s="1"/>
  <c r="O129" i="2"/>
  <c r="AB129" i="2" s="1"/>
  <c r="I129" i="2"/>
  <c r="R129" i="2"/>
  <c r="AE129" i="2" s="1"/>
  <c r="P129" i="2"/>
  <c r="AC129" i="2" s="1"/>
  <c r="Q129" i="2"/>
  <c r="AD129" i="2" s="1"/>
  <c r="S129" i="2"/>
  <c r="AF129" i="2" s="1"/>
  <c r="L129" i="2"/>
  <c r="Y129" i="2" s="1"/>
  <c r="N129" i="2"/>
  <c r="AA129" i="2" s="1"/>
  <c r="T129" i="2"/>
  <c r="AG129" i="2" s="1"/>
  <c r="K129" i="2"/>
  <c r="X129" i="2" s="1"/>
  <c r="I136" i="2"/>
  <c r="N136" i="2"/>
  <c r="AA136" i="2" s="1"/>
  <c r="R136" i="2"/>
  <c r="AE136" i="2" s="1"/>
  <c r="Q136" i="2"/>
  <c r="AD136" i="2" s="1"/>
  <c r="K136" i="2"/>
  <c r="X136" i="2" s="1"/>
  <c r="L136" i="2"/>
  <c r="Y136" i="2" s="1"/>
  <c r="P136" i="2"/>
  <c r="AC136" i="2" s="1"/>
  <c r="M136" i="2"/>
  <c r="Z136" i="2" s="1"/>
  <c r="S136" i="2"/>
  <c r="AF136" i="2" s="1"/>
  <c r="O136" i="2"/>
  <c r="AB136" i="2" s="1"/>
  <c r="T136" i="2"/>
  <c r="AG136" i="2" s="1"/>
  <c r="J136" i="2"/>
  <c r="W136" i="2" s="1"/>
  <c r="R73" i="2"/>
  <c r="AE73" i="2" s="1"/>
  <c r="Q73" i="2"/>
  <c r="AD73" i="2" s="1"/>
  <c r="K73" i="2"/>
  <c r="X73" i="2" s="1"/>
  <c r="J73" i="2"/>
  <c r="W73" i="2" s="1"/>
  <c r="M73" i="2"/>
  <c r="Z73" i="2" s="1"/>
  <c r="T73" i="2"/>
  <c r="AG73" i="2" s="1"/>
  <c r="N73" i="2"/>
  <c r="AA73" i="2" s="1"/>
  <c r="S73" i="2"/>
  <c r="AF73" i="2" s="1"/>
  <c r="I73" i="2"/>
  <c r="P73" i="2"/>
  <c r="AC73" i="2" s="1"/>
  <c r="O73" i="2"/>
  <c r="AB73" i="2" s="1"/>
  <c r="L73" i="2"/>
  <c r="Y73" i="2" s="1"/>
  <c r="W82" i="2"/>
  <c r="AC82" i="2"/>
  <c r="X82" i="2"/>
  <c r="AD82" i="2"/>
  <c r="Y82" i="2"/>
  <c r="Z82" i="2"/>
  <c r="AE82" i="2"/>
  <c r="AA82" i="2"/>
  <c r="AF82" i="2"/>
  <c r="AB82" i="2"/>
  <c r="AG82" i="2"/>
  <c r="S96" i="2"/>
  <c r="AF96" i="2" s="1"/>
  <c r="Q96" i="2"/>
  <c r="AD96" i="2" s="1"/>
  <c r="P96" i="2"/>
  <c r="AC96" i="2" s="1"/>
  <c r="R96" i="2"/>
  <c r="AE96" i="2" s="1"/>
  <c r="J96" i="2"/>
  <c r="W96" i="2" s="1"/>
  <c r="L96" i="2"/>
  <c r="Y96" i="2" s="1"/>
  <c r="O96" i="2"/>
  <c r="AB96" i="2" s="1"/>
  <c r="T96" i="2"/>
  <c r="AG96" i="2" s="1"/>
  <c r="K96" i="2"/>
  <c r="X96" i="2" s="1"/>
  <c r="M96" i="2"/>
  <c r="Z96" i="2" s="1"/>
  <c r="N96" i="2"/>
  <c r="AA96" i="2" s="1"/>
  <c r="I96" i="2"/>
  <c r="K135" i="2"/>
  <c r="X135" i="2" s="1"/>
  <c r="Q135" i="2"/>
  <c r="AD135" i="2" s="1"/>
  <c r="P135" i="2"/>
  <c r="AC135" i="2" s="1"/>
  <c r="R135" i="2"/>
  <c r="AE135" i="2" s="1"/>
  <c r="I135" i="2"/>
  <c r="N135" i="2"/>
  <c r="AA135" i="2" s="1"/>
  <c r="M135" i="2"/>
  <c r="Z135" i="2" s="1"/>
  <c r="O135" i="2"/>
  <c r="AB135" i="2" s="1"/>
  <c r="J135" i="2"/>
  <c r="W135" i="2" s="1"/>
  <c r="L135" i="2"/>
  <c r="Y135" i="2" s="1"/>
  <c r="S135" i="2"/>
  <c r="AF135" i="2" s="1"/>
  <c r="T135" i="2"/>
  <c r="AG135" i="2" s="1"/>
  <c r="Z131" i="2"/>
  <c r="AG131" i="2"/>
  <c r="AB131" i="2"/>
  <c r="I125" i="2"/>
  <c r="P125" i="2"/>
  <c r="AC125" i="2" s="1"/>
  <c r="Q125" i="2"/>
  <c r="AD125" i="2" s="1"/>
  <c r="S125" i="2"/>
  <c r="AF125" i="2" s="1"/>
  <c r="M125" i="2"/>
  <c r="Z125" i="2" s="1"/>
  <c r="K125" i="2"/>
  <c r="X125" i="2" s="1"/>
  <c r="J125" i="2"/>
  <c r="W125" i="2" s="1"/>
  <c r="L125" i="2"/>
  <c r="Y125" i="2" s="1"/>
  <c r="O125" i="2"/>
  <c r="AB125" i="2" s="1"/>
  <c r="T125" i="2"/>
  <c r="AG125" i="2" s="1"/>
  <c r="R125" i="2"/>
  <c r="AE125" i="2" s="1"/>
  <c r="N125" i="2"/>
  <c r="AA125" i="2" s="1"/>
  <c r="AD28" i="2"/>
  <c r="AF28" i="2"/>
  <c r="AE28" i="2"/>
  <c r="Y28" i="2"/>
  <c r="W28" i="2"/>
  <c r="AG28" i="2"/>
  <c r="Z28" i="2"/>
  <c r="AB28" i="2"/>
  <c r="AC28" i="2"/>
  <c r="AA28" i="2"/>
  <c r="X28" i="2"/>
  <c r="I93" i="2"/>
  <c r="P93" i="2"/>
  <c r="AC93" i="2" s="1"/>
  <c r="N93" i="2"/>
  <c r="AA93" i="2" s="1"/>
  <c r="Q93" i="2"/>
  <c r="AD93" i="2" s="1"/>
  <c r="J93" i="2"/>
  <c r="W93" i="2" s="1"/>
  <c r="O93" i="2"/>
  <c r="AB93" i="2" s="1"/>
  <c r="M93" i="2"/>
  <c r="Z93" i="2" s="1"/>
  <c r="K93" i="2"/>
  <c r="X93" i="2" s="1"/>
  <c r="T93" i="2"/>
  <c r="AG93" i="2" s="1"/>
  <c r="L93" i="2"/>
  <c r="Y93" i="2" s="1"/>
  <c r="R93" i="2"/>
  <c r="AE93" i="2" s="1"/>
  <c r="S93" i="2"/>
  <c r="AF93" i="2" s="1"/>
  <c r="AG30" i="2"/>
  <c r="AA30" i="2"/>
  <c r="Z30" i="2"/>
  <c r="AC30" i="2"/>
  <c r="AD30" i="2"/>
  <c r="AE30" i="2"/>
  <c r="AF30" i="2"/>
  <c r="X30" i="2"/>
  <c r="Y30" i="2"/>
  <c r="W30" i="2"/>
  <c r="AB30" i="2"/>
  <c r="Y78" i="2"/>
  <c r="AF78" i="2"/>
  <c r="AC78" i="2"/>
  <c r="X78" i="2"/>
  <c r="AG78" i="2"/>
  <c r="Z78" i="2"/>
  <c r="AE78" i="2"/>
  <c r="AA78" i="2"/>
  <c r="W78" i="2"/>
  <c r="AB78" i="2"/>
  <c r="AD78" i="2"/>
  <c r="M92" i="2"/>
  <c r="Z92" i="2" s="1"/>
  <c r="J92" i="2"/>
  <c r="W92" i="2" s="1"/>
  <c r="K92" i="2"/>
  <c r="X92" i="2" s="1"/>
  <c r="S92" i="2"/>
  <c r="AF92" i="2" s="1"/>
  <c r="P92" i="2"/>
  <c r="AC92" i="2" s="1"/>
  <c r="O92" i="2"/>
  <c r="AB92" i="2" s="1"/>
  <c r="R92" i="2"/>
  <c r="AE92" i="2" s="1"/>
  <c r="Q92" i="2"/>
  <c r="AD92" i="2" s="1"/>
  <c r="N92" i="2"/>
  <c r="AA92" i="2" s="1"/>
  <c r="L92" i="2"/>
  <c r="Y92" i="2" s="1"/>
  <c r="T92" i="2"/>
  <c r="AG92" i="2" s="1"/>
  <c r="I94" i="2"/>
  <c r="J94" i="2"/>
  <c r="W94" i="2" s="1"/>
  <c r="T94" i="2"/>
  <c r="AG94" i="2" s="1"/>
  <c r="P94" i="2"/>
  <c r="AC94" i="2" s="1"/>
  <c r="Q94" i="2"/>
  <c r="AD94" i="2" s="1"/>
  <c r="S94" i="2"/>
  <c r="AF94" i="2" s="1"/>
  <c r="O94" i="2"/>
  <c r="AB94" i="2" s="1"/>
  <c r="M94" i="2"/>
  <c r="Z94" i="2" s="1"/>
  <c r="L94" i="2"/>
  <c r="Y94" i="2" s="1"/>
  <c r="K94" i="2"/>
  <c r="X94" i="2" s="1"/>
  <c r="R94" i="2"/>
  <c r="AE94" i="2" s="1"/>
  <c r="N94" i="2"/>
  <c r="AA94" i="2" s="1"/>
  <c r="I119" i="2"/>
  <c r="K119" i="2"/>
  <c r="X119" i="2" s="1"/>
  <c r="O119" i="2"/>
  <c r="AB119" i="2" s="1"/>
  <c r="N119" i="2"/>
  <c r="AA119" i="2" s="1"/>
  <c r="R119" i="2"/>
  <c r="AE119" i="2" s="1"/>
  <c r="J119" i="2"/>
  <c r="W119" i="2" s="1"/>
  <c r="T119" i="2"/>
  <c r="AG119" i="2" s="1"/>
  <c r="S119" i="2"/>
  <c r="AF119" i="2" s="1"/>
  <c r="P119" i="2"/>
  <c r="AC119" i="2" s="1"/>
  <c r="M119" i="2"/>
  <c r="Z119" i="2" s="1"/>
  <c r="Q119" i="2"/>
  <c r="AD119" i="2" s="1"/>
  <c r="L119" i="2"/>
  <c r="Y119" i="2" s="1"/>
  <c r="AC29" i="2"/>
  <c r="Z29" i="2"/>
  <c r="AG29" i="2"/>
  <c r="AD29" i="2"/>
  <c r="AB29" i="2"/>
  <c r="Y29" i="2"/>
  <c r="W29" i="2"/>
  <c r="AE29" i="2"/>
  <c r="X29" i="2"/>
  <c r="AF29" i="2"/>
  <c r="AA29" i="2"/>
  <c r="I124" i="2"/>
  <c r="N124" i="2"/>
  <c r="AA124" i="2" s="1"/>
  <c r="R124" i="2"/>
  <c r="AE124" i="2" s="1"/>
  <c r="J124" i="2"/>
  <c r="W124" i="2" s="1"/>
  <c r="O124" i="2"/>
  <c r="AB124" i="2" s="1"/>
  <c r="Q124" i="2"/>
  <c r="AD124" i="2" s="1"/>
  <c r="S124" i="2"/>
  <c r="AF124" i="2" s="1"/>
  <c r="P124" i="2"/>
  <c r="AC124" i="2" s="1"/>
  <c r="L124" i="2"/>
  <c r="Y124" i="2" s="1"/>
  <c r="M124" i="2"/>
  <c r="Z124" i="2" s="1"/>
  <c r="K124" i="2"/>
  <c r="X124" i="2" s="1"/>
  <c r="T124" i="2"/>
  <c r="AG124" i="2" s="1"/>
  <c r="AD83" i="2"/>
  <c r="AA83" i="2"/>
  <c r="AB83" i="2"/>
  <c r="AF83" i="2"/>
  <c r="AE83" i="2"/>
  <c r="AC83" i="2"/>
  <c r="Y83" i="2"/>
  <c r="X83" i="2"/>
  <c r="W83" i="2"/>
  <c r="Z83" i="2"/>
  <c r="AG83" i="2"/>
  <c r="I140" i="2"/>
  <c r="P140" i="2"/>
  <c r="AC140" i="2" s="1"/>
  <c r="N140" i="2"/>
  <c r="AA140" i="2" s="1"/>
  <c r="R140" i="2"/>
  <c r="AE140" i="2" s="1"/>
  <c r="S140" i="2"/>
  <c r="AF140" i="2" s="1"/>
  <c r="M140" i="2"/>
  <c r="Z140" i="2" s="1"/>
  <c r="T140" i="2"/>
  <c r="AG140" i="2" s="1"/>
  <c r="O140" i="2"/>
  <c r="AB140" i="2" s="1"/>
  <c r="J140" i="2"/>
  <c r="W140" i="2" s="1"/>
  <c r="K140" i="2"/>
  <c r="X140" i="2" s="1"/>
  <c r="Q140" i="2"/>
  <c r="AD140" i="2" s="1"/>
  <c r="L140" i="2"/>
  <c r="Y140" i="2" s="1"/>
  <c r="Z109" i="2"/>
  <c r="X109" i="2"/>
  <c r="AD109" i="2"/>
  <c r="AG109" i="2"/>
  <c r="AE109" i="2"/>
  <c r="AB109" i="2"/>
  <c r="W109" i="2"/>
  <c r="AF109" i="2"/>
  <c r="AA109" i="2"/>
  <c r="Y109" i="2"/>
  <c r="AC109" i="2"/>
  <c r="S123" i="2"/>
  <c r="J123" i="2"/>
  <c r="L123" i="2"/>
  <c r="R123" i="2"/>
  <c r="M123" i="2"/>
  <c r="Q123" i="2"/>
  <c r="N123" i="2"/>
  <c r="P123" i="2"/>
  <c r="O123" i="2"/>
  <c r="T123" i="2"/>
  <c r="I123" i="2"/>
  <c r="K123" i="2"/>
  <c r="I127" i="2"/>
  <c r="J127" i="2"/>
  <c r="W127" i="2" s="1"/>
  <c r="R127" i="2"/>
  <c r="AE127" i="2" s="1"/>
  <c r="L127" i="2"/>
  <c r="Y127" i="2" s="1"/>
  <c r="S127" i="2"/>
  <c r="AF127" i="2" s="1"/>
  <c r="O127" i="2"/>
  <c r="AB127" i="2" s="1"/>
  <c r="K127" i="2"/>
  <c r="X127" i="2" s="1"/>
  <c r="P127" i="2"/>
  <c r="AC127" i="2" s="1"/>
  <c r="N127" i="2"/>
  <c r="AA127" i="2" s="1"/>
  <c r="T127" i="2"/>
  <c r="AG127" i="2" s="1"/>
  <c r="Q127" i="2"/>
  <c r="AD127" i="2" s="1"/>
  <c r="M127" i="2"/>
  <c r="Z127" i="2" s="1"/>
  <c r="R104" i="2"/>
  <c r="AE104" i="2" s="1"/>
  <c r="T104" i="2"/>
  <c r="AG104" i="2" s="1"/>
  <c r="J104" i="2"/>
  <c r="W104" i="2" s="1"/>
  <c r="M104" i="2"/>
  <c r="Z104" i="2" s="1"/>
  <c r="I104" i="2"/>
  <c r="P104" i="2"/>
  <c r="AC104" i="2" s="1"/>
  <c r="N104" i="2"/>
  <c r="AA104" i="2" s="1"/>
  <c r="S104" i="2"/>
  <c r="AF104" i="2" s="1"/>
  <c r="K104" i="2"/>
  <c r="X104" i="2" s="1"/>
  <c r="O104" i="2"/>
  <c r="AB104" i="2" s="1"/>
  <c r="L104" i="2"/>
  <c r="Y104" i="2" s="1"/>
  <c r="Q104" i="2"/>
  <c r="AD104" i="2" s="1"/>
  <c r="P103" i="2"/>
  <c r="AC103" i="2" s="1"/>
  <c r="N103" i="2"/>
  <c r="AA103" i="2" s="1"/>
  <c r="K103" i="2"/>
  <c r="X103" i="2" s="1"/>
  <c r="J103" i="2"/>
  <c r="W103" i="2" s="1"/>
  <c r="S103" i="2"/>
  <c r="AF103" i="2" s="1"/>
  <c r="R103" i="2"/>
  <c r="AE103" i="2" s="1"/>
  <c r="O103" i="2"/>
  <c r="AB103" i="2" s="1"/>
  <c r="M103" i="2"/>
  <c r="Z103" i="2" s="1"/>
  <c r="Q103" i="2"/>
  <c r="AD103" i="2" s="1"/>
  <c r="L103" i="2"/>
  <c r="Y103" i="2" s="1"/>
  <c r="I103" i="2"/>
  <c r="T103" i="2"/>
  <c r="AG103" i="2" s="1"/>
  <c r="T118" i="2"/>
  <c r="P118" i="2"/>
  <c r="R118" i="2"/>
  <c r="N118" i="2"/>
  <c r="K118" i="2"/>
  <c r="J118" i="2"/>
  <c r="I118" i="2"/>
  <c r="M118" i="2"/>
  <c r="O118" i="2"/>
  <c r="Q118" i="2"/>
  <c r="L118" i="2"/>
  <c r="S118" i="2"/>
  <c r="AD144" i="2"/>
  <c r="AC144" i="2"/>
  <c r="AG144" i="2"/>
  <c r="Y144" i="2"/>
  <c r="AA144" i="2"/>
  <c r="X144" i="2"/>
  <c r="AE144" i="2"/>
  <c r="AF144" i="2"/>
  <c r="W144" i="2"/>
  <c r="AB144" i="2"/>
  <c r="Z144" i="2"/>
  <c r="I139" i="2"/>
  <c r="T139" i="2"/>
  <c r="AG139" i="2" s="1"/>
  <c r="R139" i="2"/>
  <c r="AE139" i="2" s="1"/>
  <c r="M139" i="2"/>
  <c r="Z139" i="2" s="1"/>
  <c r="S139" i="2"/>
  <c r="AF139" i="2" s="1"/>
  <c r="Q139" i="2"/>
  <c r="AD139" i="2" s="1"/>
  <c r="K139" i="2"/>
  <c r="X139" i="2" s="1"/>
  <c r="L139" i="2"/>
  <c r="Y139" i="2" s="1"/>
  <c r="N139" i="2"/>
  <c r="AA139" i="2" s="1"/>
  <c r="J139" i="2"/>
  <c r="W139" i="2" s="1"/>
  <c r="P139" i="2"/>
  <c r="AC139" i="2" s="1"/>
  <c r="O139" i="2"/>
  <c r="AB139" i="2" s="1"/>
  <c r="X33" i="2"/>
  <c r="I101" i="2"/>
  <c r="J101" i="2"/>
  <c r="W101" i="2" s="1"/>
  <c r="N101" i="2"/>
  <c r="AA101" i="2" s="1"/>
  <c r="S101" i="2"/>
  <c r="AF101" i="2" s="1"/>
  <c r="K101" i="2"/>
  <c r="X101" i="2" s="1"/>
  <c r="R101" i="2"/>
  <c r="AE101" i="2" s="1"/>
  <c r="M101" i="2"/>
  <c r="Z101" i="2" s="1"/>
  <c r="P101" i="2"/>
  <c r="AC101" i="2" s="1"/>
  <c r="L101" i="2"/>
  <c r="Y101" i="2" s="1"/>
  <c r="T101" i="2"/>
  <c r="AG101" i="2" s="1"/>
  <c r="Q101" i="2"/>
  <c r="AD101" i="2" s="1"/>
  <c r="O101" i="2"/>
  <c r="AB101" i="2" s="1"/>
  <c r="I71" i="2"/>
  <c r="Q71" i="2"/>
  <c r="AD71" i="2" s="1"/>
  <c r="L71" i="2"/>
  <c r="Y71" i="2" s="1"/>
  <c r="J71" i="2"/>
  <c r="W71" i="2" s="1"/>
  <c r="M71" i="2"/>
  <c r="Z71" i="2" s="1"/>
  <c r="O71" i="2"/>
  <c r="AB71" i="2" s="1"/>
  <c r="K71" i="2"/>
  <c r="X71" i="2" s="1"/>
  <c r="T71" i="2"/>
  <c r="AG71" i="2" s="1"/>
  <c r="S71" i="2"/>
  <c r="AF71" i="2" s="1"/>
  <c r="N71" i="2"/>
  <c r="AA71" i="2" s="1"/>
  <c r="P71" i="2"/>
  <c r="AC71" i="2" s="1"/>
  <c r="R71" i="2"/>
  <c r="AE71" i="2" s="1"/>
  <c r="T102" i="2"/>
  <c r="AG102" i="2" s="1"/>
  <c r="L102" i="2"/>
  <c r="Y102" i="2" s="1"/>
  <c r="I102" i="2"/>
  <c r="O102" i="2"/>
  <c r="AB102" i="2" s="1"/>
  <c r="S102" i="2"/>
  <c r="AF102" i="2" s="1"/>
  <c r="N102" i="2"/>
  <c r="AA102" i="2" s="1"/>
  <c r="M102" i="2"/>
  <c r="Z102" i="2" s="1"/>
  <c r="Q102" i="2"/>
  <c r="AD102" i="2" s="1"/>
  <c r="J102" i="2"/>
  <c r="W102" i="2" s="1"/>
  <c r="K102" i="2"/>
  <c r="X102" i="2" s="1"/>
  <c r="P102" i="2"/>
  <c r="AC102" i="2" s="1"/>
  <c r="R102" i="2"/>
  <c r="AE102" i="2" s="1"/>
  <c r="Y145" i="2"/>
  <c r="AD145" i="2"/>
  <c r="AE145" i="2"/>
  <c r="AA145" i="2"/>
  <c r="AC145" i="2"/>
  <c r="Z145" i="2"/>
  <c r="W145" i="2"/>
  <c r="X145" i="2"/>
  <c r="AG145" i="2"/>
  <c r="AF145" i="2"/>
  <c r="AB145" i="2"/>
  <c r="I95" i="2"/>
  <c r="N95" i="2"/>
  <c r="AA95" i="2" s="1"/>
  <c r="K95" i="2"/>
  <c r="X95" i="2" s="1"/>
  <c r="S95" i="2"/>
  <c r="AF95" i="2" s="1"/>
  <c r="R95" i="2"/>
  <c r="AE95" i="2" s="1"/>
  <c r="T95" i="2"/>
  <c r="AG95" i="2" s="1"/>
  <c r="Q95" i="2"/>
  <c r="AD95" i="2" s="1"/>
  <c r="P95" i="2"/>
  <c r="AC95" i="2" s="1"/>
  <c r="J95" i="2"/>
  <c r="W95" i="2" s="1"/>
  <c r="O95" i="2"/>
  <c r="AB95" i="2" s="1"/>
  <c r="M95" i="2"/>
  <c r="Z95" i="2" s="1"/>
  <c r="L95" i="2"/>
  <c r="Y95" i="2" s="1"/>
  <c r="I130" i="2"/>
  <c r="R130" i="2"/>
  <c r="AE130" i="2" s="1"/>
  <c r="Q130" i="2"/>
  <c r="AD130" i="2" s="1"/>
  <c r="N130" i="2"/>
  <c r="AA130" i="2" s="1"/>
  <c r="S130" i="2"/>
  <c r="AF130" i="2" s="1"/>
  <c r="O130" i="2"/>
  <c r="AB130" i="2" s="1"/>
  <c r="L130" i="2"/>
  <c r="Y130" i="2" s="1"/>
  <c r="J130" i="2"/>
  <c r="W130" i="2" s="1"/>
  <c r="K130" i="2"/>
  <c r="X130" i="2" s="1"/>
  <c r="P130" i="2"/>
  <c r="AC130" i="2" s="1"/>
  <c r="M130" i="2"/>
  <c r="Z130" i="2" s="1"/>
  <c r="T130" i="2"/>
  <c r="AG130" i="2" s="1"/>
  <c r="I97" i="2"/>
  <c r="P97" i="2"/>
  <c r="AC97" i="2" s="1"/>
  <c r="J97" i="2"/>
  <c r="W97" i="2" s="1"/>
  <c r="T97" i="2"/>
  <c r="AG97" i="2" s="1"/>
  <c r="O97" i="2"/>
  <c r="AB97" i="2" s="1"/>
  <c r="S97" i="2"/>
  <c r="AF97" i="2" s="1"/>
  <c r="R97" i="2"/>
  <c r="AE97" i="2" s="1"/>
  <c r="L97" i="2"/>
  <c r="Y97" i="2" s="1"/>
  <c r="K97" i="2"/>
  <c r="X97" i="2" s="1"/>
  <c r="Q97" i="2"/>
  <c r="AD97" i="2" s="1"/>
  <c r="N97" i="2"/>
  <c r="AA97" i="2" s="1"/>
  <c r="M97" i="2"/>
  <c r="Z97" i="2" s="1"/>
  <c r="U113" i="2" l="1"/>
  <c r="I116" i="2"/>
  <c r="V116" i="2" s="1"/>
  <c r="V113" i="2"/>
  <c r="AA113" i="2"/>
  <c r="N116" i="2"/>
  <c r="AA116" i="2" s="1"/>
  <c r="Y113" i="2"/>
  <c r="L116" i="2"/>
  <c r="Y116" i="2" s="1"/>
  <c r="U115" i="2"/>
  <c r="V115" i="2"/>
  <c r="U114" i="2"/>
  <c r="V114" i="2"/>
  <c r="S116" i="2"/>
  <c r="AF116" i="2" s="1"/>
  <c r="AF113" i="2"/>
  <c r="T116" i="2"/>
  <c r="AG116" i="2" s="1"/>
  <c r="AG113" i="2"/>
  <c r="X113" i="2"/>
  <c r="K116" i="2"/>
  <c r="X116" i="2" s="1"/>
  <c r="AC113" i="2"/>
  <c r="P116" i="2"/>
  <c r="AC116" i="2" s="1"/>
  <c r="AE113" i="2"/>
  <c r="R116" i="2"/>
  <c r="AE116" i="2" s="1"/>
  <c r="W113" i="2"/>
  <c r="J116" i="2"/>
  <c r="W116" i="2" s="1"/>
  <c r="Z113" i="2"/>
  <c r="M116" i="2"/>
  <c r="Z116" i="2" s="1"/>
  <c r="AB113" i="2"/>
  <c r="O116" i="2"/>
  <c r="AB116" i="2" s="1"/>
  <c r="AD113" i="2"/>
  <c r="Q116" i="2"/>
  <c r="AD116" i="2" s="1"/>
  <c r="AE171" i="2"/>
  <c r="R173" i="2"/>
  <c r="AE173" i="2" s="1"/>
  <c r="AC171" i="2"/>
  <c r="P173" i="2"/>
  <c r="AC173" i="2" s="1"/>
  <c r="AB171" i="2"/>
  <c r="O173" i="2"/>
  <c r="AB173" i="2" s="1"/>
  <c r="Y171" i="2"/>
  <c r="L173" i="2"/>
  <c r="Y173" i="2" s="1"/>
  <c r="AA171" i="2"/>
  <c r="N173" i="2"/>
  <c r="AA173" i="2" s="1"/>
  <c r="AD171" i="2"/>
  <c r="Q173" i="2"/>
  <c r="AD173" i="2" s="1"/>
  <c r="S173" i="2"/>
  <c r="AF173" i="2" s="1"/>
  <c r="AF171" i="2"/>
  <c r="W171" i="2"/>
  <c r="J173" i="2"/>
  <c r="W173" i="2" s="1"/>
  <c r="Z171" i="2"/>
  <c r="M173" i="2"/>
  <c r="Z173" i="2" s="1"/>
  <c r="U172" i="2"/>
  <c r="V172" i="2"/>
  <c r="X171" i="2"/>
  <c r="K173" i="2"/>
  <c r="X173" i="2" s="1"/>
  <c r="V173" i="2"/>
  <c r="U171" i="2"/>
  <c r="V171" i="2"/>
  <c r="T173" i="2"/>
  <c r="AG173" i="2" s="1"/>
  <c r="AG171" i="2"/>
  <c r="W67" i="2"/>
  <c r="J68" i="2"/>
  <c r="W68" i="2" s="1"/>
  <c r="AB67" i="2"/>
  <c r="O68" i="2"/>
  <c r="AB68" i="2" s="1"/>
  <c r="AE67" i="2"/>
  <c r="R68" i="2"/>
  <c r="AE68" i="2" s="1"/>
  <c r="AD67" i="2"/>
  <c r="Q68" i="2"/>
  <c r="AD68" i="2" s="1"/>
  <c r="X67" i="2"/>
  <c r="K68" i="2"/>
  <c r="X68" i="2" s="1"/>
  <c r="AC67" i="2"/>
  <c r="P68" i="2"/>
  <c r="AC68" i="2" s="1"/>
  <c r="AF67" i="2"/>
  <c r="S68" i="2"/>
  <c r="AF68" i="2" s="1"/>
  <c r="I68" i="2"/>
  <c r="V68" i="2" s="1"/>
  <c r="U67" i="2"/>
  <c r="V67" i="2"/>
  <c r="Y67" i="2"/>
  <c r="L68" i="2"/>
  <c r="Y68" i="2" s="1"/>
  <c r="T68" i="2"/>
  <c r="AG68" i="2" s="1"/>
  <c r="AG67" i="2"/>
  <c r="Z67" i="2"/>
  <c r="M68" i="2"/>
  <c r="Z68" i="2" s="1"/>
  <c r="AA67" i="2"/>
  <c r="N68" i="2"/>
  <c r="AA68" i="2" s="1"/>
  <c r="U37" i="2"/>
  <c r="V37" i="2"/>
  <c r="U34" i="2"/>
  <c r="AJ34" i="2" s="1"/>
  <c r="N121" i="2"/>
  <c r="AA121" i="2" s="1"/>
  <c r="AA118" i="2"/>
  <c r="Z86" i="2"/>
  <c r="M89" i="2"/>
  <c r="Z89" i="2" s="1"/>
  <c r="U76" i="2"/>
  <c r="AJ76" i="2" s="1"/>
  <c r="I79" i="2"/>
  <c r="V79" i="2" s="1"/>
  <c r="V76" i="2"/>
  <c r="Z26" i="2"/>
  <c r="M38" i="2"/>
  <c r="X70" i="2"/>
  <c r="K74" i="2"/>
  <c r="AA40" i="2"/>
  <c r="N41" i="2"/>
  <c r="AA41" i="2" s="1"/>
  <c r="Q41" i="2"/>
  <c r="AD41" i="2" s="1"/>
  <c r="AD40" i="2"/>
  <c r="U102" i="2"/>
  <c r="AJ102" i="2" s="1"/>
  <c r="V102" i="2"/>
  <c r="L121" i="2"/>
  <c r="Y121" i="2" s="1"/>
  <c r="Y118" i="2"/>
  <c r="R121" i="2"/>
  <c r="AE121" i="2" s="1"/>
  <c r="AE118" i="2"/>
  <c r="AA86" i="2"/>
  <c r="N89" i="2"/>
  <c r="AA89" i="2" s="1"/>
  <c r="AF86" i="2"/>
  <c r="S89" i="2"/>
  <c r="AF89" i="2" s="1"/>
  <c r="AA123" i="2"/>
  <c r="N132" i="2"/>
  <c r="AA132" i="2" s="1"/>
  <c r="O146" i="2"/>
  <c r="AB146" i="2" s="1"/>
  <c r="AB143" i="2"/>
  <c r="J146" i="2"/>
  <c r="W146" i="2" s="1"/>
  <c r="W143" i="2"/>
  <c r="M84" i="2"/>
  <c r="Z84" i="2" s="1"/>
  <c r="Z81" i="2"/>
  <c r="O84" i="2"/>
  <c r="AB84" i="2" s="1"/>
  <c r="AB81" i="2"/>
  <c r="AG76" i="2"/>
  <c r="T79" i="2"/>
  <c r="AG79" i="2" s="1"/>
  <c r="J79" i="2"/>
  <c r="W79" i="2" s="1"/>
  <c r="W76" i="2"/>
  <c r="P111" i="2"/>
  <c r="AC111" i="2" s="1"/>
  <c r="AC100" i="2"/>
  <c r="U26" i="2"/>
  <c r="AJ26" i="2" s="1"/>
  <c r="I38" i="2"/>
  <c r="V26" i="2"/>
  <c r="P38" i="2"/>
  <c r="AC26" i="2"/>
  <c r="U70" i="2"/>
  <c r="AJ70" i="2" s="1"/>
  <c r="I74" i="2"/>
  <c r="V70" i="2"/>
  <c r="M74" i="2"/>
  <c r="Z70" i="2"/>
  <c r="V134" i="2"/>
  <c r="I141" i="2"/>
  <c r="V141" i="2" s="1"/>
  <c r="U134" i="2"/>
  <c r="AJ134" i="2" s="1"/>
  <c r="P141" i="2"/>
  <c r="AC141" i="2" s="1"/>
  <c r="AC134" i="2"/>
  <c r="K98" i="2"/>
  <c r="X98" i="2" s="1"/>
  <c r="X91" i="2"/>
  <c r="Q98" i="2"/>
  <c r="AD98" i="2" s="1"/>
  <c r="AD91" i="2"/>
  <c r="R41" i="2"/>
  <c r="AE41" i="2" s="1"/>
  <c r="AE40" i="2"/>
  <c r="N38" i="2"/>
  <c r="AA26" i="2"/>
  <c r="O74" i="2"/>
  <c r="AB70" i="2"/>
  <c r="Q121" i="2"/>
  <c r="AD121" i="2" s="1"/>
  <c r="AD118" i="2"/>
  <c r="P121" i="2"/>
  <c r="AC121" i="2" s="1"/>
  <c r="AC118" i="2"/>
  <c r="U86" i="2"/>
  <c r="AJ86" i="2" s="1"/>
  <c r="I89" i="2"/>
  <c r="V89" i="2" s="1"/>
  <c r="V86" i="2"/>
  <c r="O89" i="2"/>
  <c r="AB89" i="2" s="1"/>
  <c r="AB86" i="2"/>
  <c r="AD123" i="2"/>
  <c r="Q132" i="2"/>
  <c r="AD132" i="2" s="1"/>
  <c r="S146" i="2"/>
  <c r="AF146" i="2" s="1"/>
  <c r="AF143" i="2"/>
  <c r="R146" i="2"/>
  <c r="AE146" i="2" s="1"/>
  <c r="AE143" i="2"/>
  <c r="U92" i="2"/>
  <c r="AJ92" i="2" s="1"/>
  <c r="V92" i="2"/>
  <c r="AC81" i="2"/>
  <c r="P84" i="2"/>
  <c r="AC84" i="2" s="1"/>
  <c r="R84" i="2"/>
  <c r="AE84" i="2" s="1"/>
  <c r="AE81" i="2"/>
  <c r="V30" i="2"/>
  <c r="U30" i="2"/>
  <c r="AJ30" i="2" s="1"/>
  <c r="R79" i="2"/>
  <c r="AE79" i="2" s="1"/>
  <c r="AE76" i="2"/>
  <c r="P79" i="2"/>
  <c r="AC79" i="2" s="1"/>
  <c r="AC76" i="2"/>
  <c r="U126" i="2"/>
  <c r="AJ126" i="2" s="1"/>
  <c r="V126" i="2"/>
  <c r="T111" i="2"/>
  <c r="AG111" i="2" s="1"/>
  <c r="AG100" i="2"/>
  <c r="X26" i="2"/>
  <c r="K38" i="2"/>
  <c r="T38" i="2"/>
  <c r="AG26" i="2"/>
  <c r="V87" i="2"/>
  <c r="U87" i="2"/>
  <c r="AJ87" i="2" s="1"/>
  <c r="P74" i="2"/>
  <c r="AC70" i="2"/>
  <c r="AE70" i="2"/>
  <c r="R74" i="2"/>
  <c r="N141" i="2"/>
  <c r="AA141" i="2" s="1"/>
  <c r="AA134" i="2"/>
  <c r="T141" i="2"/>
  <c r="AG141" i="2" s="1"/>
  <c r="AG134" i="2"/>
  <c r="U91" i="2"/>
  <c r="AJ91" i="2" s="1"/>
  <c r="I98" i="2"/>
  <c r="V98" i="2" s="1"/>
  <c r="V91" i="2"/>
  <c r="P98" i="2"/>
  <c r="AC98" i="2" s="1"/>
  <c r="AC91" i="2"/>
  <c r="AF118" i="2"/>
  <c r="S121" i="2"/>
  <c r="AF121" i="2" s="1"/>
  <c r="W100" i="2"/>
  <c r="J111" i="2"/>
  <c r="W111" i="2" s="1"/>
  <c r="AE91" i="2"/>
  <c r="R98" i="2"/>
  <c r="AE98" i="2" s="1"/>
  <c r="U95" i="2"/>
  <c r="AJ95" i="2" s="1"/>
  <c r="V95" i="2"/>
  <c r="U139" i="2"/>
  <c r="AJ139" i="2" s="1"/>
  <c r="V139" i="2"/>
  <c r="O121" i="2"/>
  <c r="AB121" i="2" s="1"/>
  <c r="AB118" i="2"/>
  <c r="T121" i="2"/>
  <c r="AG121" i="2" s="1"/>
  <c r="AG118" i="2"/>
  <c r="P89" i="2"/>
  <c r="AC89" i="2" s="1"/>
  <c r="AC86" i="2"/>
  <c r="T89" i="2"/>
  <c r="AG89" i="2" s="1"/>
  <c r="AG86" i="2"/>
  <c r="Z123" i="2"/>
  <c r="M132" i="2"/>
  <c r="Z132" i="2" s="1"/>
  <c r="U109" i="2"/>
  <c r="AJ109" i="2" s="1"/>
  <c r="V109" i="2"/>
  <c r="U83" i="2"/>
  <c r="AJ83" i="2" s="1"/>
  <c r="V83" i="2"/>
  <c r="U29" i="2"/>
  <c r="AJ29" i="2" s="1"/>
  <c r="V29" i="2"/>
  <c r="P146" i="2"/>
  <c r="AC146" i="2" s="1"/>
  <c r="AC143" i="2"/>
  <c r="L146" i="2"/>
  <c r="Y146" i="2" s="1"/>
  <c r="Y143" i="2"/>
  <c r="Q84" i="2"/>
  <c r="AD84" i="2" s="1"/>
  <c r="AD81" i="2"/>
  <c r="S84" i="2"/>
  <c r="AF84" i="2" s="1"/>
  <c r="AF81" i="2"/>
  <c r="U93" i="2"/>
  <c r="AJ93" i="2" s="1"/>
  <c r="V93" i="2"/>
  <c r="U125" i="2"/>
  <c r="AJ125" i="2" s="1"/>
  <c r="V125" i="2"/>
  <c r="U82" i="2"/>
  <c r="AJ82" i="2" s="1"/>
  <c r="V82" i="2"/>
  <c r="M79" i="2"/>
  <c r="Z79" i="2" s="1"/>
  <c r="Z76" i="2"/>
  <c r="Q79" i="2"/>
  <c r="AD79" i="2" s="1"/>
  <c r="AD76" i="2"/>
  <c r="U27" i="2"/>
  <c r="AJ27" i="2" s="1"/>
  <c r="V27" i="2"/>
  <c r="U36" i="2"/>
  <c r="AJ36" i="2" s="1"/>
  <c r="V36" i="2"/>
  <c r="Q111" i="2"/>
  <c r="AD111" i="2" s="1"/>
  <c r="AD100" i="2"/>
  <c r="AB26" i="2"/>
  <c r="O38" i="2"/>
  <c r="J38" i="2"/>
  <c r="W26" i="2"/>
  <c r="U128" i="2"/>
  <c r="AJ128" i="2" s="1"/>
  <c r="V128" i="2"/>
  <c r="W70" i="2"/>
  <c r="J74" i="2"/>
  <c r="T74" i="2"/>
  <c r="AG70" i="2"/>
  <c r="U138" i="2"/>
  <c r="AJ138" i="2" s="1"/>
  <c r="V138" i="2"/>
  <c r="V137" i="2"/>
  <c r="U137" i="2"/>
  <c r="AJ137" i="2" s="1"/>
  <c r="L141" i="2"/>
  <c r="Y141" i="2" s="1"/>
  <c r="Y134" i="2"/>
  <c r="R141" i="2"/>
  <c r="AE141" i="2" s="1"/>
  <c r="AE134" i="2"/>
  <c r="U105" i="2"/>
  <c r="AJ105" i="2" s="1"/>
  <c r="V105" i="2"/>
  <c r="M98" i="2"/>
  <c r="Z98" i="2" s="1"/>
  <c r="Z91" i="2"/>
  <c r="N98" i="2"/>
  <c r="AA98" i="2" s="1"/>
  <c r="AA91" i="2"/>
  <c r="P132" i="2"/>
  <c r="AC132" i="2" s="1"/>
  <c r="AC123" i="2"/>
  <c r="V129" i="2"/>
  <c r="U129" i="2"/>
  <c r="AJ129" i="2" s="1"/>
  <c r="K141" i="2"/>
  <c r="X141" i="2" s="1"/>
  <c r="X134" i="2"/>
  <c r="K41" i="2"/>
  <c r="X41" i="2" s="1"/>
  <c r="X40" i="2"/>
  <c r="L41" i="2"/>
  <c r="Y41" i="2" s="1"/>
  <c r="Y40" i="2"/>
  <c r="T41" i="2"/>
  <c r="AG41" i="2" s="1"/>
  <c r="AG40" i="2"/>
  <c r="V101" i="2"/>
  <c r="U101" i="2"/>
  <c r="AJ101" i="2" s="1"/>
  <c r="I41" i="2"/>
  <c r="V41" i="2" s="1"/>
  <c r="U40" i="2"/>
  <c r="AJ40" i="2" s="1"/>
  <c r="V40" i="2"/>
  <c r="U144" i="2"/>
  <c r="AJ144" i="2" s="1"/>
  <c r="V144" i="2"/>
  <c r="M121" i="2"/>
  <c r="Z121" i="2" s="1"/>
  <c r="Z118" i="2"/>
  <c r="W86" i="2"/>
  <c r="J89" i="2"/>
  <c r="W89" i="2" s="1"/>
  <c r="X123" i="2"/>
  <c r="K132" i="2"/>
  <c r="X132" i="2" s="1"/>
  <c r="R132" i="2"/>
  <c r="AE132" i="2" s="1"/>
  <c r="AE123" i="2"/>
  <c r="AD143" i="2"/>
  <c r="Q146" i="2"/>
  <c r="AD146" i="2" s="1"/>
  <c r="U81" i="2"/>
  <c r="AJ81" i="2" s="1"/>
  <c r="I84" i="2"/>
  <c r="V84" i="2" s="1"/>
  <c r="V81" i="2"/>
  <c r="V96" i="2"/>
  <c r="U96" i="2"/>
  <c r="AJ96" i="2" s="1"/>
  <c r="AB76" i="2"/>
  <c r="O79" i="2"/>
  <c r="AB79" i="2" s="1"/>
  <c r="Z100" i="2"/>
  <c r="M111" i="2"/>
  <c r="Z111" i="2" s="1"/>
  <c r="L111" i="2"/>
  <c r="Y111" i="2" s="1"/>
  <c r="Y100" i="2"/>
  <c r="AE26" i="2"/>
  <c r="R38" i="2"/>
  <c r="Q74" i="2"/>
  <c r="AD70" i="2"/>
  <c r="AD134" i="2"/>
  <c r="Q141" i="2"/>
  <c r="AD141" i="2" s="1"/>
  <c r="O98" i="2"/>
  <c r="AB98" i="2" s="1"/>
  <c r="AB91" i="2"/>
  <c r="AB40" i="2"/>
  <c r="O41" i="2"/>
  <c r="AB41" i="2" s="1"/>
  <c r="AE86" i="2"/>
  <c r="R89" i="2"/>
  <c r="AE89" i="2" s="1"/>
  <c r="M146" i="2"/>
  <c r="Z146" i="2" s="1"/>
  <c r="Z143" i="2"/>
  <c r="S98" i="2"/>
  <c r="AF98" i="2" s="1"/>
  <c r="AF91" i="2"/>
  <c r="V118" i="2"/>
  <c r="U118" i="2"/>
  <c r="AJ118" i="2" s="1"/>
  <c r="I121" i="2"/>
  <c r="V121" i="2" s="1"/>
  <c r="V103" i="2"/>
  <c r="U103" i="2"/>
  <c r="AJ103" i="2" s="1"/>
  <c r="Q89" i="2"/>
  <c r="AD89" i="2" s="1"/>
  <c r="AD86" i="2"/>
  <c r="U123" i="2"/>
  <c r="AJ123" i="2" s="1"/>
  <c r="V123" i="2"/>
  <c r="I132" i="2"/>
  <c r="V132" i="2" s="1"/>
  <c r="L132" i="2"/>
  <c r="Y132" i="2" s="1"/>
  <c r="Y123" i="2"/>
  <c r="I146" i="2"/>
  <c r="V146" i="2" s="1"/>
  <c r="U143" i="2"/>
  <c r="AJ143" i="2" s="1"/>
  <c r="V143" i="2"/>
  <c r="L84" i="2"/>
  <c r="Y84" i="2" s="1"/>
  <c r="Y81" i="2"/>
  <c r="K79" i="2"/>
  <c r="X79" i="2" s="1"/>
  <c r="X76" i="2"/>
  <c r="S111" i="2"/>
  <c r="AF111" i="2" s="1"/>
  <c r="AF100" i="2"/>
  <c r="K111" i="2"/>
  <c r="X111" i="2" s="1"/>
  <c r="X100" i="2"/>
  <c r="AD26" i="2"/>
  <c r="Q38" i="2"/>
  <c r="AA70" i="2"/>
  <c r="N74" i="2"/>
  <c r="V72" i="2"/>
  <c r="U72" i="2"/>
  <c r="AJ72" i="2" s="1"/>
  <c r="O141" i="2"/>
  <c r="AB141" i="2" s="1"/>
  <c r="AB134" i="2"/>
  <c r="AG91" i="2"/>
  <c r="T98" i="2"/>
  <c r="AG98" i="2" s="1"/>
  <c r="X81" i="2"/>
  <c r="K84" i="2"/>
  <c r="X84" i="2" s="1"/>
  <c r="W40" i="2"/>
  <c r="J41" i="2"/>
  <c r="W41" i="2" s="1"/>
  <c r="M41" i="2"/>
  <c r="Z41" i="2" s="1"/>
  <c r="Z40" i="2"/>
  <c r="P41" i="2"/>
  <c r="AC41" i="2" s="1"/>
  <c r="AC40" i="2"/>
  <c r="J121" i="2"/>
  <c r="W121" i="2" s="1"/>
  <c r="W118" i="2"/>
  <c r="X86" i="2"/>
  <c r="K89" i="2"/>
  <c r="X89" i="2" s="1"/>
  <c r="AG123" i="2"/>
  <c r="T132" i="2"/>
  <c r="AG132" i="2" s="1"/>
  <c r="J132" i="2"/>
  <c r="W132" i="2" s="1"/>
  <c r="W123" i="2"/>
  <c r="X143" i="2"/>
  <c r="K146" i="2"/>
  <c r="X146" i="2" s="1"/>
  <c r="AG81" i="2"/>
  <c r="T84" i="2"/>
  <c r="AG84" i="2" s="1"/>
  <c r="L79" i="2"/>
  <c r="Y79" i="2" s="1"/>
  <c r="Y76" i="2"/>
  <c r="O111" i="2"/>
  <c r="AB111" i="2" s="1"/>
  <c r="AB100" i="2"/>
  <c r="N111" i="2"/>
  <c r="AA111" i="2" s="1"/>
  <c r="AA100" i="2"/>
  <c r="S38" i="2"/>
  <c r="AF26" i="2"/>
  <c r="L74" i="2"/>
  <c r="Y70" i="2"/>
  <c r="S141" i="2"/>
  <c r="AF141" i="2" s="1"/>
  <c r="AF134" i="2"/>
  <c r="Y91" i="2"/>
  <c r="L98" i="2"/>
  <c r="Y98" i="2" s="1"/>
  <c r="AG143" i="2"/>
  <c r="T146" i="2"/>
  <c r="AG146" i="2" s="1"/>
  <c r="J84" i="2"/>
  <c r="W84" i="2" s="1"/>
  <c r="W81" i="2"/>
  <c r="AF76" i="2"/>
  <c r="S79" i="2"/>
  <c r="AF79" i="2" s="1"/>
  <c r="W134" i="2"/>
  <c r="J141" i="2"/>
  <c r="W141" i="2" s="1"/>
  <c r="V97" i="2"/>
  <c r="U97" i="2"/>
  <c r="AJ97" i="2" s="1"/>
  <c r="AF40" i="2"/>
  <c r="S41" i="2"/>
  <c r="AF41" i="2" s="1"/>
  <c r="U130" i="2"/>
  <c r="AJ130" i="2" s="1"/>
  <c r="V130" i="2"/>
  <c r="U145" i="2"/>
  <c r="AJ145" i="2" s="1"/>
  <c r="V145" i="2"/>
  <c r="U71" i="2"/>
  <c r="AJ71" i="2" s="1"/>
  <c r="V71" i="2"/>
  <c r="U33" i="2"/>
  <c r="AJ33" i="2" s="1"/>
  <c r="V33" i="2"/>
  <c r="K121" i="2"/>
  <c r="X121" i="2" s="1"/>
  <c r="X118" i="2"/>
  <c r="V104" i="2"/>
  <c r="U104" i="2"/>
  <c r="AJ104" i="2" s="1"/>
  <c r="U127" i="2"/>
  <c r="AJ127" i="2" s="1"/>
  <c r="V127" i="2"/>
  <c r="L89" i="2"/>
  <c r="Y89" i="2" s="1"/>
  <c r="Y86" i="2"/>
  <c r="O132" i="2"/>
  <c r="AB132" i="2" s="1"/>
  <c r="AB123" i="2"/>
  <c r="S132" i="2"/>
  <c r="AF132" i="2" s="1"/>
  <c r="AF123" i="2"/>
  <c r="U140" i="2"/>
  <c r="AJ140" i="2" s="1"/>
  <c r="V140" i="2"/>
  <c r="V124" i="2"/>
  <c r="U124" i="2"/>
  <c r="AJ124" i="2" s="1"/>
  <c r="U119" i="2"/>
  <c r="AJ119" i="2" s="1"/>
  <c r="V119" i="2"/>
  <c r="AA143" i="2"/>
  <c r="N146" i="2"/>
  <c r="AA146" i="2" s="1"/>
  <c r="U94" i="2"/>
  <c r="AJ94" i="2" s="1"/>
  <c r="V94" i="2"/>
  <c r="U78" i="2"/>
  <c r="AJ78" i="2" s="1"/>
  <c r="V78" i="2"/>
  <c r="AA81" i="2"/>
  <c r="N84" i="2"/>
  <c r="AA84" i="2" s="1"/>
  <c r="U28" i="2"/>
  <c r="AJ28" i="2" s="1"/>
  <c r="V28" i="2"/>
  <c r="V131" i="2"/>
  <c r="U131" i="2"/>
  <c r="AJ131" i="2" s="1"/>
  <c r="V135" i="2"/>
  <c r="U135" i="2"/>
  <c r="AJ135" i="2" s="1"/>
  <c r="V73" i="2"/>
  <c r="U73" i="2"/>
  <c r="AJ73" i="2" s="1"/>
  <c r="AA76" i="2"/>
  <c r="N79" i="2"/>
  <c r="AA79" i="2" s="1"/>
  <c r="U136" i="2"/>
  <c r="AJ136" i="2" s="1"/>
  <c r="V136" i="2"/>
  <c r="V120" i="2"/>
  <c r="U120" i="2"/>
  <c r="AJ120" i="2" s="1"/>
  <c r="U107" i="2"/>
  <c r="AJ107" i="2" s="1"/>
  <c r="V107" i="2"/>
  <c r="V110" i="2"/>
  <c r="U110" i="2"/>
  <c r="AJ110" i="2" s="1"/>
  <c r="U100" i="2"/>
  <c r="AJ100" i="2" s="1"/>
  <c r="V100" i="2"/>
  <c r="I111" i="2"/>
  <c r="V111" i="2" s="1"/>
  <c r="R111" i="2"/>
  <c r="AE111" i="2" s="1"/>
  <c r="AE100" i="2"/>
  <c r="Y26" i="2"/>
  <c r="L38" i="2"/>
  <c r="V88" i="2"/>
  <c r="U88" i="2"/>
  <c r="AJ88" i="2" s="1"/>
  <c r="S74" i="2"/>
  <c r="AF70" i="2"/>
  <c r="U31" i="2"/>
  <c r="AJ31" i="2" s="1"/>
  <c r="V31" i="2"/>
  <c r="V77" i="2"/>
  <c r="U77" i="2"/>
  <c r="AJ77" i="2" s="1"/>
  <c r="M141" i="2"/>
  <c r="Z141" i="2" s="1"/>
  <c r="Z134" i="2"/>
  <c r="U35" i="2"/>
  <c r="AJ35" i="2" s="1"/>
  <c r="V35" i="2"/>
  <c r="U106" i="2"/>
  <c r="AJ106" i="2" s="1"/>
  <c r="V106" i="2"/>
  <c r="J98" i="2"/>
  <c r="W98" i="2" s="1"/>
  <c r="W91" i="2"/>
  <c r="V108" i="2"/>
  <c r="U108" i="2"/>
  <c r="AJ108" i="2" s="1"/>
  <c r="AJ114" i="2" l="1"/>
  <c r="AH114" i="2"/>
  <c r="AJ115" i="2"/>
  <c r="AH115" i="2"/>
  <c r="AJ113" i="2"/>
  <c r="U116" i="2"/>
  <c r="AH113" i="2"/>
  <c r="AJ171" i="2"/>
  <c r="U173" i="2"/>
  <c r="AH171" i="2"/>
  <c r="AJ172" i="2"/>
  <c r="AH172" i="2"/>
  <c r="AJ67" i="2"/>
  <c r="U68" i="2"/>
  <c r="AH67" i="2"/>
  <c r="AJ37" i="2"/>
  <c r="AH37" i="2"/>
  <c r="AH34" i="2"/>
  <c r="AH97" i="2"/>
  <c r="AH36" i="2"/>
  <c r="AH82" i="2"/>
  <c r="AH83" i="2"/>
  <c r="AH95" i="2"/>
  <c r="AH88" i="2"/>
  <c r="AH136" i="2"/>
  <c r="AH94" i="2"/>
  <c r="AH127" i="2"/>
  <c r="AH129" i="2"/>
  <c r="AH92" i="2"/>
  <c r="AH110" i="2"/>
  <c r="AH104" i="2"/>
  <c r="AH138" i="2"/>
  <c r="AH27" i="2"/>
  <c r="AH125" i="2"/>
  <c r="AH109" i="2"/>
  <c r="AH30" i="2"/>
  <c r="AH77" i="2"/>
  <c r="AH28" i="2"/>
  <c r="AH145" i="2"/>
  <c r="AH96" i="2"/>
  <c r="AH144" i="2"/>
  <c r="AH102" i="2"/>
  <c r="AH35" i="2"/>
  <c r="AH72" i="2"/>
  <c r="AH103" i="2"/>
  <c r="AH128" i="2"/>
  <c r="AH108" i="2"/>
  <c r="AH140" i="2"/>
  <c r="AH71" i="2"/>
  <c r="AH105" i="2"/>
  <c r="AH73" i="2"/>
  <c r="AH93" i="2"/>
  <c r="AH87" i="2"/>
  <c r="AH107" i="2"/>
  <c r="AH119" i="2"/>
  <c r="AH130" i="2"/>
  <c r="AH126" i="2"/>
  <c r="AH106" i="2"/>
  <c r="AH31" i="2"/>
  <c r="AH120" i="2"/>
  <c r="AH135" i="2"/>
  <c r="AH124" i="2"/>
  <c r="AH29" i="2"/>
  <c r="AH139" i="2"/>
  <c r="AH78" i="2"/>
  <c r="AH33" i="2"/>
  <c r="AH101" i="2"/>
  <c r="AH137" i="2"/>
  <c r="AH131" i="2"/>
  <c r="AE38" i="2"/>
  <c r="R42" i="2"/>
  <c r="AC74" i="2"/>
  <c r="V74" i="2"/>
  <c r="AD38" i="2"/>
  <c r="Q42" i="2"/>
  <c r="AG74" i="2"/>
  <c r="AH86" i="2"/>
  <c r="U89" i="2"/>
  <c r="AJ89" i="2" s="1"/>
  <c r="N42" i="2"/>
  <c r="AA38" i="2"/>
  <c r="AH70" i="2"/>
  <c r="U74" i="2"/>
  <c r="AJ74" i="2" s="1"/>
  <c r="Y38" i="2"/>
  <c r="L42" i="2"/>
  <c r="U132" i="2"/>
  <c r="AJ132" i="2" s="1"/>
  <c r="AH123" i="2"/>
  <c r="U41" i="2"/>
  <c r="AJ41" i="2" s="1"/>
  <c r="AH40" i="2"/>
  <c r="W74" i="2"/>
  <c r="AH134" i="2"/>
  <c r="U141" i="2"/>
  <c r="AJ141" i="2" s="1"/>
  <c r="U121" i="2"/>
  <c r="AJ121" i="2" s="1"/>
  <c r="AH118" i="2"/>
  <c r="AC38" i="2"/>
  <c r="P42" i="2"/>
  <c r="U79" i="2"/>
  <c r="AJ79" i="2" s="1"/>
  <c r="AH76" i="2"/>
  <c r="U98" i="2"/>
  <c r="AJ98" i="2" s="1"/>
  <c r="AH91" i="2"/>
  <c r="Y74" i="2"/>
  <c r="AH143" i="2"/>
  <c r="U146" i="2"/>
  <c r="AJ146" i="2" s="1"/>
  <c r="U84" i="2"/>
  <c r="AJ84" i="2" s="1"/>
  <c r="AH81" i="2"/>
  <c r="AG38" i="2"/>
  <c r="T42" i="2"/>
  <c r="AF74" i="2"/>
  <c r="AE74" i="2"/>
  <c r="X38" i="2"/>
  <c r="K42" i="2"/>
  <c r="V38" i="2"/>
  <c r="I42" i="2"/>
  <c r="X74" i="2"/>
  <c r="U111" i="2"/>
  <c r="AJ111" i="2" s="1"/>
  <c r="AH100" i="2"/>
  <c r="S42" i="2"/>
  <c r="AF38" i="2"/>
  <c r="Z74" i="2"/>
  <c r="U38" i="2"/>
  <c r="AJ38" i="2" s="1"/>
  <c r="AH26" i="2"/>
  <c r="O42" i="2"/>
  <c r="AB38" i="2"/>
  <c r="AA74" i="2"/>
  <c r="AD74" i="2"/>
  <c r="W38" i="2"/>
  <c r="J42" i="2"/>
  <c r="AB74" i="2"/>
  <c r="M42" i="2"/>
  <c r="Z38" i="2"/>
  <c r="AJ116" i="2" l="1"/>
  <c r="E27" i="4"/>
  <c r="G27" i="4" s="1"/>
  <c r="H27" i="4" s="1"/>
  <c r="AH116" i="2"/>
  <c r="AJ173" i="2"/>
  <c r="AH173" i="2"/>
  <c r="AJ68" i="2"/>
  <c r="E20" i="4"/>
  <c r="G20" i="4" s="1"/>
  <c r="H20" i="4" s="1"/>
  <c r="AH68" i="2"/>
  <c r="F20" i="4" s="1"/>
  <c r="I20" i="4" s="1"/>
  <c r="E30" i="4"/>
  <c r="G30" i="4" s="1"/>
  <c r="H30" i="4" s="1"/>
  <c r="E31" i="4"/>
  <c r="G31" i="4" s="1"/>
  <c r="H31" i="4" s="1"/>
  <c r="E24" i="4"/>
  <c r="G24" i="4" s="1"/>
  <c r="H24" i="4" s="1"/>
  <c r="E23" i="4"/>
  <c r="G23" i="4" s="1"/>
  <c r="H23" i="4" s="1"/>
  <c r="E22" i="4"/>
  <c r="G22" i="4" s="1"/>
  <c r="H22" i="4" s="1"/>
  <c r="E29" i="4"/>
  <c r="G29" i="4" s="1"/>
  <c r="H29" i="4" s="1"/>
  <c r="E28" i="4"/>
  <c r="G28" i="4" s="1"/>
  <c r="H28" i="4" s="1"/>
  <c r="E26" i="4"/>
  <c r="G26" i="4" s="1"/>
  <c r="H26" i="4" s="1"/>
  <c r="E25" i="4"/>
  <c r="G25" i="4" s="1"/>
  <c r="H25" i="4" s="1"/>
  <c r="E17" i="4"/>
  <c r="G17" i="4" s="1"/>
  <c r="H17" i="4" s="1"/>
  <c r="E16" i="4"/>
  <c r="G16" i="4" s="1"/>
  <c r="H16" i="4" s="1"/>
  <c r="E21" i="4"/>
  <c r="G21" i="4" s="1"/>
  <c r="H21" i="4" s="1"/>
  <c r="AH41" i="2"/>
  <c r="F17" i="4" s="1"/>
  <c r="I17" i="4" s="1"/>
  <c r="AH89" i="2"/>
  <c r="F24" i="4" s="1"/>
  <c r="I24" i="4" s="1"/>
  <c r="AH121" i="2"/>
  <c r="AH132" i="2"/>
  <c r="F29" i="4" s="1"/>
  <c r="I29" i="4" s="1"/>
  <c r="AH141" i="2"/>
  <c r="AH111" i="2"/>
  <c r="F26" i="4" s="1"/>
  <c r="I26" i="4" s="1"/>
  <c r="AH98" i="2"/>
  <c r="F25" i="4" s="1"/>
  <c r="I25" i="4" s="1"/>
  <c r="AH84" i="2"/>
  <c r="F23" i="4" s="1"/>
  <c r="I23" i="4" s="1"/>
  <c r="AH79" i="2"/>
  <c r="F22" i="4" s="1"/>
  <c r="I22" i="4" s="1"/>
  <c r="AH146" i="2"/>
  <c r="F31" i="4" s="1"/>
  <c r="I31" i="4" s="1"/>
  <c r="AC42" i="2"/>
  <c r="AA42" i="2"/>
  <c r="AF42" i="2"/>
  <c r="W42" i="2"/>
  <c r="AH74" i="2"/>
  <c r="F21" i="4" s="1"/>
  <c r="I21" i="4" s="1"/>
  <c r="AD42" i="2"/>
  <c r="AB42" i="2"/>
  <c r="U42" i="2"/>
  <c r="AJ42" i="2" s="1"/>
  <c r="AH38" i="2"/>
  <c r="F16" i="4" s="1"/>
  <c r="I16" i="4" s="1"/>
  <c r="V42" i="2"/>
  <c r="AG42" i="2"/>
  <c r="Y42" i="2"/>
  <c r="AE42" i="2"/>
  <c r="X42" i="2"/>
  <c r="Z42" i="2"/>
  <c r="E18" i="4" l="1"/>
  <c r="G18" i="4" s="1"/>
  <c r="H18" i="4" s="1"/>
  <c r="AH42" i="2"/>
  <c r="F18" i="4" s="1"/>
  <c r="I18" i="4" s="1"/>
  <c r="D30" i="5" l="1"/>
  <c r="Q75" i="5" l="1"/>
  <c r="AK24" i="3" s="1"/>
  <c r="O75" i="5"/>
  <c r="AE24" i="3" s="1"/>
  <c r="L75" i="5"/>
  <c r="V24" i="3" s="1"/>
  <c r="G75" i="5"/>
  <c r="G24" i="3" s="1"/>
  <c r="J30" i="5"/>
  <c r="J50" i="5" s="1"/>
  <c r="P20" i="3" s="1"/>
  <c r="N30" i="5"/>
  <c r="N50" i="5" s="1"/>
  <c r="AB20" i="3" s="1"/>
  <c r="H30" i="5"/>
  <c r="H50" i="5" s="1"/>
  <c r="J20" i="3" s="1"/>
  <c r="M30" i="5"/>
  <c r="M50" i="5" s="1"/>
  <c r="Y20" i="3" s="1"/>
  <c r="O30" i="5"/>
  <c r="O50" i="5" s="1"/>
  <c r="AE20" i="3" s="1"/>
  <c r="G30" i="5"/>
  <c r="G50" i="5" s="1"/>
  <c r="G20" i="3" s="1"/>
  <c r="P30" i="5"/>
  <c r="P50" i="5" s="1"/>
  <c r="AH20" i="3" s="1"/>
  <c r="Q30" i="5"/>
  <c r="Q50" i="5" s="1"/>
  <c r="AK20" i="3" s="1"/>
  <c r="F30" i="5"/>
  <c r="L30" i="5"/>
  <c r="L50" i="5" s="1"/>
  <c r="V20" i="3" s="1"/>
  <c r="I30" i="5"/>
  <c r="I50" i="5" s="1"/>
  <c r="M20" i="3" s="1"/>
  <c r="K30" i="5"/>
  <c r="K50" i="5" s="1"/>
  <c r="S20" i="3" s="1"/>
  <c r="F75" i="5" l="1"/>
  <c r="D24" i="3" s="1"/>
  <c r="H75" i="5"/>
  <c r="J24" i="3" s="1"/>
  <c r="K75" i="5"/>
  <c r="S24" i="3" s="1"/>
  <c r="J75" i="5"/>
  <c r="P24" i="3" s="1"/>
  <c r="N75" i="5"/>
  <c r="AB24" i="3" s="1"/>
  <c r="I75" i="5"/>
  <c r="M24" i="3" s="1"/>
  <c r="P75" i="5"/>
  <c r="AH24" i="3" s="1"/>
  <c r="M75" i="5"/>
  <c r="Y24" i="3" s="1"/>
  <c r="AH27" i="3"/>
  <c r="AH26" i="3"/>
  <c r="AH25" i="3"/>
  <c r="G27" i="3"/>
  <c r="G25" i="3"/>
  <c r="G26" i="3"/>
  <c r="M26" i="3"/>
  <c r="M25" i="3"/>
  <c r="M27" i="3"/>
  <c r="AE27" i="3"/>
  <c r="AE25" i="3"/>
  <c r="AE26" i="3"/>
  <c r="S26" i="3"/>
  <c r="S27" i="3"/>
  <c r="S25" i="3"/>
  <c r="Y25" i="3"/>
  <c r="Y26" i="3"/>
  <c r="Y27" i="3"/>
  <c r="J27" i="3"/>
  <c r="J26" i="3"/>
  <c r="J25" i="3"/>
  <c r="AK26" i="3"/>
  <c r="AK25" i="3"/>
  <c r="AK27" i="3"/>
  <c r="AB27" i="3"/>
  <c r="AB25" i="3"/>
  <c r="AB26" i="3"/>
  <c r="V27" i="3"/>
  <c r="V25" i="3"/>
  <c r="V26" i="3"/>
  <c r="P26" i="3"/>
  <c r="P25" i="3"/>
  <c r="P27" i="3"/>
  <c r="F50" i="5"/>
  <c r="D20" i="3" s="1"/>
  <c r="R30" i="5"/>
  <c r="R50" i="5" s="1"/>
  <c r="E24" i="3" l="1"/>
  <c r="AM24" i="3"/>
  <c r="M80" i="3"/>
  <c r="R55" i="5"/>
  <c r="R75" i="5" s="1"/>
  <c r="Y80" i="3"/>
  <c r="S80" i="3"/>
  <c r="AH80" i="3"/>
  <c r="G80" i="3"/>
  <c r="AK80" i="3"/>
  <c r="AB80" i="3"/>
  <c r="V80" i="3"/>
  <c r="P80" i="3"/>
  <c r="AE80" i="3"/>
  <c r="D27" i="3"/>
  <c r="D25" i="3"/>
  <c r="E20" i="3"/>
  <c r="D26" i="3"/>
  <c r="AM20" i="3"/>
  <c r="J80" i="3"/>
  <c r="AO24" i="3" l="1"/>
  <c r="H24" i="3"/>
  <c r="D80" i="3"/>
  <c r="AM80" i="3" s="1"/>
  <c r="AM26" i="3"/>
  <c r="E26" i="3"/>
  <c r="E25" i="3"/>
  <c r="AM25" i="3"/>
  <c r="AO20" i="3"/>
  <c r="I45" i="2" s="1"/>
  <c r="H20" i="3"/>
  <c r="E27" i="3"/>
  <c r="AM27" i="3"/>
  <c r="AP24" i="3" l="1"/>
  <c r="K24" i="3"/>
  <c r="AM84" i="3"/>
  <c r="AM85" i="3" s="1"/>
  <c r="AM109" i="3" s="1"/>
  <c r="AO27" i="3"/>
  <c r="H27" i="3"/>
  <c r="AO25" i="3"/>
  <c r="H25" i="3"/>
  <c r="AO26" i="3"/>
  <c r="I54" i="2" s="1"/>
  <c r="H26" i="3"/>
  <c r="AP20" i="3"/>
  <c r="J45" i="2" s="1"/>
  <c r="K20" i="3"/>
  <c r="V54" i="2" l="1"/>
  <c r="I53" i="2"/>
  <c r="N24" i="3"/>
  <c r="AQ24" i="3"/>
  <c r="AP27" i="3"/>
  <c r="K27" i="3"/>
  <c r="AQ20" i="3"/>
  <c r="K45" i="2" s="1"/>
  <c r="N20" i="3"/>
  <c r="AP26" i="3"/>
  <c r="J54" i="2" s="1"/>
  <c r="W54" i="2" s="1"/>
  <c r="K26" i="3"/>
  <c r="AP25" i="3"/>
  <c r="K25" i="3"/>
  <c r="J53" i="2" l="1"/>
  <c r="AR24" i="3"/>
  <c r="Q24" i="3"/>
  <c r="AR20" i="3"/>
  <c r="L45" i="2" s="1"/>
  <c r="Q20" i="3"/>
  <c r="AQ27" i="3"/>
  <c r="N27" i="3"/>
  <c r="AQ25" i="3"/>
  <c r="N25" i="3"/>
  <c r="AQ26" i="3"/>
  <c r="K54" i="2" s="1"/>
  <c r="X54" i="2" s="1"/>
  <c r="N26" i="3"/>
  <c r="K53" i="2" l="1"/>
  <c r="AS24" i="3"/>
  <c r="T24" i="3"/>
  <c r="AR27" i="3"/>
  <c r="Q27" i="3"/>
  <c r="AR26" i="3"/>
  <c r="L54" i="2" s="1"/>
  <c r="Y54" i="2" s="1"/>
  <c r="Q26" i="3"/>
  <c r="AR25" i="3"/>
  <c r="Q25" i="3"/>
  <c r="AS20" i="3"/>
  <c r="M45" i="2" s="1"/>
  <c r="T20" i="3"/>
  <c r="L53" i="2" l="1"/>
  <c r="AT24" i="3"/>
  <c r="W24" i="3"/>
  <c r="AT20" i="3"/>
  <c r="N45" i="2" s="1"/>
  <c r="W20" i="3"/>
  <c r="AS27" i="3"/>
  <c r="T27" i="3"/>
  <c r="AS25" i="3"/>
  <c r="T25" i="3"/>
  <c r="AS26" i="3"/>
  <c r="M54" i="2" s="1"/>
  <c r="Z54" i="2" s="1"/>
  <c r="T26" i="3"/>
  <c r="M53" i="2" l="1"/>
  <c r="AU24" i="3"/>
  <c r="Z24" i="3"/>
  <c r="AT26" i="3"/>
  <c r="N54" i="2" s="1"/>
  <c r="W26" i="3"/>
  <c r="AT25" i="3"/>
  <c r="W25" i="3"/>
  <c r="AT27" i="3"/>
  <c r="W27" i="3"/>
  <c r="AU20" i="3"/>
  <c r="O45" i="2" s="1"/>
  <c r="Z20" i="3"/>
  <c r="N53" i="2" l="1"/>
  <c r="AA54" i="2"/>
  <c r="AV24" i="3"/>
  <c r="AC24" i="3"/>
  <c r="AV20" i="3"/>
  <c r="P45" i="2" s="1"/>
  <c r="AC20" i="3"/>
  <c r="AU26" i="3"/>
  <c r="O54" i="2" s="1"/>
  <c r="AB54" i="2" s="1"/>
  <c r="Z26" i="3"/>
  <c r="AU27" i="3"/>
  <c r="Z27" i="3"/>
  <c r="AU25" i="3"/>
  <c r="Z25" i="3"/>
  <c r="O53" i="2" l="1"/>
  <c r="AW24" i="3"/>
  <c r="AF24" i="3"/>
  <c r="AV27" i="3"/>
  <c r="AC27" i="3"/>
  <c r="AV25" i="3"/>
  <c r="AC25" i="3"/>
  <c r="AV26" i="3"/>
  <c r="P54" i="2" s="1"/>
  <c r="AC54" i="2" s="1"/>
  <c r="AC26" i="3"/>
  <c r="AW20" i="3"/>
  <c r="Q45" i="2" s="1"/>
  <c r="AF20" i="3"/>
  <c r="P53" i="2" l="1"/>
  <c r="AX24" i="3"/>
  <c r="AI24" i="3"/>
  <c r="AW25" i="3"/>
  <c r="AF25" i="3"/>
  <c r="AX20" i="3"/>
  <c r="R45" i="2" s="1"/>
  <c r="AI20" i="3"/>
  <c r="AW27" i="3"/>
  <c r="AF27" i="3"/>
  <c r="AW26" i="3"/>
  <c r="Q54" i="2" s="1"/>
  <c r="AD54" i="2" s="1"/>
  <c r="AF26" i="3"/>
  <c r="Q53" i="2" l="1"/>
  <c r="AY24" i="3"/>
  <c r="AL24" i="3"/>
  <c r="AZ24" i="3" s="1"/>
  <c r="AY20" i="3"/>
  <c r="S45" i="2" s="1"/>
  <c r="AL20" i="3"/>
  <c r="AZ20" i="3" s="1"/>
  <c r="T45" i="2" s="1"/>
  <c r="AX25" i="3"/>
  <c r="AI25" i="3"/>
  <c r="AX26" i="3"/>
  <c r="R54" i="2" s="1"/>
  <c r="AE54" i="2" s="1"/>
  <c r="AI26" i="3"/>
  <c r="AX27" i="3"/>
  <c r="AI27" i="3"/>
  <c r="R53" i="2" l="1"/>
  <c r="AY25" i="3"/>
  <c r="AL25" i="3"/>
  <c r="AZ25" i="3" s="1"/>
  <c r="AY27" i="3"/>
  <c r="AL27" i="3"/>
  <c r="AZ27" i="3" s="1"/>
  <c r="AY26" i="3"/>
  <c r="S54" i="2" s="1"/>
  <c r="AF54" i="2" s="1"/>
  <c r="AL26" i="3"/>
  <c r="AZ26" i="3" s="1"/>
  <c r="T54" i="2" s="1"/>
  <c r="AG54" i="2" l="1"/>
  <c r="U54" i="2"/>
  <c r="T53" i="2"/>
  <c r="S53" i="2"/>
  <c r="AJ54" i="2" l="1"/>
  <c r="AH54" i="2"/>
  <c r="X53" i="2" l="1"/>
  <c r="AG53" i="2"/>
  <c r="Y53" i="2"/>
  <c r="AC53" i="2"/>
  <c r="AF53" i="2"/>
  <c r="V53" i="2"/>
  <c r="Z53" i="2"/>
  <c r="AE53" i="2"/>
  <c r="AA53" i="2"/>
  <c r="W53" i="2"/>
  <c r="AB53" i="2"/>
  <c r="AD53" i="2"/>
  <c r="U53" i="2"/>
  <c r="AH53" i="2" s="1"/>
  <c r="AJ53" i="2" l="1"/>
  <c r="G50" i="2" l="1"/>
  <c r="G47" i="2"/>
  <c r="G61" i="2"/>
  <c r="G49" i="2"/>
  <c r="G62" i="2"/>
  <c r="G48" i="2"/>
  <c r="U45" i="2"/>
  <c r="AG45" i="2"/>
  <c r="V45" i="2"/>
  <c r="AF45" i="2"/>
  <c r="AE45" i="2"/>
  <c r="AD45" i="2"/>
  <c r="AC45" i="2"/>
  <c r="AB45" i="2"/>
  <c r="AA45" i="2"/>
  <c r="Z45" i="2"/>
  <c r="Y45" i="2"/>
  <c r="X45" i="2"/>
  <c r="W45" i="2"/>
  <c r="G56" i="2"/>
  <c r="G57" i="2"/>
  <c r="G55" i="2"/>
  <c r="G46" i="2"/>
  <c r="G58" i="2"/>
  <c r="J49" i="2" l="1"/>
  <c r="W49" i="2" s="1"/>
  <c r="T49" i="2"/>
  <c r="AG49" i="2" s="1"/>
  <c r="S49" i="2"/>
  <c r="R49" i="2"/>
  <c r="L49" i="2"/>
  <c r="Q49" i="2"/>
  <c r="AD49" i="2" s="1"/>
  <c r="P49" i="2"/>
  <c r="AC49" i="2" s="1"/>
  <c r="O49" i="2"/>
  <c r="AB49" i="2" s="1"/>
  <c r="N49" i="2"/>
  <c r="AA49" i="2" s="1"/>
  <c r="M49" i="2"/>
  <c r="Z49" i="2" s="1"/>
  <c r="I49" i="2"/>
  <c r="K49" i="2"/>
  <c r="X49" i="2" s="1"/>
  <c r="N61" i="2"/>
  <c r="P61" i="2"/>
  <c r="M61" i="2"/>
  <c r="Z61" i="2" s="1"/>
  <c r="L61" i="2"/>
  <c r="I61" i="2"/>
  <c r="V61" i="2" s="1"/>
  <c r="K61" i="2"/>
  <c r="X61" i="2" s="1"/>
  <c r="O61" i="2"/>
  <c r="J61" i="2"/>
  <c r="W61" i="2" s="1"/>
  <c r="T61" i="2"/>
  <c r="AG61" i="2" s="1"/>
  <c r="S61" i="2"/>
  <c r="AF61" i="2" s="1"/>
  <c r="R61" i="2"/>
  <c r="Q61" i="2"/>
  <c r="K56" i="2"/>
  <c r="X56" i="2" s="1"/>
  <c r="J56" i="2"/>
  <c r="W56" i="2" s="1"/>
  <c r="T56" i="2"/>
  <c r="AG56" i="2" s="1"/>
  <c r="M56" i="2"/>
  <c r="Z56" i="2" s="1"/>
  <c r="S56" i="2"/>
  <c r="AF56" i="2" s="1"/>
  <c r="N56" i="2"/>
  <c r="AA56" i="2" s="1"/>
  <c r="L56" i="2"/>
  <c r="Y56" i="2" s="1"/>
  <c r="R56" i="2"/>
  <c r="AE56" i="2" s="1"/>
  <c r="I56" i="2"/>
  <c r="Q56" i="2"/>
  <c r="AD56" i="2" s="1"/>
  <c r="P56" i="2"/>
  <c r="AC56" i="2" s="1"/>
  <c r="O56" i="2"/>
  <c r="AB56" i="2" s="1"/>
  <c r="M58" i="2"/>
  <c r="Z58" i="2" s="1"/>
  <c r="L58" i="2"/>
  <c r="Y58" i="2" s="1"/>
  <c r="K58" i="2"/>
  <c r="X58" i="2" s="1"/>
  <c r="P58" i="2"/>
  <c r="AC58" i="2" s="1"/>
  <c r="J58" i="2"/>
  <c r="W58" i="2" s="1"/>
  <c r="I58" i="2"/>
  <c r="T58" i="2"/>
  <c r="AG58" i="2" s="1"/>
  <c r="S58" i="2"/>
  <c r="AF58" i="2" s="1"/>
  <c r="R58" i="2"/>
  <c r="AE58" i="2" s="1"/>
  <c r="O58" i="2"/>
  <c r="AB58" i="2" s="1"/>
  <c r="N58" i="2"/>
  <c r="AA58" i="2" s="1"/>
  <c r="Q58" i="2"/>
  <c r="AD58" i="2" s="1"/>
  <c r="S46" i="2"/>
  <c r="I46" i="2"/>
  <c r="J46" i="2"/>
  <c r="R46" i="2"/>
  <c r="Q46" i="2"/>
  <c r="P46" i="2"/>
  <c r="O46" i="2"/>
  <c r="N46" i="2"/>
  <c r="N63" i="2" s="1"/>
  <c r="M46" i="2"/>
  <c r="M63" i="2" s="1"/>
  <c r="T46" i="2"/>
  <c r="L46" i="2"/>
  <c r="K46" i="2"/>
  <c r="T47" i="2"/>
  <c r="AG47" i="2" s="1"/>
  <c r="I47" i="2"/>
  <c r="S47" i="2"/>
  <c r="AF47" i="2" s="1"/>
  <c r="R47" i="2"/>
  <c r="AE47" i="2" s="1"/>
  <c r="Q47" i="2"/>
  <c r="AD47" i="2" s="1"/>
  <c r="P47" i="2"/>
  <c r="AC47" i="2" s="1"/>
  <c r="O47" i="2"/>
  <c r="AB47" i="2" s="1"/>
  <c r="N47" i="2"/>
  <c r="AA47" i="2" s="1"/>
  <c r="J47" i="2"/>
  <c r="W47" i="2" s="1"/>
  <c r="M47" i="2"/>
  <c r="Z47" i="2" s="1"/>
  <c r="L47" i="2"/>
  <c r="Y47" i="2" s="1"/>
  <c r="K47" i="2"/>
  <c r="X47" i="2" s="1"/>
  <c r="I55" i="2"/>
  <c r="J55" i="2"/>
  <c r="W55" i="2" s="1"/>
  <c r="K55" i="2"/>
  <c r="X55" i="2" s="1"/>
  <c r="L55" i="2"/>
  <c r="Y55" i="2" s="1"/>
  <c r="M55" i="2"/>
  <c r="Z55" i="2" s="1"/>
  <c r="N55" i="2"/>
  <c r="AA55" i="2" s="1"/>
  <c r="O55" i="2"/>
  <c r="AB55" i="2" s="1"/>
  <c r="P55" i="2"/>
  <c r="AC55" i="2" s="1"/>
  <c r="Q55" i="2"/>
  <c r="AD55" i="2" s="1"/>
  <c r="R55" i="2"/>
  <c r="AE55" i="2" s="1"/>
  <c r="T55" i="2"/>
  <c r="AG55" i="2" s="1"/>
  <c r="S55" i="2"/>
  <c r="AF55" i="2" s="1"/>
  <c r="L57" i="2"/>
  <c r="Y57" i="2" s="1"/>
  <c r="K57" i="2"/>
  <c r="X57" i="2" s="1"/>
  <c r="N57" i="2"/>
  <c r="AA57" i="2" s="1"/>
  <c r="J57" i="2"/>
  <c r="W57" i="2" s="1"/>
  <c r="M57" i="2"/>
  <c r="Z57" i="2" s="1"/>
  <c r="T57" i="2"/>
  <c r="AG57" i="2" s="1"/>
  <c r="I57" i="2"/>
  <c r="S57" i="2"/>
  <c r="AF57" i="2" s="1"/>
  <c r="R57" i="2"/>
  <c r="AE57" i="2" s="1"/>
  <c r="Q57" i="2"/>
  <c r="AD57" i="2" s="1"/>
  <c r="P57" i="2"/>
  <c r="AC57" i="2" s="1"/>
  <c r="O57" i="2"/>
  <c r="AB57" i="2" s="1"/>
  <c r="I50" i="2"/>
  <c r="J50" i="2"/>
  <c r="K50" i="2"/>
  <c r="X50" i="2" s="1"/>
  <c r="L50" i="2"/>
  <c r="Y50" i="2" s="1"/>
  <c r="M50" i="2"/>
  <c r="N50" i="2"/>
  <c r="AA50" i="2" s="1"/>
  <c r="O50" i="2"/>
  <c r="AB50" i="2" s="1"/>
  <c r="P50" i="2"/>
  <c r="AC50" i="2" s="1"/>
  <c r="Q50" i="2"/>
  <c r="AD50" i="2" s="1"/>
  <c r="R50" i="2"/>
  <c r="S50" i="2"/>
  <c r="AF50" i="2" s="1"/>
  <c r="T50" i="2"/>
  <c r="AG50" i="2" s="1"/>
  <c r="O62" i="2"/>
  <c r="AB62" i="2" s="1"/>
  <c r="N62" i="2"/>
  <c r="AA62" i="2" s="1"/>
  <c r="I62" i="2"/>
  <c r="M62" i="2"/>
  <c r="Z62" i="2" s="1"/>
  <c r="L62" i="2"/>
  <c r="Y62" i="2" s="1"/>
  <c r="K62" i="2"/>
  <c r="X62" i="2" s="1"/>
  <c r="Q62" i="2"/>
  <c r="AD62" i="2" s="1"/>
  <c r="P62" i="2"/>
  <c r="AC62" i="2" s="1"/>
  <c r="J62" i="2"/>
  <c r="W62" i="2" s="1"/>
  <c r="T62" i="2"/>
  <c r="S62" i="2"/>
  <c r="R62" i="2"/>
  <c r="AE62" i="2" s="1"/>
  <c r="T48" i="2"/>
  <c r="AG48" i="2" s="1"/>
  <c r="S48" i="2"/>
  <c r="AF48" i="2" s="1"/>
  <c r="L48" i="2"/>
  <c r="Y48" i="2" s="1"/>
  <c r="R48" i="2"/>
  <c r="AE48" i="2" s="1"/>
  <c r="Q48" i="2"/>
  <c r="AD48" i="2" s="1"/>
  <c r="P48" i="2"/>
  <c r="AC48" i="2" s="1"/>
  <c r="O48" i="2"/>
  <c r="I48" i="2"/>
  <c r="J48" i="2"/>
  <c r="N48" i="2"/>
  <c r="M48" i="2"/>
  <c r="K48" i="2"/>
  <c r="X48" i="2" s="1"/>
  <c r="AJ45" i="2"/>
  <c r="V62" i="2"/>
  <c r="V50" i="2"/>
  <c r="Z48" i="2"/>
  <c r="AB48" i="2"/>
  <c r="AD61" i="2"/>
  <c r="AB61" i="2"/>
  <c r="AF62" i="2"/>
  <c r="AF49" i="2"/>
  <c r="AD46" i="2"/>
  <c r="AE50" i="2"/>
  <c r="AE61" i="2"/>
  <c r="AE46" i="2"/>
  <c r="Z50" i="2"/>
  <c r="W50" i="2"/>
  <c r="AG46" i="2"/>
  <c r="AB46" i="2"/>
  <c r="AC61" i="2"/>
  <c r="AA48" i="2"/>
  <c r="AA61" i="2"/>
  <c r="W48" i="2"/>
  <c r="Y49" i="2"/>
  <c r="X46" i="2"/>
  <c r="AE49" i="2"/>
  <c r="Y61" i="2"/>
  <c r="AG62" i="2"/>
  <c r="AH45" i="2"/>
  <c r="Z63" i="2" l="1"/>
  <c r="M147" i="2"/>
  <c r="R63" i="2"/>
  <c r="V56" i="2"/>
  <c r="U56" i="2"/>
  <c r="J63" i="2"/>
  <c r="AA63" i="2"/>
  <c r="N147" i="2"/>
  <c r="P63" i="2"/>
  <c r="AC46" i="2"/>
  <c r="V47" i="2"/>
  <c r="U47" i="2"/>
  <c r="I63" i="2"/>
  <c r="V46" i="2"/>
  <c r="O63" i="2"/>
  <c r="U58" i="2"/>
  <c r="V58" i="2"/>
  <c r="AA46" i="2"/>
  <c r="U55" i="2"/>
  <c r="V55" i="2"/>
  <c r="S63" i="2"/>
  <c r="AF46" i="2"/>
  <c r="Q63" i="2"/>
  <c r="Z46" i="2"/>
  <c r="K63" i="2"/>
  <c r="W46" i="2"/>
  <c r="L63" i="2"/>
  <c r="Y46" i="2"/>
  <c r="V57" i="2"/>
  <c r="U57" i="2"/>
  <c r="T63" i="2"/>
  <c r="U61" i="2"/>
  <c r="V48" i="2"/>
  <c r="U48" i="2"/>
  <c r="U50" i="2"/>
  <c r="U46" i="2"/>
  <c r="U62" i="2"/>
  <c r="V49" i="2"/>
  <c r="U49" i="2"/>
  <c r="AC63" i="2" l="1"/>
  <c r="P147" i="2"/>
  <c r="AH47" i="2"/>
  <c r="AJ47" i="2"/>
  <c r="N148" i="2"/>
  <c r="AA147" i="2"/>
  <c r="J147" i="2"/>
  <c r="W63" i="2"/>
  <c r="AJ56" i="2"/>
  <c r="AH56" i="2"/>
  <c r="Q147" i="2"/>
  <c r="AD63" i="2"/>
  <c r="AF63" i="2"/>
  <c r="S147" i="2"/>
  <c r="Z147" i="2"/>
  <c r="M148" i="2"/>
  <c r="AG63" i="2"/>
  <c r="T147" i="2"/>
  <c r="AJ55" i="2"/>
  <c r="AH55" i="2"/>
  <c r="AH57" i="2"/>
  <c r="AJ57" i="2"/>
  <c r="AJ58" i="2"/>
  <c r="AH58" i="2"/>
  <c r="L147" i="2"/>
  <c r="Y63" i="2"/>
  <c r="O147" i="2"/>
  <c r="AB63" i="2"/>
  <c r="AE63" i="2"/>
  <c r="R147" i="2"/>
  <c r="K147" i="2"/>
  <c r="X63" i="2"/>
  <c r="V63" i="2"/>
  <c r="I147" i="2"/>
  <c r="U63" i="2"/>
  <c r="AH63" i="2" s="1"/>
  <c r="F19" i="4" s="1"/>
  <c r="I19" i="4" s="1"/>
  <c r="AJ49" i="2"/>
  <c r="AH49" i="2"/>
  <c r="AJ48" i="2"/>
  <c r="AH48" i="2"/>
  <c r="AJ50" i="2"/>
  <c r="AH50" i="2"/>
  <c r="AJ62" i="2"/>
  <c r="AH62" i="2"/>
  <c r="AJ46" i="2"/>
  <c r="AH46" i="2"/>
  <c r="AH61" i="2"/>
  <c r="AJ61" i="2"/>
  <c r="AD147" i="2" l="1"/>
  <c r="Q148" i="2"/>
  <c r="W147" i="2"/>
  <c r="J148" i="2"/>
  <c r="X147" i="2"/>
  <c r="K148" i="2"/>
  <c r="N169" i="2"/>
  <c r="AA148" i="2"/>
  <c r="R148" i="2"/>
  <c r="AE147" i="2"/>
  <c r="Z148" i="2"/>
  <c r="M169" i="2"/>
  <c r="AB147" i="2"/>
  <c r="O148" i="2"/>
  <c r="AF147" i="2"/>
  <c r="S148" i="2"/>
  <c r="AC147" i="2"/>
  <c r="P148" i="2"/>
  <c r="V147" i="2"/>
  <c r="I148" i="2"/>
  <c r="T148" i="2"/>
  <c r="AG147" i="2"/>
  <c r="Y147" i="2"/>
  <c r="L148" i="2"/>
  <c r="E19" i="4"/>
  <c r="G19" i="4" s="1"/>
  <c r="H19" i="4" s="1"/>
  <c r="AJ63" i="2"/>
  <c r="U147" i="2"/>
  <c r="AH147" i="2" s="1"/>
  <c r="F32" i="4" s="1"/>
  <c r="I32" i="4" s="1"/>
  <c r="R169" i="2" l="1"/>
  <c r="AE148" i="2"/>
  <c r="I169" i="2"/>
  <c r="V148" i="2"/>
  <c r="N174" i="2"/>
  <c r="AA169" i="2"/>
  <c r="L169" i="2"/>
  <c r="Y148" i="2"/>
  <c r="K169" i="2"/>
  <c r="X148" i="2"/>
  <c r="Z169" i="2"/>
  <c r="M174" i="2"/>
  <c r="T169" i="2"/>
  <c r="AG148" i="2"/>
  <c r="P169" i="2"/>
  <c r="AC148" i="2"/>
  <c r="S169" i="2"/>
  <c r="AF148" i="2"/>
  <c r="J169" i="2"/>
  <c r="W148" i="2"/>
  <c r="AB148" i="2"/>
  <c r="O169" i="2"/>
  <c r="AD148" i="2"/>
  <c r="Q169" i="2"/>
  <c r="E32" i="4"/>
  <c r="G32" i="4" s="1"/>
  <c r="H32" i="4" s="1"/>
  <c r="U148" i="2"/>
  <c r="E33" i="4" s="1"/>
  <c r="G33" i="4" s="1"/>
  <c r="H33" i="4" s="1"/>
  <c r="AJ147" i="2"/>
  <c r="M184" i="2" l="1"/>
  <c r="Z174" i="2"/>
  <c r="AD169" i="2"/>
  <c r="Q174" i="2"/>
  <c r="AB169" i="2"/>
  <c r="O174" i="2"/>
  <c r="J174" i="2"/>
  <c r="W169" i="2"/>
  <c r="N184" i="2"/>
  <c r="AA174" i="2"/>
  <c r="AC169" i="2"/>
  <c r="P174" i="2"/>
  <c r="I174" i="2"/>
  <c r="V169" i="2"/>
  <c r="K174" i="2"/>
  <c r="X169" i="2"/>
  <c r="L174" i="2"/>
  <c r="Y169" i="2"/>
  <c r="AF169" i="2"/>
  <c r="S174" i="2"/>
  <c r="T174" i="2"/>
  <c r="AG169" i="2"/>
  <c r="AE169" i="2"/>
  <c r="R174" i="2"/>
  <c r="AH148" i="2"/>
  <c r="F33" i="4" s="1"/>
  <c r="I33" i="4" s="1"/>
  <c r="U169" i="2"/>
  <c r="AJ148" i="2"/>
  <c r="J184" i="2" l="1"/>
  <c r="W174" i="2"/>
  <c r="N185" i="2"/>
  <c r="AA185" i="2" s="1"/>
  <c r="AA184" i="2"/>
  <c r="N186" i="2"/>
  <c r="AA186" i="2" s="1"/>
  <c r="X174" i="2"/>
  <c r="K184" i="2"/>
  <c r="P184" i="2"/>
  <c r="AC174" i="2"/>
  <c r="T184" i="2"/>
  <c r="AG174" i="2"/>
  <c r="Y174" i="2"/>
  <c r="L184" i="2"/>
  <c r="R184" i="2"/>
  <c r="AE174" i="2"/>
  <c r="AF174" i="2"/>
  <c r="S184" i="2"/>
  <c r="O184" i="2"/>
  <c r="AB174" i="2"/>
  <c r="AD174" i="2"/>
  <c r="Q184" i="2"/>
  <c r="I184" i="2"/>
  <c r="V174" i="2"/>
  <c r="Z184" i="2"/>
  <c r="M185" i="2"/>
  <c r="Z185" i="2" s="1"/>
  <c r="AH169" i="2"/>
  <c r="F36" i="4" s="1"/>
  <c r="AJ169" i="2"/>
  <c r="U174" i="2"/>
  <c r="E36" i="4"/>
  <c r="G36" i="4" s="1"/>
  <c r="H36" i="4" s="1"/>
  <c r="M186" i="2" l="1"/>
  <c r="Z186" i="2" s="1"/>
  <c r="I185" i="2"/>
  <c r="V184" i="2"/>
  <c r="AD184" i="2"/>
  <c r="Q185" i="2"/>
  <c r="AD185" i="2" s="1"/>
  <c r="Q186" i="2"/>
  <c r="AD186" i="2" s="1"/>
  <c r="P185" i="2"/>
  <c r="AC185" i="2" s="1"/>
  <c r="AC184" i="2"/>
  <c r="O185" i="2"/>
  <c r="AB185" i="2" s="1"/>
  <c r="AB184" i="2"/>
  <c r="S185" i="2"/>
  <c r="AF185" i="2" s="1"/>
  <c r="AF184" i="2"/>
  <c r="T185" i="2"/>
  <c r="AG185" i="2" s="1"/>
  <c r="AG184" i="2"/>
  <c r="X184" i="2"/>
  <c r="K185" i="2"/>
  <c r="X185" i="2" s="1"/>
  <c r="R185" i="2"/>
  <c r="AE185" i="2" s="1"/>
  <c r="AE184" i="2"/>
  <c r="Y184" i="2"/>
  <c r="L185" i="2"/>
  <c r="Y185" i="2" s="1"/>
  <c r="W184" i="2"/>
  <c r="J185" i="2"/>
  <c r="W185" i="2" s="1"/>
  <c r="E38" i="4"/>
  <c r="G38" i="4" s="1"/>
  <c r="H38" i="4" s="1"/>
  <c r="AJ174" i="2"/>
  <c r="E37" i="4"/>
  <c r="G37" i="4" s="1"/>
  <c r="H37" i="4" s="1"/>
  <c r="U184" i="2"/>
  <c r="AH174" i="2"/>
  <c r="R186" i="2" l="1"/>
  <c r="AE186" i="2" s="1"/>
  <c r="T186" i="2"/>
  <c r="AG186" i="2" s="1"/>
  <c r="O186" i="2"/>
  <c r="AB186" i="2" s="1"/>
  <c r="J186" i="2"/>
  <c r="W186" i="2" s="1"/>
  <c r="P186" i="2"/>
  <c r="AC186" i="2" s="1"/>
  <c r="K186" i="2"/>
  <c r="X186" i="2" s="1"/>
  <c r="I186" i="2"/>
  <c r="V186" i="2" s="1"/>
  <c r="V185" i="2"/>
  <c r="U185" i="2"/>
  <c r="U186" i="2" s="1"/>
  <c r="L186" i="2"/>
  <c r="Y186" i="2" s="1"/>
  <c r="S186" i="2"/>
  <c r="AF186" i="2" s="1"/>
  <c r="F37" i="4"/>
  <c r="F38" i="4"/>
  <c r="AH184" i="2"/>
  <c r="AJ184" i="2"/>
  <c r="E40" i="4" l="1"/>
  <c r="G40" i="4" s="1"/>
  <c r="H40" i="4" s="1"/>
  <c r="AH185" i="2"/>
  <c r="F40" i="4" s="1"/>
  <c r="AJ185" i="2"/>
  <c r="AH186" i="2"/>
  <c r="F41" i="4" s="1"/>
  <c r="E41" i="4"/>
  <c r="G41" i="4" s="1"/>
  <c r="H41" i="4" s="1"/>
  <c r="AJ186" i="2"/>
  <c r="U18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tc={86AC4FC4-F390-47A4-8D49-C7DDBCC08DBD}</author>
    <author>tc={B07EE866-2F3F-41A8-9FFF-F21E519CAF4D}</author>
  </authors>
  <commentList>
    <comment ref="B26" authorId="0" shapeId="0" xr:uid="{86AC4FC4-F390-47A4-8D49-C7DDBCC08DBD}">
      <text>
        <r>
          <rPr>
            <sz val="8.25"/>
            <color rgb="FF000000"/>
            <rFont val="Microsoft Sans Serif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ค่าธรรมเนี่ยมขายของ Grab/Lineman</t>
        </r>
      </text>
    </comment>
    <comment ref="B65" authorId="1" shapeId="0" xr:uid="{B07EE866-2F3F-41A8-9FFF-F21E519CAF4D}">
      <text>
        <r>
          <rPr>
            <sz val="8.25"/>
            <color rgb="FF000000"/>
            <rFont val="Microsoft Sans Serif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ใส่เป็นตัวเลขเท่ากับปีที่แล้ว (เดี๋ยว VM จะบริหารเอง)
</t>
        </r>
      </text>
    </comment>
  </commentList>
</comments>
</file>

<file path=xl/sharedStrings.xml><?xml version="1.0" encoding="utf-8"?>
<sst xmlns="http://schemas.openxmlformats.org/spreadsheetml/2006/main" count="1539" uniqueCount="744">
  <si>
    <t>บริษัท โรงพยาบาลสัตว์ทองหล่อ จำกัด</t>
  </si>
  <si>
    <t>January</t>
  </si>
  <si>
    <t>February</t>
  </si>
  <si>
    <t>March</t>
  </si>
  <si>
    <t>YTD</t>
  </si>
  <si>
    <t>รายได้</t>
  </si>
  <si>
    <t>รวมรายได้จาการขายและอื่นๆ</t>
  </si>
  <si>
    <t>ต้นทุนขายและค่าใช้จ่ายที่เกี่ยวข้อง</t>
  </si>
  <si>
    <t xml:space="preserve">   ค่าใช้จ่ายในการขาย</t>
  </si>
  <si>
    <t>ค่าใช้จ่ายในการบริหาร</t>
  </si>
  <si>
    <t xml:space="preserve">    เงินเดือนและสวัสดิการพนักงาน</t>
  </si>
  <si>
    <t xml:space="preserve">   ค่าอบรมสัมมนา</t>
  </si>
  <si>
    <t>Professional Fees</t>
  </si>
  <si>
    <t xml:space="preserve">   วัสดุสิ้นเปลือง</t>
  </si>
  <si>
    <t xml:space="preserve">   รวมวัสดุสิ้นเปลือง</t>
  </si>
  <si>
    <t xml:space="preserve">   ค่่าโฆษณาและส่งเสริมการขาย</t>
  </si>
  <si>
    <t xml:space="preserve">   ค่าซ่อมแซมและบำรุงรักษา</t>
  </si>
  <si>
    <t xml:space="preserve">   ค่าเข่า</t>
  </si>
  <si>
    <t xml:space="preserve">   ค่าใช้จ่ายในการเดินทาง</t>
  </si>
  <si>
    <t xml:space="preserve">   ค่าใช้จ่ายอื่น</t>
  </si>
  <si>
    <t>กำไร(ขาดทุน)ก่อนหักค่าเสื่อมราคา</t>
  </si>
  <si>
    <t>ค่าเสื่อมราคา</t>
  </si>
  <si>
    <t>Asset Movement</t>
  </si>
  <si>
    <t>กำไร (ขาดทุน)ก่อนหัก Back Office</t>
  </si>
  <si>
    <t>ค่าใช้จ่ายระหว่างกัน</t>
  </si>
  <si>
    <t>กำไร (ขาดทุน)ก่อนดอกเบี้ยและภาษี</t>
  </si>
  <si>
    <t>รายได้ค่าเช่า</t>
  </si>
  <si>
    <t>ดอกเบี้ย</t>
  </si>
  <si>
    <t>กำไร (ขาดทุน) ก่อนภาษี</t>
  </si>
  <si>
    <t>ภาษีเงินได้นิติบุคคล</t>
  </si>
  <si>
    <t>กำไร (ขาดทุน) สุทธิ</t>
  </si>
  <si>
    <t>April</t>
  </si>
  <si>
    <t>ผลต่าง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</si>
  <si>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</si>
  <si>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</si>
  <si>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</si>
  <si>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</si>
  <si>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</si>
  <si>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</si>
  <si>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</si>
  <si>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</si>
  <si>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     ค่าส่งเสริมการขาย</t>
  </si>
  <si>
    <t xml:space="preserve">      ค่าบริการวิชาชีพแพทย์</t>
  </si>
  <si>
    <t xml:space="preserve">      ค่าเช่าเครื่องมือแพทย์</t>
  </si>
  <si>
    <t xml:space="preserve">      ค่าวัสดุเครื่องมือแพทย์</t>
  </si>
  <si>
    <t xml:space="preserve">      ค่าเสื่อมราคา - เครื่องมือแพทย์</t>
  </si>
  <si>
    <t xml:space="preserve">      เงินเดือน</t>
  </si>
  <si>
    <t xml:space="preserve">      ค่าหัวหน้าฝ่ายวิชาการแพทย์</t>
  </si>
  <si>
    <t xml:space="preserve">      ค่าเช่ายานพาหนะ</t>
  </si>
  <si>
    <t xml:space="preserve">      เงินกองทุนสำรองเลี้ยงชีพ</t>
  </si>
  <si>
    <t xml:space="preserve">      ค่าสวัสดิการพนักงาน</t>
  </si>
  <si>
    <t xml:space="preserve">      เงินกองทุนประกันสังคม</t>
  </si>
  <si>
    <t xml:space="preserve">      ค่า Incentive</t>
  </si>
  <si>
    <t xml:space="preserve">      ค่า GF</t>
  </si>
  <si>
    <t xml:space="preserve">      ค่าอบรม&amp;สัมมนาพนักงาน</t>
  </si>
  <si>
    <t xml:space="preserve">      ค่าอบรม&amp;สัมมนาหมอ</t>
  </si>
  <si>
    <t xml:space="preserve">      ค่าอบรมISO</t>
  </si>
  <si>
    <t xml:space="preserve">      ค่าเครื่องเขียนแบบพิมพ์</t>
  </si>
  <si>
    <t xml:space="preserve">      ค่าอุปกรณ์สำนักงาน-ของใช้สิ้นเปลือง</t>
  </si>
  <si>
    <t xml:space="preserve">      ค่าเช่าเครื่องถ่ายเอกสาร</t>
  </si>
  <si>
    <t xml:space="preserve">      ค่าโฆษณา</t>
  </si>
  <si>
    <t xml:space="preserve">      ค่าโฆษณาหาคน</t>
  </si>
  <si>
    <t xml:space="preserve">      ค่า CRM</t>
  </si>
  <si>
    <t xml:space="preserve">      ค่าซ่อมแซมคอมพิวเตอร์</t>
  </si>
  <si>
    <t xml:space="preserve">      ค่าซ่อมแซมเครื่องใช้สำนักงาน</t>
  </si>
  <si>
    <t xml:space="preserve">      ค่าซ่อมแซมเครื่องตกแต่งและติดตั้ง</t>
  </si>
  <si>
    <t xml:space="preserve">      ค่าซ่อมแซมยานพาหนะ</t>
  </si>
  <si>
    <t xml:space="preserve">      ค่าซ่อมแซมเครื่องมือแพทย์</t>
  </si>
  <si>
    <t xml:space="preserve">      ค่าบำรุงรักษาโปรแกรม</t>
  </si>
  <si>
    <t xml:space="preserve">      ค่าบำรุงรักษาเครื่องใช้สำนักงาน</t>
  </si>
  <si>
    <t xml:space="preserve">      ค่าเช่าอาคาร</t>
  </si>
  <si>
    <t xml:space="preserve">      ค่าเช่าที่ดิน</t>
  </si>
  <si>
    <t xml:space="preserve">      ค่าบริการส่วนกลาง</t>
  </si>
  <si>
    <t xml:space="preserve">      ค่าพาหนะ</t>
  </si>
  <si>
    <t xml:space="preserve">      ค่าน้ำมัน</t>
  </si>
  <si>
    <t xml:space="preserve">      ค่าใช้จ่ายเดินทางต่างประเทศ</t>
  </si>
  <si>
    <t xml:space="preserve">      ค่ารับรอง</t>
  </si>
  <si>
    <t xml:space="preserve">      ค่าสมาชิก</t>
  </si>
  <si>
    <t xml:space="preserve">      ค่าทำความสะอาด</t>
  </si>
  <si>
    <t xml:space="preserve">      ค่าใช้จ่ายเบ็ดเตล็ด</t>
  </si>
  <si>
    <t xml:space="preserve">      ต้นทุนดอกเบี้ยผลประโยชน์พนักงาน</t>
  </si>
  <si>
    <t xml:space="preserve">      ต้นทุนดอกเบี้ยค่ารื้อถอนอาคาร</t>
  </si>
  <si>
    <t xml:space="preserve">      ผลต่างจากการตรวจนับ</t>
  </si>
  <si>
    <t xml:space="preserve">      ค่าสินค้าเสื่อมสภาพ</t>
  </si>
  <si>
    <t xml:space="preserve">      ค่าเสื่อมราคา - ป้ายสำนักงาน</t>
  </si>
  <si>
    <t xml:space="preserve">      ค่าเสื่อมราคา - คอมพิวเตอร์</t>
  </si>
  <si>
    <t xml:space="preserve">      ค่าเสื่อมราคา - ระบบ software</t>
  </si>
  <si>
    <t xml:space="preserve">      ค่าเสื่อมราคา - อาคารบนที่ดินเช่า</t>
  </si>
  <si>
    <t xml:space="preserve">      ค่าเสื่อมราคา - ส่วนต่อเติมตกแต่ง</t>
  </si>
  <si>
    <t xml:space="preserve">      ค่าเสื่อมราคา - ต้นทุนค่ารื้อถอน</t>
  </si>
  <si>
    <t xml:space="preserve">      ค่าเสื่อมราคา - เครื่องมือเครื่องใช้</t>
  </si>
  <si>
    <t xml:space="preserve">      ค่าเสื่อมราคา - เฟอร์นิเจอร์ &amp; เครื่องใช้สำนักงาน</t>
  </si>
  <si>
    <t xml:space="preserve">      ค่าเสื่อมราคา - ยานพาหนะ</t>
  </si>
  <si>
    <t xml:space="preserve">      ค่าเสื่อมราคา - อาคารและสิ่งปลูกสร้าง</t>
  </si>
  <si>
    <t>TOTAL</t>
  </si>
  <si>
    <t>อายุการใช้งาน</t>
  </si>
  <si>
    <t>รายละเอียด</t>
  </si>
  <si>
    <t>ลงระหว่างเดือน</t>
  </si>
  <si>
    <t>รวม</t>
  </si>
  <si>
    <t>งบประมาณที่ใช้</t>
  </si>
  <si>
    <t>Act จริง</t>
  </si>
  <si>
    <t>สัดส่วน/ยอดขาย</t>
  </si>
  <si>
    <t>ส้ดส่วน/ยอดขาย</t>
  </si>
  <si>
    <t>% การโต</t>
  </si>
  <si>
    <t>ลงระหว่างเดือนใน Budget</t>
  </si>
  <si>
    <t>ต่อเดือน</t>
  </si>
  <si>
    <t xml:space="preserve">        รายได้จากการขาย - OPD/IPD</t>
  </si>
  <si>
    <t xml:space="preserve">        รายได้จากการขาย - Grooming</t>
  </si>
  <si>
    <t xml:space="preserve">        รายได้จากการขาย - Petshop</t>
  </si>
  <si>
    <t xml:space="preserve">        รายได้จากการขาย - Swimming</t>
  </si>
  <si>
    <t xml:space="preserve">        รายได้จากการขาย - Pettaxi</t>
  </si>
  <si>
    <t>สรุปค่าใช้จ่ายทั้งสิ้น</t>
  </si>
  <si>
    <t>สัดส่วน</t>
  </si>
  <si>
    <t>ยอด</t>
  </si>
  <si>
    <t>รวมค่าใช้จ่ายในการบริหาร</t>
  </si>
  <si>
    <t>% การเปลี่ยน</t>
  </si>
  <si>
    <t>THONGLOR PET HOSPITAL COMPANY LIMITED</t>
  </si>
  <si>
    <t>รายได้จากการขายและอื่นๆ</t>
  </si>
  <si>
    <t>รายได้จากการขาย - OPD/IPD</t>
  </si>
  <si>
    <t>รายได้จากการขาย - Grooming</t>
  </si>
  <si>
    <t>รายได้จากการขาย - Petshop</t>
  </si>
  <si>
    <t>รายได้จากการขาย - Swimming</t>
  </si>
  <si>
    <t>รายได้จากการขาย - Pettaxi</t>
  </si>
  <si>
    <t>รายได้จากการขาย - อื่นๆ</t>
  </si>
  <si>
    <t>หัก รับคืน</t>
  </si>
  <si>
    <t>หัก ส่วนลดจ่าย</t>
  </si>
  <si>
    <t>รายได้อื่นๆ</t>
  </si>
  <si>
    <t>ต้นทุนขาย</t>
  </si>
  <si>
    <t>ต้นทุนขายสินค้า PH</t>
  </si>
  <si>
    <t>ต้นทุนขายสินค้า PC</t>
  </si>
  <si>
    <t>หัก ส่วนลดรับ</t>
  </si>
  <si>
    <t>รวมต้นทุนขาย</t>
  </si>
  <si>
    <t>ค่าใช้จ่ายในการขาย</t>
  </si>
  <si>
    <t>ค่าใช้จ่ายในการขาย และค่าธรรมเนียม</t>
  </si>
  <si>
    <t>ค่าส่งเสริมการขาย</t>
  </si>
  <si>
    <t>ค่าชันสูตรโรค</t>
  </si>
  <si>
    <t>ค่าส่งเผา</t>
  </si>
  <si>
    <t>ค่าตรวจเลือด</t>
  </si>
  <si>
    <t>ค่าตรวจเลือดภายใน</t>
  </si>
  <si>
    <t>ค่าเช่าเครื่องมือภายใน</t>
  </si>
  <si>
    <t>ค่าบริการวิชาชีพแพทย์</t>
  </si>
  <si>
    <t>ค่าเช่าเครื่องมือแพทย์</t>
  </si>
  <si>
    <t>ค่าวัสดุเครื่องมือแพทย์</t>
  </si>
  <si>
    <t>ค่าเสื่อมราคา - เครื่องมือแพทย์</t>
  </si>
  <si>
    <t>รวมค่าใช้จ่ายในการขาย</t>
  </si>
  <si>
    <t>ค่ายานพาหนะ</t>
  </si>
  <si>
    <t>ค่าขนส่งในประเทศ</t>
  </si>
  <si>
    <t>รวมค่ายานพาหนะ</t>
  </si>
  <si>
    <t>รวมต้นทุนขายและค่าใช้จ่ายในการขาย</t>
  </si>
  <si>
    <t>เงินเดือนและสวัสดิการพนักงาน</t>
  </si>
  <si>
    <t>เงินเดือน</t>
  </si>
  <si>
    <t>ค่าหัวหน้าฝ่ายวิชาการแพทย์</t>
  </si>
  <si>
    <t>เงินเดือนพยาบาล</t>
  </si>
  <si>
    <t>ค่าพยาบาลพิเศษ</t>
  </si>
  <si>
    <t>ค่าเช่ายานพาหนะ</t>
  </si>
  <si>
    <t>ค่าวัดระดับ</t>
  </si>
  <si>
    <t>ค่าล่วงเวลา</t>
  </si>
  <si>
    <t>โบนัส</t>
  </si>
  <si>
    <t>เงินกองทุนสำรองเลี้ยงชีพ</t>
  </si>
  <si>
    <t>ค่าสวัสดิการพนักงาน</t>
  </si>
  <si>
    <t>เงินกองทุนประกันสังคม</t>
  </si>
  <si>
    <t>ค่าเบี้ยประกันชีวิตพนักงาน</t>
  </si>
  <si>
    <t>ค่าแรงงาน</t>
  </si>
  <si>
    <t>ค่า Incentive</t>
  </si>
  <si>
    <t>ค่า GF</t>
  </si>
  <si>
    <t>ต้นทุนบริการผลประโยชน์พนักงาน</t>
  </si>
  <si>
    <t>รวมเงินเดือนและสวัสดิการพนักงาน</t>
  </si>
  <si>
    <t>ค่าอบรมสัมมนา</t>
  </si>
  <si>
    <t>ค่าอบรม&amp;สัมมนาพนักงาน</t>
  </si>
  <si>
    <t>ค่าอบรม&amp;สัมมนาหมอ</t>
  </si>
  <si>
    <t>ค่าอบรมISO</t>
  </si>
  <si>
    <t>รวมค่าอบรมสัมมนา</t>
  </si>
  <si>
    <t>ค่าสอบบัญชี</t>
  </si>
  <si>
    <t>ค่าที่ปรึกษา</t>
  </si>
  <si>
    <t>ค่าที่ปรึกษากฎหมาย</t>
  </si>
  <si>
    <t>เงินเดือนล่าม</t>
  </si>
  <si>
    <t>รวม Professional Fees</t>
  </si>
  <si>
    <t>ค่าธรรมเนียม</t>
  </si>
  <si>
    <t>ค่าบริการสอบเทียบ</t>
  </si>
  <si>
    <t>ค่าธรรมเนียมอื่นๆ</t>
  </si>
  <si>
    <t>ค่าธรรมเนียมธนาคาร</t>
  </si>
  <si>
    <t>รวมค่าธรรมเนียม</t>
  </si>
  <si>
    <t>วัสดุสิ้นเปลือง</t>
  </si>
  <si>
    <t>ค่าเครื่องเขียนแบบพิมพ์</t>
  </si>
  <si>
    <t>ค่าอุปกรณ์สำนักงาน-ของใช้สิ้นเปลือง</t>
  </si>
  <si>
    <t>ค่าเช่าเครื่องถ่ายเอกสาร</t>
  </si>
  <si>
    <t>รวมวัสดุสิ้นเปลือง</t>
  </si>
  <si>
    <t>ค่่าโฆษณาและส่งเสริมการขาย</t>
  </si>
  <si>
    <t>ค่าโฆษณา</t>
  </si>
  <si>
    <t>ค่าโฆษณาหาคน</t>
  </si>
  <si>
    <t>ค่า CRM</t>
  </si>
  <si>
    <t>รวมค่าโฆษณาและส่งเสริมการขาย</t>
  </si>
  <si>
    <t>ค่าซ่อมแซมและบำรุงรักษา</t>
  </si>
  <si>
    <t>ค่าซ่อมแซมคอมพิวเตอร์</t>
  </si>
  <si>
    <t>ค่าซ่อมแซมเครื่องใช้สำนักงาน</t>
  </si>
  <si>
    <t>ค่าซ่อมแซมเครื่องตกแต่งและติดตั้ง</t>
  </si>
  <si>
    <t>ค่าซ่อมแซมยานพาหนะ</t>
  </si>
  <si>
    <t>ค่าซ่อมแซมเครื่องมือแพทย์</t>
  </si>
  <si>
    <t>ค่าบำรุงรักษาโปรแกรม</t>
  </si>
  <si>
    <t>ค่าบำรุงรักษาเครื่องใช้สำนักงาน</t>
  </si>
  <si>
    <t>รวมค่าซ่อมแซมและค่าบำรุงรักษา</t>
  </si>
  <si>
    <t>ค่าสาธารณูปโภค</t>
  </si>
  <si>
    <t>ค่าโทรศัพท์</t>
  </si>
  <si>
    <t>ค่าน้ำประปา</t>
  </si>
  <si>
    <t>ค่าไฟฟ้า</t>
  </si>
  <si>
    <t>ค่าบริจาค</t>
  </si>
  <si>
    <t>ค่าประกันภัย</t>
  </si>
  <si>
    <t>ค่าเช่าอื่นๆ</t>
  </si>
  <si>
    <t>ค่าบริการ Internet</t>
  </si>
  <si>
    <t>ค่าเก็บขยะ</t>
  </si>
  <si>
    <t>ค่า Pettaxi ภายใน</t>
  </si>
  <si>
    <t>ค่ารักษาความปลอดภัย</t>
  </si>
  <si>
    <t>ค่าใช้จ่ายทางไปรษณีย์</t>
  </si>
  <si>
    <t>รวมค่าสาธารณูปโภค</t>
  </si>
  <si>
    <t>ค่าเข่า</t>
  </si>
  <si>
    <t>ค่าเช่าอาคาร</t>
  </si>
  <si>
    <t>ค่าเช่าที่ดิน</t>
  </si>
  <si>
    <t>ค่าบริการส่วนกลาง</t>
  </si>
  <si>
    <t>รวมค่าเช่า</t>
  </si>
  <si>
    <t>ค่าใช้จ่ายในการเดินทาง</t>
  </si>
  <si>
    <t>ค่าพาหนะ</t>
  </si>
  <si>
    <t>ค่าน้ำมัน</t>
  </si>
  <si>
    <t>ค่าใช้จ่ายเดินทางต่างประเทศ</t>
  </si>
  <si>
    <t>รวมค่าใช้จ่ายในการเดินทาง</t>
  </si>
  <si>
    <t>ค่าใช้จ่ายอื่น</t>
  </si>
  <si>
    <t>ค่ารับรอง</t>
  </si>
  <si>
    <t>ค่าสมาชิก</t>
  </si>
  <si>
    <t>ค่าทำความสะอาด</t>
  </si>
  <si>
    <t>ค่าใช้จ่ายเบ็ดเตล็ด</t>
  </si>
  <si>
    <t>ต้นทุนดอกเบี้ยผลประโยชน์พนักงาน</t>
  </si>
  <si>
    <t>ต้นทุนดอกเบี้ยค่ารื้อถอนอาคาร</t>
  </si>
  <si>
    <t>ผลต่างจากการตรวจนับ</t>
  </si>
  <si>
    <t>ค่าสินค้าเสื่อมสภาพ</t>
  </si>
  <si>
    <t>รวมค่าใช้จ่ายอื่น</t>
  </si>
  <si>
    <t>ภาษี</t>
  </si>
  <si>
    <t>ภาษีมูลค่าเพิ่มที่ไม่สามารถเครดิตได้</t>
  </si>
  <si>
    <t>ภาษีโรงเรือน</t>
  </si>
  <si>
    <t>เงินเพิ่มและเบี้ยปรับภาษีอากร</t>
  </si>
  <si>
    <t>ภาษีป้าย</t>
  </si>
  <si>
    <t>ค่าใช้จ่ายภาษีเงินได้รอการตัดบัญชี</t>
  </si>
  <si>
    <t>ภาษีธุรกิจเฉพาะ</t>
  </si>
  <si>
    <t>ภาษีอื่นๆ</t>
  </si>
  <si>
    <t>รวมภาษี</t>
  </si>
  <si>
    <t>ค่าใช้จ่ายตัดบัญชี</t>
  </si>
  <si>
    <t>หนี้สูญ</t>
  </si>
  <si>
    <t>หนี้สงสัยจะสูญ</t>
  </si>
  <si>
    <t>ค่าความเสียหายจากการทำงาน</t>
  </si>
  <si>
    <t>รวมค่าใช้จ่ายตัดบัญชี</t>
  </si>
  <si>
    <t>ค่าสิทธิการเช่าอาคารตัดจ่าย</t>
  </si>
  <si>
    <t>ค่าเสื่อมราคา - ป้ายสำนักงาน</t>
  </si>
  <si>
    <t>ค่าเสื่อมราคา - คอมพิวเตอร์</t>
  </si>
  <si>
    <t>ค่าเสื่อมราคา - ระบบ software</t>
  </si>
  <si>
    <t>ค่าเสื่อมราคา - อาคารบนที่ดินเช่า</t>
  </si>
  <si>
    <t>ค่าเสื่อมราคา - ส่วนต่อเติมตกแต่ง</t>
  </si>
  <si>
    <t>ค่าเสื่อมราคา - ต้นทุนค่ารื้อถอน</t>
  </si>
  <si>
    <t>ค่าเสื่อมราคา - เครื่องมือเครื่องใช้</t>
  </si>
  <si>
    <t>ค่าเสื่อมราคา - เฟอร์นิเจอร์ &amp; เครื่องใช้สำนักงาน</t>
  </si>
  <si>
    <t>ค่าเสื่อมราคา - ยานพาหนะ</t>
  </si>
  <si>
    <t>ค่าเสื่อมราคา - อาคารและสิ่งปลูกสร้าง</t>
  </si>
  <si>
    <t>ค่าเสื่อมราคา-สินทรัพย์สิทธิการใช้</t>
  </si>
  <si>
    <t>ค่าเสื่อมราคา-อาคารและสิ่งปลูกสร้าง-IP</t>
  </si>
  <si>
    <t>ค่าเสื่อมราคา-สินทรัพย์สิทธิการใช้-IP</t>
  </si>
  <si>
    <t>รวมค่าเสื่อมราคา</t>
  </si>
  <si>
    <t>กำไร(ขาดทุน)จากการขายทรัพย์สินถาวร</t>
  </si>
  <si>
    <t>ขาดทุนจากการตัดจำหน่ายทรัพย์สิน</t>
  </si>
  <si>
    <t>รวม Asset Movement</t>
  </si>
  <si>
    <t>ค่าใช้จ่ายระหว่างกัน Back Office</t>
  </si>
  <si>
    <t>ค่าใช้จ่ายระหว่างกัน Admin</t>
  </si>
  <si>
    <t>รวมค่าใช้จ่ายระหว่างกัน</t>
  </si>
  <si>
    <t>ดอกเบี้ยเงินกู้ระยะสั้น</t>
  </si>
  <si>
    <t>ดอกเบี้ยเงินกู้ระยะยาว</t>
  </si>
  <si>
    <t>ดอกเบี้ยจ่าย-บริษัทในเครือ</t>
  </si>
  <si>
    <t>ดอกเบี้ยเช่าซื้อ</t>
  </si>
  <si>
    <t>ดอกเบี้ยจ่าย-สินทรัพย์สิทธิการใช้</t>
  </si>
  <si>
    <t>ดอกเบี้ยจ่าย-สินทรัพย์สิทธิการใช้-IP</t>
  </si>
  <si>
    <t>รวมดอกเบี้ยธนาคาร</t>
  </si>
  <si>
    <t>ลำดับ</t>
  </si>
  <si>
    <t>ตำแหน่ง</t>
  </si>
  <si>
    <t>จำนวนคนใหม่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</si>
  <si>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</si>
  <si>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</si>
  <si>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</si>
  <si>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</si>
  <si>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</si>
  <si>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</si>
  <si>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</si>
  <si>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</si>
  <si>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</si>
  <si>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</si>
  <si>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</si>
  <si>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Total</t>
  </si>
  <si>
    <t>งบประมาณ ด้านกำลังคน ใหม่</t>
  </si>
  <si>
    <t>โรงพยาบาลสัตว์ทองหล่อ ทองหล่อ</t>
  </si>
  <si>
    <t>No.</t>
  </si>
  <si>
    <t>ตำแหน่งงาน (ไทย)</t>
  </si>
  <si>
    <t>เจ้าหน้าที่ LAB</t>
  </si>
  <si>
    <t>เจ้าหน้าที่ ซักล้าง</t>
  </si>
  <si>
    <t>เจ้าหน้าที่ IPD</t>
  </si>
  <si>
    <t>เจ้าหน้าที่ OPD</t>
  </si>
  <si>
    <t>เจ้ากหน้าที่ สนับสนุนและวินิจฉัย</t>
  </si>
  <si>
    <t>เจ้าหน้าที่ Reception</t>
  </si>
  <si>
    <t>เจ้าหน้าที่ Pharmacy</t>
  </si>
  <si>
    <t>เจ้าหน้าที่ Front Office</t>
  </si>
  <si>
    <t>เจ้าหน้าที่ PA</t>
  </si>
  <si>
    <t>เจ้าหน้าที่ เครื่องมือแพทย์</t>
  </si>
  <si>
    <t>เจ้าหน้าที่ แม่บ้าน</t>
  </si>
  <si>
    <t>เจ้าหน้าที่ รับรถ</t>
  </si>
  <si>
    <t>เจ้าหน้าที่ Pet Taxi</t>
  </si>
  <si>
    <t>เจ้าหน้าที่ Grooming</t>
  </si>
  <si>
    <t>เจ้าหน้าที่ Pet Shop</t>
  </si>
  <si>
    <t>เจ้าหน้าที่ Cashier</t>
  </si>
  <si>
    <t>เจ้าหน้าที่ ICU</t>
  </si>
  <si>
    <t>เจ้าหน้าที่ INF</t>
  </si>
  <si>
    <t>เจ้าหน้าที่ SCU</t>
  </si>
  <si>
    <t>เจ้าหน้าที่ VIP</t>
  </si>
  <si>
    <t xml:space="preserve">เจ้าหน้าที่ Customer Service (ล่าม)
</t>
  </si>
  <si>
    <t>เจ้าหน้าที่ คลีนิกพิเศษ1</t>
  </si>
  <si>
    <t>เจ้าหน้าที่ คลีนิกพิเศษ2</t>
  </si>
  <si>
    <t>เจ้าหน้าที่ คลีนิกอายุรกรรมทั่วไป1</t>
  </si>
  <si>
    <t>เจ้าหน้าที่ คลีนิกอายุรกรรมทั่วไป2</t>
  </si>
  <si>
    <t>เจ้าหน้าที่ PPA</t>
  </si>
  <si>
    <t xml:space="preserve">รองผอ.สายงานบริหารสัตวแพทย์
</t>
  </si>
  <si>
    <t xml:space="preserve">ผจก.บริหารสัตวแพทย์
</t>
  </si>
  <si>
    <t xml:space="preserve">ผจก.ฝ่ายคุณภาพสัตวแพทย์
</t>
  </si>
  <si>
    <t xml:space="preserve">หัวหน้าแผนกคุณภาพสัตวแพทย์
</t>
  </si>
  <si>
    <t xml:space="preserve">รองผู้จัดการฝ่ายการพยาบาลและงานพยาบาลสัมพันธ์
</t>
  </si>
  <si>
    <t>เจ้าหน้าที่ประสานงานสัตวแพทย์</t>
  </si>
  <si>
    <t xml:space="preserve">หัวหน้าหน่วยสัตวแพทย์คลินิกพิเศษ
</t>
  </si>
  <si>
    <t xml:space="preserve">หัวหน้าหน่วยสัตวแพทย์สาขา
</t>
  </si>
  <si>
    <t xml:space="preserve">เจ้าหน้าที่สื่อสารสัตวแพทย์
</t>
  </si>
  <si>
    <t xml:space="preserve">เจ้าหน้าที่คุณภาพสัตวแพทย์
</t>
  </si>
  <si>
    <t xml:space="preserve">เจ้าหน้าที่สัตวแพทย์
</t>
  </si>
  <si>
    <t xml:space="preserve">ผู้อำนวยการสายงานปฎิบัติการ BU
</t>
  </si>
  <si>
    <t>รองผู้อำนวยการฝ่ายปฎิบัติการ</t>
  </si>
  <si>
    <t>รองผู้จัดการสาขา</t>
  </si>
  <si>
    <t>ผู้จัดการเขต</t>
  </si>
  <si>
    <t>ผู้จัดการฝ่ายPet Care</t>
  </si>
  <si>
    <t>ผู้จัดการสาขา</t>
  </si>
  <si>
    <t>ผู้จัดการฝ่าย FRONT OFFICE</t>
  </si>
  <si>
    <t>ผู้จัดการฝ่าย เภสัชกรรมและแคชเชียร์</t>
  </si>
  <si>
    <t>ผู้จัดการฝ่าย สนับสนุนและวินิจฉัย</t>
  </si>
  <si>
    <t xml:space="preserve">ผู้จัดการฝ่าย OPD </t>
  </si>
  <si>
    <t xml:space="preserve">ผู้จัดการฝ่าย IPD   </t>
  </si>
  <si>
    <t>หัวหน้าแผนกสนับสนุนและวินิจฉัย</t>
  </si>
  <si>
    <t>หัวหน้าแผนก LAB</t>
  </si>
  <si>
    <t>หัวหน้าแผนก Pharmacy</t>
  </si>
  <si>
    <t>หัวหน้าแผนก Pet Shop</t>
  </si>
  <si>
    <t xml:space="preserve">หัวหน้าแผนกGrooming </t>
  </si>
  <si>
    <t>หัวหน้าแผนก Cashier</t>
  </si>
  <si>
    <t>หัวหน้าหน่วย LAB</t>
  </si>
  <si>
    <t>หัวหน้าหน่วย แม่บ้าน</t>
  </si>
  <si>
    <t>หัวหน้าแผนก Pet Shop &amp; Pet Taxi</t>
  </si>
  <si>
    <t>หัวหน้าหน่วย สนับสนุนและวินิจฉัย</t>
  </si>
  <si>
    <t>หัวหน้าหน่วย Reception</t>
  </si>
  <si>
    <t>หัวหน้าหน่วย Pharmacy</t>
  </si>
  <si>
    <t>หัวหน้าหน่วย Pet Shop &amp; Pet Taxi</t>
  </si>
  <si>
    <t>หัวหน้าหน่วย PA</t>
  </si>
  <si>
    <t>หัวหน้าหน่วย Cashier</t>
  </si>
  <si>
    <t>หัวหน้าหน่วย Front Office</t>
  </si>
  <si>
    <t>หัวหน้าแผนก คลินิกอายุรกรรมทั่วไป</t>
  </si>
  <si>
    <t>หัวหน้าแผนก คลินิกพิเศษ</t>
  </si>
  <si>
    <t>หัวหน้าหน่วย IPD</t>
  </si>
  <si>
    <t>หัวหน้าแผนกผู้ป่วยในทั่วไป</t>
  </si>
  <si>
    <t>หัวหน้าแผนกผู้ป่วยในพิเศษ</t>
  </si>
  <si>
    <t>หัวหน้าหน่วย Pet Shop</t>
  </si>
  <si>
    <t>หัวหน้าหน่วย Grooming</t>
  </si>
  <si>
    <t>หัวหน้าหน่วย OPD</t>
  </si>
  <si>
    <t>หัวหน้าหน่วย ICU</t>
  </si>
  <si>
    <t>หัวหน้าหน่วย INF</t>
  </si>
  <si>
    <t>หัวหน้าหน่วย SCU</t>
  </si>
  <si>
    <t>หัวหน้าหน่วย VIP</t>
  </si>
  <si>
    <t>หัวหน้าหน่วย คลีนิกพิเศษ1</t>
  </si>
  <si>
    <t>หัวหน้าหน่วย คลีนิกพิเศษ2</t>
  </si>
  <si>
    <t>หัวหน้าหน่วย คลีนิกอายุรกรรมทั่วไป1</t>
  </si>
  <si>
    <t>หัวหน้าหน่วย คลีนิกอายุรกรรมทั่วไป2</t>
  </si>
  <si>
    <t>เจ้าหน้าที่Front Office Support</t>
  </si>
  <si>
    <t>เจ้าหน้าที่ แม่บ้านSupport</t>
  </si>
  <si>
    <t>เจ้าหน้าที่Nurse Supoort</t>
  </si>
  <si>
    <t>หัวหน้าแผนก Front Office</t>
  </si>
  <si>
    <t>หัวหน้าหน่วย PPA</t>
  </si>
  <si>
    <t>ผู้จัดการฝ่ายบัญชี</t>
  </si>
  <si>
    <t>ผู้จัดการฝ่ายการเงิน</t>
  </si>
  <si>
    <t>ผู้จัดการฝ่ายจัดซื้อและคลังสินค้า</t>
  </si>
  <si>
    <t>ผู้จัดการฝ่ายทรัพยากรมนุษย์</t>
  </si>
  <si>
    <t>ผู้จัดการฝ่าย Marketing</t>
  </si>
  <si>
    <t>ผู้จัดการฝ่ายพัฒนาธุรกิจใหม่</t>
  </si>
  <si>
    <t>ผู้จัดการฝ่ายคุมคุณภาพองค์กร</t>
  </si>
  <si>
    <t xml:space="preserve">หัวหน้าแผนก Compensation&amp;Benefit
</t>
  </si>
  <si>
    <t>หัวหน้าแผนกบัญชี</t>
  </si>
  <si>
    <t>หัวหน้าแผนกจัดซื้อ</t>
  </si>
  <si>
    <t xml:space="preserve">หัวหน้าแผนก Recruitment&amp;Development
</t>
  </si>
  <si>
    <t>หัวหน้าแผนกคลังสินค้า</t>
  </si>
  <si>
    <t>หัวหน้าแผนก Pet Shop Support</t>
  </si>
  <si>
    <t>หัวหน้าแผนก Grooming Support</t>
  </si>
  <si>
    <t>ผู้จัดการฝ่าย CRM</t>
  </si>
  <si>
    <t>ผู้อำนวยการเทคโนโลยีสารสนเทศ</t>
  </si>
  <si>
    <t>รองผู้อำนวยการสายงาน Pet Care</t>
  </si>
  <si>
    <t xml:space="preserve">ผู้อำนวยการสายงานกลยุทธ์และพัฒนาธุรกิจ
</t>
  </si>
  <si>
    <t>หัวหน้าแผนกควบคุมคุณภาพ</t>
  </si>
  <si>
    <t>หัวหน้าหน่วย Online Marketing</t>
  </si>
  <si>
    <t>หัวหน้าหน่วยบัญชี</t>
  </si>
  <si>
    <t>หัวหน้าหน่วยคลังสินค้า</t>
  </si>
  <si>
    <t xml:space="preserve">หัวหน้าหน่วยจัดซื้อ  </t>
  </si>
  <si>
    <t xml:space="preserve">หัวหน้าหน่วยPR&amp;Evant Marketing
</t>
  </si>
  <si>
    <t>หัวหน้าหน่วยบริหารอาคาร</t>
  </si>
  <si>
    <t xml:space="preserve">ผู้จัดการฝ่าย E-Commerce
</t>
  </si>
  <si>
    <t xml:space="preserve">ผู้จัดการฝ่าย พัฒนาแบรนด์และเทรดดิ้ง
</t>
  </si>
  <si>
    <t>ผู้จัดการฝ่ายกลยุทธ์และพัฒนาธุรกิจ</t>
  </si>
  <si>
    <t>หัวหน้าหน่วยควบคุมคุณภาพ</t>
  </si>
  <si>
    <t>เจ้าหน้าที่บัญชี</t>
  </si>
  <si>
    <t>เจ้าหน้าที่การเงิน</t>
  </si>
  <si>
    <t>เจ้าหน้าที่คลังสินค้า</t>
  </si>
  <si>
    <t>เจ้าหน้าที่จัดซื้อ</t>
  </si>
  <si>
    <t>เจ้าหน้าที่Network &amp; Sacurity Administrator</t>
  </si>
  <si>
    <t>เจ้าหน้าที่บริหารอาคาร</t>
  </si>
  <si>
    <t>เจ้าหน้าที่สรรหาคัดเลือก</t>
  </si>
  <si>
    <t>เจ้าหน้าที่อบรมพัฒนา</t>
  </si>
  <si>
    <t>เจ้าหน้าที่ตรวจนับสินค้า</t>
  </si>
  <si>
    <t>เจ้าหน้าที่ PR &amp; Event Marketing</t>
  </si>
  <si>
    <t>เจ้าหน้าที่คุณภาพองค์กร</t>
  </si>
  <si>
    <t>เจ้าหน้าที่ขนส่งสินค้า</t>
  </si>
  <si>
    <t>เจ้าหน้าที่ IT Helpdesk Support</t>
  </si>
  <si>
    <t>เจ้าหน้าที่ Online Marketing</t>
  </si>
  <si>
    <t>เจ้าหน้าที่ Marketing Executive Production</t>
  </si>
  <si>
    <t>เจ้าหน้าที่ System Administrator</t>
  </si>
  <si>
    <t>หัวหน้าหน่วย Marketing Executive Media PR Event Promotion</t>
  </si>
  <si>
    <t>หัวหน้าหน่วย Graphic and Event</t>
  </si>
  <si>
    <t>ผู้จัดการฝ่ายวิเคราะห์ข้อมูล business intelligence</t>
  </si>
  <si>
    <t>ผู้จัดการฝ่ายเทคโนโลยีสารสนเทศ</t>
  </si>
  <si>
    <t>ผู้จัดการฝ่ายอาคารสถานที่</t>
  </si>
  <si>
    <t xml:space="preserve">ผู้จัดการฝ่าย Sale&amp;Area
</t>
  </si>
  <si>
    <t>เจ้าหน้าที่ RPA Developer</t>
  </si>
  <si>
    <t>เจ้าหน้าที่ Software Developer</t>
  </si>
  <si>
    <t xml:space="preserve">หัวหน้าหน่วยกลยุทธ์และพัฒนาธุรกิจ
</t>
  </si>
  <si>
    <t xml:space="preserve">หัวหน้าแผนก E-Commerce
</t>
  </si>
  <si>
    <t xml:space="preserve">หัวหน้าหน่วย E-Commerce
</t>
  </si>
  <si>
    <t>เจ้าหน้าที่ Branded</t>
  </si>
  <si>
    <t>เจ้าหน้าที่ Sale &amp; Area</t>
  </si>
  <si>
    <t>เจ้าหน้าที่ Call Center</t>
  </si>
  <si>
    <t>เจ้าหน้าที่ Admin</t>
  </si>
  <si>
    <t xml:space="preserve">เจ้าหน้าที่ Content Vet Marketing
</t>
  </si>
  <si>
    <t>หัวหน้าแผนกอบรมและพัฒนา</t>
  </si>
  <si>
    <t>เจ้าหน้าที่ Content Marketing</t>
  </si>
  <si>
    <t>ผู้จัดการฝ่ายวิเคราะห์ข้อมูล (business intelligence)</t>
  </si>
  <si>
    <t>ผู้อำนวยการฝ่ายการตลาดและพัฒนาธุรกิจ</t>
  </si>
  <si>
    <t>ผู้อำนวยการฝ่ายทรัพยากรมนุษย์</t>
  </si>
  <si>
    <t>ผู้อำนวยการสายงาน Pet Care</t>
  </si>
  <si>
    <t>ผู้อำนวยการสายงาน คุณภาพองค์กร</t>
  </si>
  <si>
    <t>ผู้จัดการฝ่ายปฎิบัติการ Pet Care</t>
  </si>
  <si>
    <t xml:space="preserve">เจ้าหน้าที่ Compensation&amp;Benefit
</t>
  </si>
  <si>
    <t>เจ้าหน้าที่ Grooming Support</t>
  </si>
  <si>
    <t>เจ้าหน้าที่ สถาปนิก</t>
  </si>
  <si>
    <t xml:space="preserve">เจ้าหน้าที่ Packing
</t>
  </si>
  <si>
    <t xml:space="preserve">เจ้าหน้าที่ ขายสินค้า Brand Dr. Choice 
</t>
  </si>
  <si>
    <t xml:space="preserve">เจ้าหน้าที่ Application Specialist
</t>
  </si>
  <si>
    <t>เจ้าหน้าที่ System Analyst</t>
  </si>
  <si>
    <t>หัวหน้าหน่วย Call Center</t>
  </si>
  <si>
    <t>เจ้าหน้าที่ Call Center (ผู้ชำนาญการ)</t>
  </si>
  <si>
    <t>ผู้จัดการ ฝ่ายE-Commerce</t>
  </si>
  <si>
    <t>งบประมาณ</t>
  </si>
  <si>
    <t>เครื่องมือแพทย์</t>
  </si>
  <si>
    <t>ราคาซื้อ</t>
  </si>
  <si>
    <t>Ultasound</t>
  </si>
  <si>
    <t>Syringe pump</t>
  </si>
  <si>
    <t>Infusion pump (ให้เลือดได้)</t>
  </si>
  <si>
    <t>Monitor</t>
  </si>
  <si>
    <t>Capnostat</t>
  </si>
  <si>
    <t>Monitor + Capnostat</t>
  </si>
  <si>
    <t>Refractometer</t>
  </si>
  <si>
    <t>Slit lamp</t>
  </si>
  <si>
    <t>Data logger</t>
  </si>
  <si>
    <t>Infusion pump</t>
  </si>
  <si>
    <t>ไฟผ่าตัด(Mobile)</t>
  </si>
  <si>
    <t>Probe ultrasound</t>
  </si>
  <si>
    <t>แว่นขยายใส่ผ่าตัด</t>
  </si>
  <si>
    <t>ไฟติดศีรษะสำหรับผ่าตัด</t>
  </si>
  <si>
    <t>Stethoscope</t>
  </si>
  <si>
    <t>Telepack</t>
  </si>
  <si>
    <t>Telecam</t>
  </si>
  <si>
    <t>Tonovet</t>
  </si>
  <si>
    <t>Hand Lens</t>
  </si>
  <si>
    <t>เครื่อง Laser</t>
  </si>
  <si>
    <t>DR Xray</t>
  </si>
  <si>
    <t>CT Scan</t>
  </si>
  <si>
    <t>Warm Air</t>
  </si>
  <si>
    <t>Warm Pad</t>
  </si>
  <si>
    <t>เครื่องกดนับแยกชนิดเม็ดเลือดขาว</t>
  </si>
  <si>
    <t>เครื่องขูดหินปูน</t>
  </si>
  <si>
    <t>เครื่องจี้ไฟฟ้า</t>
  </si>
  <si>
    <t>Ventilator</t>
  </si>
  <si>
    <t>เครื่องชั่งน้ำหนัก(Electronic_Honto_02E_300kg_1*1 M)</t>
  </si>
  <si>
    <t>เครื่องชั่งน้ำหนัก(Electronic_Honto_HAW_15kg_230*290 mm)</t>
  </si>
  <si>
    <t>เครื่องชั่งน้ำหนัก(Electronic_Honto_02-7E_300kg_60*80 cm)</t>
  </si>
  <si>
    <t>เครื่องซีล</t>
  </si>
  <si>
    <t>Suction(ครื่องดูดเสมหะแบบพกพา Yuwell รุ่น 7E-A)</t>
  </si>
  <si>
    <t>Suction(เครื่องดูดเสมหะไฟฟ้า Suction รุ่น 7A-23B)</t>
  </si>
  <si>
    <t>Suction(เครื่องดูดเสมหะไฟฟ้า(เครื่องดูดเสมหะไฟฟ้า Suction รุ่น 7A-23B)</t>
  </si>
  <si>
    <t>Suction(เครื่องดูดเสมหะไฟฟ้า Suction_รุ่น YX930D_SWAF)</t>
  </si>
  <si>
    <t>EKG</t>
  </si>
  <si>
    <t>Ultrasound Echocardiography ยี่ห้อ Hitachi Aloka รุ่น Arietta70</t>
  </si>
  <si>
    <t>Ultrasound itachi Aloka รุ่น Arietta65 พร้อมชุด WSR</t>
  </si>
  <si>
    <t>Otoscope</t>
  </si>
  <si>
    <t>Ligasure</t>
  </si>
  <si>
    <t>Warm air</t>
  </si>
  <si>
    <t>Autoclave 24 ลิตร</t>
  </si>
  <si>
    <t>Autoclave 60 ลิตร</t>
  </si>
  <si>
    <t>HCT Centrifuge</t>
  </si>
  <si>
    <t>Pulse Oximeter</t>
  </si>
  <si>
    <t>ลู่วิ่งน้ำ</t>
  </si>
  <si>
    <t>Microship reader</t>
  </si>
  <si>
    <t>เสื้อตะกั่วกันรังสี</t>
  </si>
  <si>
    <t>แว่นตากันรังสี</t>
  </si>
  <si>
    <t>โคมไฟผ่าตัดโคมคู่ชนิดแขวนเพดาน</t>
  </si>
  <si>
    <t>โต๊ะวางเครื่องมือผ่าตัด</t>
  </si>
  <si>
    <t>โต๊ะผ่าตัดสแตนเลสแบบหน้าเรียบระบบพาวเวอร์ลิฟท์</t>
  </si>
  <si>
    <t>Doppler</t>
  </si>
  <si>
    <t>ตู้ฉุกเฉิน</t>
  </si>
  <si>
    <t>ตู้ฟักไข่และให้ความอบอุ่นสำหรับลูกสัตว์</t>
  </si>
  <si>
    <t>ตู้ออกซิเจน พร้อมฐาน 70*120*80 cm</t>
  </si>
  <si>
    <t>ตู้ออกซิเจน พร้อมฐาน 60*70*60 cm</t>
  </si>
  <si>
    <t>ถุงมือกันรังสี</t>
  </si>
  <si>
    <t>รถเข็นเวชภัณฑ์</t>
  </si>
  <si>
    <t>รถเข็นฉีดยา</t>
  </si>
  <si>
    <t xml:space="preserve">รถเข็นสัตว์แบบสองช่อง
</t>
  </si>
  <si>
    <t>รถเข็นสัตว์แบบเตี้ย</t>
  </si>
  <si>
    <t>รถเข็นสัตว์</t>
  </si>
  <si>
    <t>ราวแขวนเสื้อ Xray</t>
  </si>
  <si>
    <t>ไฟส่องตา</t>
  </si>
  <si>
    <t>ชุด Set ผ่าตัด M</t>
  </si>
  <si>
    <t>ชุด Set ผ่าตัด L</t>
  </si>
  <si>
    <t>Note Book DELL Latitude3520 i5(สำหรับจุดบริการ)</t>
  </si>
  <si>
    <t>Computer PC + E2422H Monitor "(EXAM+LAB+WARD)</t>
  </si>
  <si>
    <t>เครื่องพิมพ์ฉลากยา</t>
  </si>
  <si>
    <t>เครื่องพริ้น RICOH SP 3710 DN [A4,A5] (ทั่วไป)-เช่า</t>
  </si>
  <si>
    <t>เครื่องพริ้น RICOH MP 305 (Front)-เช่า</t>
  </si>
  <si>
    <t>เครื่องสำรองไฟ(UPS) for Server/Client</t>
  </si>
  <si>
    <t>เครื่องสแกนบำร์โค้ด(Barcode Scanner)</t>
  </si>
  <si>
    <t>เครื่องอ่ำนบัตรประชำชน(Smart Card</t>
  </si>
  <si>
    <t>Digital Signage</t>
  </si>
  <si>
    <t xml:space="preserve">Telephony IP Phone  </t>
  </si>
  <si>
    <t xml:space="preserve">ระบบบันทึก CCTV ข้อมูลอย่างต่า 30 วัน </t>
  </si>
  <si>
    <t>กล้อง CCTV ภายในอาคาร 360อาศา</t>
  </si>
  <si>
    <t xml:space="preserve">กล้อง CCTV ภายนอกอาคาร </t>
  </si>
  <si>
    <t>Finger Scan ZKTECO</t>
  </si>
  <si>
    <t>ลิ้นชักเก็บเงิน</t>
  </si>
  <si>
    <t>ไดร์เป่าขน
รุ่น Conair-04</t>
  </si>
  <si>
    <t>โต๊ะไฮดราลิคไฟฟ้าพร้อมเสา</t>
  </si>
  <si>
    <t>โต๊ะตัดขน พร้อมเสาสแตนเลส+สายคล้อง_GM-B005</t>
  </si>
  <si>
    <t>ไดร์รีดน้ำ
รุ่น MON- Valialle</t>
  </si>
  <si>
    <t>ปัตตาเลี่ยน Andis Pro Serie</t>
  </si>
  <si>
    <t>ปัตตาเลี่ยน Andis AGC Super2 Speed (040102230752)</t>
  </si>
  <si>
    <t>โต๊ะไฮดราลิคไฟฟ้าพร้อมเสา_GM-B001</t>
  </si>
  <si>
    <t>อ่างสปาระบบ JaguZZi ขนาด 110*68*95 cm</t>
  </si>
  <si>
    <t>ไดร์มือ</t>
  </si>
  <si>
    <t>ไดร์ไล่น้ำ</t>
  </si>
  <si>
    <t>ไดร์ไล่น้ำ 2 มอเตอร์</t>
  </si>
  <si>
    <t>ไดร์หอยโข่ง</t>
  </si>
  <si>
    <t>ไดร์หอยโข่ง
ไดร์เป่าขน DL-21 cat dryer</t>
  </si>
  <si>
    <t>อ่างอาบน้ำพลาสติก พร้อมขา</t>
  </si>
  <si>
    <t>อ่างอาบน้ำไฟเบอร์กลาส ขาไฮดรราลิก</t>
  </si>
  <si>
    <t>ปัตตาเลี่ยน Wahl</t>
  </si>
  <si>
    <t>ปัตตาเลี่ยน Scuzzy</t>
  </si>
  <si>
    <t>ปัตตาเลี่ยน WHAL รุ่น KM2</t>
  </si>
  <si>
    <t>ไดร์เป่าไล่น้ำ 2 มอเตอร์ รุ่น M2</t>
  </si>
  <si>
    <t>ไดร์รีดน้ำ รุ่น MON-16 Valiable</t>
  </si>
  <si>
    <t>ตะไบเล็บไฟฟ้า</t>
  </si>
  <si>
    <t>เครื่องเป่า Shernbao รุ่น Typhoon 2800W</t>
  </si>
  <si>
    <t>โต๊ะตัดขน สุนัขพับได้ Shernbao M(FT812)</t>
  </si>
  <si>
    <t>โต๊ะตัดขน สุนัขพับได้Shernbao M(FT812)</t>
  </si>
  <si>
    <t>โต๊ะตัดขน เป่าขน
GM-B005</t>
  </si>
  <si>
    <t>ตู้เป่าขน</t>
  </si>
  <si>
    <t xml:space="preserve">เครื่องอบผ้า 15KG. WHIRLPOOL  </t>
  </si>
  <si>
    <t>ตู้แช่ร่าง</t>
  </si>
  <si>
    <t xml:space="preserve">เครื่อง Soda Spa </t>
  </si>
  <si>
    <t xml:space="preserve">เก้าอี้บาร์ </t>
  </si>
  <si>
    <t xml:space="preserve">เก้าอี้สำนักงาน </t>
  </si>
  <si>
    <t>เครื่องทำลายเอกสาร</t>
  </si>
  <si>
    <t>ไมค์ประกาศ IRM-816 INKEL</t>
  </si>
  <si>
    <t>ลำโพงพร้อมไมโครโฟน YVC-1000 YAMAHA สำหรับประชุม Online</t>
  </si>
  <si>
    <t xml:space="preserve">ตู้เย็น 2 ประตู 13.5คิว (RT38K5534S8/ST)
</t>
  </si>
  <si>
    <t xml:space="preserve">ตู้เย็น ELECTROLUX 9คิว 2ประตู  (ET-B2802J-A)
</t>
  </si>
  <si>
    <t>ตู้เย็น MITSUBISHI 2ประตู 7.2คิว (MR-FV22P-SL)</t>
  </si>
  <si>
    <t>ตู้เย็น MITSUBISHI 2ประตู 8.6คิว (MR-FC26EP-BR)</t>
  </si>
  <si>
    <t xml:space="preserve">ตู้แช่2ประตูล่างฟรีส ขนาด 90*70*160ซม.
</t>
  </si>
  <si>
    <t>ตู้แช่แข็ง 7คิว HAIER HCF-228</t>
  </si>
  <si>
    <t>ตู้น้ำดื่ม 2 ระบบ(ร้อน-เย็น)_TSHC-160P</t>
  </si>
  <si>
    <t>ตู้ล็อคเกอร์ 6 ช่อง สีเทา เฟอร์ราเดค</t>
  </si>
  <si>
    <t xml:space="preserve">ตู้ล็อคเกอร์ 9 ช่อง สีเทา เฟอร์ราเดค
</t>
  </si>
  <si>
    <t>ทีวี Sumsung 55"</t>
  </si>
  <si>
    <t>ทีวี Sumsung 43"</t>
  </si>
  <si>
    <t>TV SAMSUNG 50"</t>
  </si>
  <si>
    <t>กรงคอนโด 2ชั้น(สำหรับแมว) 1.5mm ขนาด 60*75*120cm สแตนเลสมีล้อ</t>
  </si>
  <si>
    <t>กรงสแตนเลส 100*120*120cm</t>
  </si>
  <si>
    <t xml:space="preserve">กรงสแตนเลส 90*100*100cm
</t>
  </si>
  <si>
    <t>กรงสแตนเลส S104 ขนาด 91.5*61*85ซม. (Gromming)</t>
  </si>
  <si>
    <t>กรงสแตนเลส S105 ขนาด 75*60*75ซม. (Gromming)</t>
  </si>
  <si>
    <t>กรงสแตนเลส S106 ขนาด 63.5*49.5*64.5ซม.(Gromming)</t>
  </si>
  <si>
    <t>กรงอนุบาล_กรงแฝด_S118</t>
  </si>
  <si>
    <t>ตู้เก็บของสแตนเลสสำหรับวางกรงแมวออกซิเจน</t>
  </si>
  <si>
    <t>กรงแมวออกซิเจนพร้อมระบบฮีทเตอร์_SKC</t>
  </si>
  <si>
    <t>เครื่องปรับอากาศ Wall Type ขนาด 9920 BTU</t>
  </si>
  <si>
    <t>เครื่องปรับอากาศ Wall Type ขนาด12547 BTU</t>
  </si>
  <si>
    <t>เครื่องปรับอากาศ Wall Type ขนาด18366 BTU</t>
  </si>
  <si>
    <t>เครื่องปรับอากาศ Wall Type ขนาด 25071 BTU</t>
  </si>
  <si>
    <t>เครื่องปรับอากาศ Wall Type ขนาด 31300 BTU</t>
  </si>
  <si>
    <t>เครื่องปรับอากาศ Wall Typeขนาด35200 BTU</t>
  </si>
  <si>
    <t>เครื่องปรับอากาศ Ceiling Type ขนาด13000 BTU</t>
  </si>
  <si>
    <t>เครื่องปรับอากาศ Ceiling Type ขนาด19000 BTU</t>
  </si>
  <si>
    <t>เครื่องปรับอากาศ Ceiling Type ขนาด25000 BTU</t>
  </si>
  <si>
    <t>เครื่องปรับอากาศ Ceiling Type ขนาด 31200 BTU</t>
  </si>
  <si>
    <t>เครื่องปรับอากาศ Ceiling Type ขนาด 36100 BTU</t>
  </si>
  <si>
    <t>เครื่องปรับอากาศ Cassette Type ขนาด 19000 BTU</t>
  </si>
  <si>
    <t>เครื่องปรับอากาศ Cassette Type  ขนาด26000 BTU</t>
  </si>
  <si>
    <t>เครื่องปรับอากาศ Cassette Type  ขนาด 31300 BTU</t>
  </si>
  <si>
    <t>เครื่องปรับอากาศ Cassette Type ขนาด 35000 BTU</t>
  </si>
  <si>
    <t xml:space="preserve">      เงินเดือนพยาบาล (ไม่ใช้อันนี้)</t>
  </si>
  <si>
    <t>สัตวแพทย์ทั่วไป</t>
  </si>
  <si>
    <t>สัตวแพทย์เฉพาะทาง - คลินิกผิวหนัง</t>
  </si>
  <si>
    <t>สัตวแพทย์เฉพาะทาง - คลินิกกายภาพ</t>
  </si>
  <si>
    <t>สัตวแพทย์เฉพาะทาง - คลินิกช่องปากและฟัน</t>
  </si>
  <si>
    <t>สัตวแพทย์เฉพาะทาง - คลินิกแมว</t>
  </si>
  <si>
    <t>สัตวแพทย์เฉพาะทาง - คลินิกสัตว์เลี้ยงพิเศษ</t>
  </si>
  <si>
    <t>สัตวแพทย์เฉพาะทาง - คลินิกโรคตา</t>
  </si>
  <si>
    <t>สัตวแพทย์เฉพาะทาง - คลินิกหัวใจ</t>
  </si>
  <si>
    <t>สัตวแพทย์เฉพาะทาง - อัลตราซาวด์</t>
  </si>
  <si>
    <t>สัตวแพทย์เฉพาะทาง - ศัลยกรรมและวิสัญญี</t>
  </si>
  <si>
    <t>สัตวแพทย์เฉพาะทาง - ศูนย์ระบบประสาทและกระดูกสันหลัง</t>
  </si>
  <si>
    <t>สัตวแพทย์เฉพาะทาง - ศูนย์รักษาโรคอายุรกรรม</t>
  </si>
  <si>
    <t>สัตวแพทย์เฉพาะทาง - คลินิกเนื้องอกและมะเร็ง</t>
  </si>
  <si>
    <t xml:space="preserve">  ค่าเสื่อมราคา - เฟอร์นิเจอร์ &amp; เครื่องใช้สำนักงาน</t>
  </si>
  <si>
    <t>R</t>
  </si>
  <si>
    <t>c</t>
  </si>
  <si>
    <t>V</t>
  </si>
  <si>
    <t>F</t>
  </si>
  <si>
    <t>S</t>
  </si>
  <si>
    <t>I</t>
  </si>
  <si>
    <t>T</t>
  </si>
  <si>
    <t>% การโต2</t>
  </si>
  <si>
    <t>C</t>
  </si>
  <si>
    <t>ผ้าคลุมโซฟา</t>
  </si>
  <si>
    <t>โซฟา</t>
  </si>
  <si>
    <t>BG ปี 2025 ( ครึ่งปี แรก)</t>
  </si>
  <si>
    <t>BG ปี 2025 (ครึ่งปี หลัง)</t>
  </si>
  <si>
    <t>ปี 2024</t>
  </si>
  <si>
    <t>ปี 2025</t>
  </si>
  <si>
    <t>รายได้ Package/PR/ขนส่ง</t>
  </si>
  <si>
    <t>ค่าเงินเดือน,โอที โอนย้ายระหว่างสาขา</t>
  </si>
  <si>
    <t>ค่าตอบแทนและค่าเบี้ยประชุมกรรมการ</t>
  </si>
  <si>
    <t>ค่าอาหารประชุม ประจำเดือน</t>
  </si>
  <si>
    <t>ค่าอาหารวันปีใหม่</t>
  </si>
  <si>
    <t>ค่าอาหารวันสงกรานต์</t>
  </si>
  <si>
    <t>ค่าสวัสดิการ</t>
  </si>
  <si>
    <t>ค่าเช่าอุปกรณ์-เครื่องมือระหว่างสาขา</t>
  </si>
  <si>
    <t>Z</t>
  </si>
  <si>
    <t>&gt;revenue%</t>
  </si>
  <si>
    <t>Fixed</t>
  </si>
  <si>
    <t>Variable</t>
  </si>
  <si>
    <t>โปร คูปอง หรือสิทธิ์ที่ให้ลูกค้าเพื่อเร่งยอดขาย</t>
  </si>
  <si>
    <t>&gt;for fixed expense</t>
  </si>
  <si>
    <t>z</t>
  </si>
  <si>
    <t>Zero-based: คำนวนใหม่ตามใช้จริง</t>
  </si>
  <si>
    <t>x</t>
  </si>
  <si>
    <t>เฉพาะทำและอนุมัติโดยสาขาตัวเอง</t>
  </si>
  <si>
    <t>HR กรอก</t>
  </si>
  <si>
    <t>Vet กรอก</t>
  </si>
  <si>
    <t>QCC กรอก</t>
  </si>
  <si>
    <t>Mkt กรอก</t>
  </si>
  <si>
    <t>IT กรอก</t>
  </si>
  <si>
    <t>งบ Project จากกลยุทธ์ และอื่นๆ (เพื่อไว้)</t>
  </si>
  <si>
    <t>Part-time (ครึ่งเวรแชร์กับ Hub&amp;spoke)</t>
  </si>
  <si>
    <t xml:space="preserve">ถ้าเป็น Part time ให้กรอก 0.5 แทน 1 </t>
  </si>
  <si>
    <t>ค่าเวรโดยประมาน</t>
  </si>
  <si>
    <t>เครื่องมือแพทย์ กรอก</t>
  </si>
  <si>
    <t>BU ประมาณการจาก Actual</t>
  </si>
  <si>
    <t>ซ่อมบำรุง กรอก</t>
  </si>
  <si>
    <t>กล้องจุลทรรศน์ 3 กระบอกตา</t>
  </si>
  <si>
    <t>กล้องจุลทรรศน์ 2 ตา</t>
  </si>
  <si>
    <t>ชุด Set ผ่าตัด SML</t>
  </si>
  <si>
    <t>Note Book DELL Latitude3520 i5(สำหรับ back)           Note Book DELL Latitude3530 i7(สำหรับฝ่ายบริหาร)</t>
  </si>
  <si>
    <t>30,500 33,500</t>
  </si>
  <si>
    <t>Computer PC/All in One+E2422H Monitor  (FRONT+NURSE+PHA+PETSHOP)</t>
  </si>
  <si>
    <t>เครื่องซักผ้าฝาหน้า  "Sumsung"</t>
  </si>
  <si>
    <t>ค่าแรงงานเพิ่มขึ้น</t>
  </si>
  <si>
    <t xml:space="preserve"> เงินเดือนและสวัสดิการพนักงาน</t>
  </si>
  <si>
    <t xml:space="preserve">ค่าใช้จ่ายอื่น ๆ ที่เพิ่มขึ้น </t>
  </si>
  <si>
    <t>ค่าเช่า</t>
  </si>
  <si>
    <t xml:space="preserve"> ค่าใช้จ่ายในการจัดสัมมนา</t>
  </si>
  <si>
    <t>เงินลงทุน</t>
  </si>
  <si>
    <t xml:space="preserve">      เครื่องมือแพทย์</t>
  </si>
  <si>
    <t xml:space="preserve">      ค่าสิทธิการเช่าอาคารตัดจ่าย</t>
  </si>
  <si>
    <t xml:space="preserve">       ป้ายสำนักงาน</t>
  </si>
  <si>
    <t xml:space="preserve">      คอมพิวเตอร์</t>
  </si>
  <si>
    <t xml:space="preserve">       ระบบ software</t>
  </si>
  <si>
    <t xml:space="preserve">        อาคารบนที่ดินเช่า</t>
  </si>
  <si>
    <t xml:space="preserve">       ส่วนต่อเติมตกแต่ง</t>
  </si>
  <si>
    <t xml:space="preserve">        ต้นทุนค่ารื้อถอน</t>
  </si>
  <si>
    <t xml:space="preserve">        เครื่องมือเครื่องใช้</t>
  </si>
  <si>
    <t xml:space="preserve">         เฟอร์นิเจอร์ &amp; เครื่องใช้สำนักงาน</t>
  </si>
  <si>
    <t xml:space="preserve">        ยานพาหนะ</t>
  </si>
  <si>
    <t xml:space="preserve">          อาคารและสิ่งปลูกสร้าง</t>
  </si>
  <si>
    <t xml:space="preserve">รายได้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</si>
  <si>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</si>
  <si>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</si>
  <si>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</si>
  <si>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</si>
  <si>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</si>
  <si>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</si>
  <si>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</si>
  <si>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</si>
  <si>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</si>
  <si>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</si>
  <si>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</si>
  <si>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</si>
  <si>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เช่น</t>
  </si>
  <si>
    <t>มีเดิม</t>
  </si>
  <si>
    <t>ใหม่</t>
  </si>
  <si>
    <t>อยู่ใน Budget (X)</t>
  </si>
  <si>
    <t>ค่าวัดระดับ/ตำแหน่ง</t>
  </si>
  <si>
    <t>ค่าวัดระดับ/ค่าตำแหน่ง</t>
  </si>
  <si>
    <t>ตำแหน่งใหม่</t>
  </si>
  <si>
    <t>รายได้เดิม</t>
  </si>
  <si>
    <t>รายได้ใหม่</t>
  </si>
  <si>
    <t>ตำแหน่งเดิม</t>
  </si>
  <si>
    <t>การเปลี่ยนตำแหน่ง</t>
  </si>
  <si>
    <t>เงินเดือนเพิ่มขึ้น</t>
  </si>
  <si>
    <t>ตำแหน่งที่ปรับเพิ่มขึ้น</t>
  </si>
  <si>
    <t xml:space="preserve">      ค่าวัดระดับ/ค่าตำแหน่ง</t>
  </si>
  <si>
    <t>จะดูการเปลี่ยนแปลงตรงนี้เป็นผลงาน BU</t>
  </si>
  <si>
    <t>R,F,V,Z</t>
  </si>
  <si>
    <t>[</t>
  </si>
  <si>
    <t>/</t>
  </si>
  <si>
    <t>ค่าอาหารประชุมประจำเดือน</t>
  </si>
  <si>
    <t>ขอสัปดาห์ละ 2 วันขอเป็นอาจารย์หมอ</t>
  </si>
  <si>
    <t>ทดแทนเครื่องเก่า</t>
  </si>
  <si>
    <t>ติดตั้งเพิ่มที่ห้อง X-Ray</t>
  </si>
  <si>
    <t>ซื้อมาเปลี่ยนเครื่องเก่าที่ ICU ที่ชำรุด</t>
  </si>
  <si>
    <t>แยกแช่คูลแพ็ค</t>
  </si>
  <si>
    <t>รวมเงินที่ต้องจ่ายทั้งสิ้น ปี 2025</t>
  </si>
  <si>
    <t>บริษัท โรงพยาบาลสัตว์ทองหล่อ จำกัด สาขา:TN</t>
  </si>
  <si>
    <t>ขอทดแทนจำนวนที่ขาด (ปี67 หาหมอมาเติมไม่ครบ)</t>
  </si>
  <si>
    <t xml:space="preserve"> </t>
  </si>
  <si>
    <t>เครื่องดูดฝุ่น</t>
  </si>
  <si>
    <t>Act ปี 2025</t>
  </si>
  <si>
    <t>%ต่อยอดขาย Act  ปี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</si>
</sst>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87" formatCode="_(* #,##0.00_);_(* \(#,##0.00\);_(* &quot;-&quot;??_);_(@_)"/>
    <numFmt numFmtId="188" formatCode="_-* #,##0_-;\-* #,##0_-;_-* &quot;-&quot;??_-;_-@_-"/>
    <numFmt numFmtId="189" formatCode="_-* #,##0.0_-;\-* #,##0.0_-;_-* &quot;-&quot;??_-;_-@_-"/>
    <numFmt numFmtId="190" formatCode="#,##0.0;\(#,##0.0\);&quot;-&quot;"/>
    <numFmt numFmtId="191" formatCode="_(* #,##0_);_(* \(#,##0\);_(* &quot;-&quot;??_);_(@_)"/>
    <numFmt numFmtId="192" formatCode="0.000%"/>
  </numFmts>
  <fonts count="43" x14ac:knownFonts="1">
    <font>
      <sz val="8.25"/>
      <color rgb="FF000000"/>
      <name val="Microsoft Sans Serif"/>
    </font>
    <font>
      <sz val="11"/>
      <color theme="1"/>
      <name val="Tahoma"/>
      <family val="2"/>
      <charset val="222"/>
      <scheme val="minor"/>
    </font>
    <font>
      <sz val="8.25"/>
      <color rgb="FF000000"/>
      <name val="Microsoft Sans Serif"/>
      <family val="2"/>
    </font>
    <font>
      <sz val="8"/>
      <name val="Microsoft Sans Serif"/>
      <family val="2"/>
    </font>
    <font>
      <sz val="8.25"/>
      <color rgb="FF000000"/>
      <name val="Microsoft Sans Serif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name val="Tahoma"/>
      <family val="2"/>
    </font>
    <font>
      <sz val="9"/>
      <color rgb="FF000099"/>
      <name val="Tahoma"/>
      <family val="2"/>
    </font>
    <font>
      <sz val="9"/>
      <color rgb="FFFF0000"/>
      <name val="Tahoma"/>
      <family val="2"/>
    </font>
    <font>
      <b/>
      <sz val="9"/>
      <color rgb="FF000099"/>
      <name val="Tahoma"/>
      <family val="2"/>
    </font>
    <font>
      <sz val="10"/>
      <color theme="1"/>
      <name val="Tahoma"/>
      <family val="2"/>
    </font>
    <font>
      <b/>
      <sz val="9"/>
      <color rgb="FFFF0000"/>
      <name val="Tahoma"/>
      <family val="2"/>
    </font>
    <font>
      <sz val="9"/>
      <color theme="1"/>
      <name val="Tahoma"/>
      <family val="2"/>
    </font>
    <font>
      <b/>
      <sz val="12"/>
      <color rgb="FF000000"/>
      <name val="Tahoma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9"/>
      <name val="Tahoma"/>
      <family val="2"/>
    </font>
    <font>
      <sz val="9"/>
      <color theme="1"/>
      <name val="Tahoma"/>
      <family val="2"/>
      <charset val="222"/>
      <scheme val="minor"/>
    </font>
    <font>
      <b/>
      <sz val="9"/>
      <color rgb="FFFF0000"/>
      <name val="Tahoma"/>
      <family val="2"/>
      <scheme val="minor"/>
    </font>
    <font>
      <b/>
      <sz val="9"/>
      <color theme="1"/>
      <name val="Tahoma"/>
      <family val="2"/>
      <scheme val="minor"/>
    </font>
    <font>
      <sz val="9"/>
      <color rgb="FFFF0000"/>
      <name val="Tahoma"/>
      <family val="2"/>
      <charset val="222"/>
      <scheme val="minor"/>
    </font>
    <font>
      <sz val="8"/>
      <color theme="1"/>
      <name val="Tahoma"/>
      <family val="2"/>
      <scheme val="minor"/>
    </font>
    <font>
      <b/>
      <sz val="8"/>
      <color rgb="FFFF0000"/>
      <name val="Tahoma"/>
      <family val="2"/>
      <scheme val="minor"/>
    </font>
    <font>
      <b/>
      <sz val="8"/>
      <color theme="1"/>
      <name val="Tahoma"/>
      <family val="2"/>
      <scheme val="minor"/>
    </font>
    <font>
      <sz val="8"/>
      <color rgb="FFFF0000"/>
      <name val="Tahoma"/>
      <family val="2"/>
      <scheme val="minor"/>
    </font>
    <font>
      <sz val="10"/>
      <name val="Arial"/>
      <family val="2"/>
    </font>
    <font>
      <sz val="9"/>
      <name val="Tahoma"/>
      <family val="2"/>
      <scheme val="minor"/>
    </font>
    <font>
      <sz val="9"/>
      <color theme="1"/>
      <name val="Tahoma"/>
      <family val="2"/>
      <scheme val="minor"/>
    </font>
    <font>
      <b/>
      <sz val="11"/>
      <color rgb="FFFF0000"/>
      <name val="Tahoma"/>
      <family val="2"/>
      <scheme val="minor"/>
    </font>
    <font>
      <sz val="8"/>
      <color rgb="FF000000"/>
      <name val="Tahoma"/>
      <family val="2"/>
    </font>
    <font>
      <b/>
      <sz val="12"/>
      <color rgb="FFC00000"/>
      <name val="Tahoma"/>
      <family val="2"/>
    </font>
    <font>
      <sz val="11"/>
      <color theme="1"/>
      <name val="Tahoma"/>
      <family val="2"/>
      <scheme val="minor"/>
    </font>
    <font>
      <b/>
      <sz val="10"/>
      <color theme="1"/>
      <name val="Tahoma"/>
      <family val="2"/>
    </font>
    <font>
      <sz val="10"/>
      <color rgb="FF000099"/>
      <name val="Tahoma"/>
      <family val="2"/>
    </font>
    <font>
      <b/>
      <sz val="9"/>
      <color theme="1"/>
      <name val="Tahoma"/>
      <family val="2"/>
    </font>
    <font>
      <sz val="10"/>
      <color rgb="FFFF0000"/>
      <name val="Tahoma"/>
      <family val="2"/>
    </font>
    <font>
      <sz val="10"/>
      <color theme="0"/>
      <name val="Tahoma"/>
      <family val="2"/>
    </font>
    <font>
      <b/>
      <sz val="10"/>
      <color theme="0"/>
      <name val="Tahoma"/>
      <family val="2"/>
    </font>
    <font>
      <sz val="9"/>
      <color rgb="FF000000"/>
      <name val="Tahoma"/>
      <family val="2"/>
      <scheme val="minor"/>
    </font>
    <font>
      <sz val="9"/>
      <color rgb="FFFF0000"/>
      <name val="Tahoma"/>
      <family val="2"/>
      <scheme val="minor"/>
    </font>
    <font>
      <sz val="9"/>
      <color theme="0"/>
      <name val="Tahoma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</fills>
  <borders count="9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0">
    <xf numFmtId="0" fontId="0" fillId="0" borderId="0" applyAlignment="0"/>
    <xf numFmtId="43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5" fillId="0" borderId="0"/>
    <xf numFmtId="0" fontId="2" fillId="0" borderId="0" applyAlignment="0"/>
    <xf numFmtId="0" fontId="27" fillId="0" borderId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821">
    <xf numFmtId="0" fontId="0" fillId="0" borderId="0" xfId="0"/>
    <xf numFmtId="188" fontId="6" fillId="0" borderId="0" xfId="1" applyNumberFormat="1" applyFont="1" applyAlignment="1"/>
    <xf numFmtId="0" fontId="6" fillId="0" borderId="0" xfId="0" applyFont="1"/>
    <xf numFmtId="0" fontId="7" fillId="0" borderId="0" xfId="0" applyFont="1"/>
    <xf numFmtId="188" fontId="6" fillId="0" borderId="0" xfId="1" applyNumberFormat="1" applyFont="1" applyAlignment="1">
      <alignment horizontal="right"/>
    </xf>
    <xf numFmtId="10" fontId="7" fillId="0" borderId="1" xfId="2" applyNumberFormat="1" applyFont="1" applyFill="1" applyBorder="1" applyAlignment="1">
      <alignment horizontal="center"/>
    </xf>
    <xf numFmtId="188" fontId="6" fillId="0" borderId="0" xfId="1" applyNumberFormat="1" applyFont="1"/>
    <xf numFmtId="188" fontId="6" fillId="2" borderId="1" xfId="1" applyNumberFormat="1" applyFont="1" applyFill="1" applyBorder="1" applyAlignment="1">
      <alignment horizontal="right"/>
    </xf>
    <xf numFmtId="188" fontId="6" fillId="2" borderId="0" xfId="1" applyNumberFormat="1" applyFont="1" applyFill="1" applyBorder="1" applyAlignment="1">
      <alignment horizontal="right"/>
    </xf>
    <xf numFmtId="0" fontId="6" fillId="0" borderId="0" xfId="0" applyFont="1" applyAlignment="1">
      <alignment horizontal="left"/>
    </xf>
    <xf numFmtId="188" fontId="9" fillId="0" borderId="2" xfId="1" applyNumberFormat="1" applyFont="1" applyFill="1" applyBorder="1" applyAlignment="1">
      <alignment horizontal="right"/>
    </xf>
    <xf numFmtId="10" fontId="9" fillId="0" borderId="2" xfId="2" applyNumberFormat="1" applyFont="1" applyFill="1" applyBorder="1" applyAlignment="1">
      <alignment horizontal="center"/>
    </xf>
    <xf numFmtId="0" fontId="9" fillId="0" borderId="0" xfId="0" applyFont="1"/>
    <xf numFmtId="188" fontId="9" fillId="0" borderId="1" xfId="1" applyNumberFormat="1" applyFont="1" applyFill="1" applyBorder="1" applyAlignment="1">
      <alignment horizontal="right"/>
    </xf>
    <xf numFmtId="10" fontId="9" fillId="0" borderId="1" xfId="2" applyNumberFormat="1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5" fillId="0" borderId="0" xfId="0" applyFont="1" applyAlignment="1"/>
    <xf numFmtId="188" fontId="5" fillId="0" borderId="9" xfId="1" applyNumberFormat="1" applyFont="1" applyFill="1" applyBorder="1" applyAlignment="1">
      <alignment horizontal="right"/>
    </xf>
    <xf numFmtId="188" fontId="5" fillId="0" borderId="0" xfId="1" applyNumberFormat="1" applyFont="1" applyFill="1" applyBorder="1" applyAlignment="1">
      <alignment horizontal="right"/>
    </xf>
    <xf numFmtId="188" fontId="6" fillId="0" borderId="9" xfId="1" applyNumberFormat="1" applyFont="1" applyFill="1" applyBorder="1" applyAlignment="1">
      <alignment horizontal="right"/>
    </xf>
    <xf numFmtId="188" fontId="6" fillId="0" borderId="0" xfId="1" applyNumberFormat="1" applyFont="1" applyFill="1" applyBorder="1" applyAlignment="1">
      <alignment horizontal="right"/>
    </xf>
    <xf numFmtId="188" fontId="6" fillId="2" borderId="9" xfId="1" applyNumberFormat="1" applyFont="1" applyFill="1" applyBorder="1" applyAlignment="1">
      <alignment horizontal="right"/>
    </xf>
    <xf numFmtId="188" fontId="9" fillId="0" borderId="11" xfId="1" applyNumberFormat="1" applyFont="1" applyFill="1" applyBorder="1" applyAlignment="1">
      <alignment horizontal="right"/>
    </xf>
    <xf numFmtId="188" fontId="6" fillId="2" borderId="13" xfId="1" applyNumberFormat="1" applyFont="1" applyFill="1" applyBorder="1" applyAlignment="1">
      <alignment horizontal="right"/>
    </xf>
    <xf numFmtId="188" fontId="9" fillId="0" borderId="13" xfId="1" applyNumberFormat="1" applyFont="1" applyFill="1" applyBorder="1" applyAlignment="1">
      <alignment horizontal="right"/>
    </xf>
    <xf numFmtId="188" fontId="9" fillId="0" borderId="9" xfId="1" applyNumberFormat="1" applyFont="1" applyFill="1" applyBorder="1" applyAlignment="1">
      <alignment horizontal="right"/>
    </xf>
    <xf numFmtId="188" fontId="9" fillId="0" borderId="0" xfId="1" applyNumberFormat="1" applyFont="1" applyFill="1" applyBorder="1" applyAlignment="1">
      <alignment horizontal="right"/>
    </xf>
    <xf numFmtId="188" fontId="7" fillId="0" borderId="9" xfId="1" applyNumberFormat="1" applyFont="1" applyFill="1" applyBorder="1" applyAlignment="1">
      <alignment horizontal="right"/>
    </xf>
    <xf numFmtId="188" fontId="7" fillId="0" borderId="0" xfId="1" applyNumberFormat="1" applyFont="1" applyFill="1" applyBorder="1" applyAlignment="1">
      <alignment horizontal="right"/>
    </xf>
    <xf numFmtId="10" fontId="7" fillId="0" borderId="9" xfId="2" applyNumberFormat="1" applyFont="1" applyFill="1" applyBorder="1" applyAlignment="1">
      <alignment horizontal="center"/>
    </xf>
    <xf numFmtId="10" fontId="7" fillId="0" borderId="0" xfId="2" applyNumberFormat="1" applyFont="1" applyFill="1" applyBorder="1" applyAlignment="1">
      <alignment horizontal="center"/>
    </xf>
    <xf numFmtId="10" fontId="9" fillId="0" borderId="11" xfId="2" applyNumberFormat="1" applyFont="1" applyFill="1" applyBorder="1" applyAlignment="1">
      <alignment horizontal="center"/>
    </xf>
    <xf numFmtId="10" fontId="7" fillId="0" borderId="13" xfId="2" applyNumberFormat="1" applyFont="1" applyFill="1" applyBorder="1" applyAlignment="1">
      <alignment horizontal="center"/>
    </xf>
    <xf numFmtId="10" fontId="9" fillId="0" borderId="13" xfId="2" applyNumberFormat="1" applyFont="1" applyFill="1" applyBorder="1" applyAlignment="1">
      <alignment horizontal="center"/>
    </xf>
    <xf numFmtId="10" fontId="9" fillId="0" borderId="9" xfId="2" applyNumberFormat="1" applyFont="1" applyFill="1" applyBorder="1" applyAlignment="1">
      <alignment horizontal="center"/>
    </xf>
    <xf numFmtId="10" fontId="9" fillId="0" borderId="0" xfId="2" applyNumberFormat="1" applyFont="1" applyFill="1" applyBorder="1" applyAlignment="1">
      <alignment horizontal="center"/>
    </xf>
    <xf numFmtId="0" fontId="7" fillId="0" borderId="9" xfId="0" applyFont="1" applyBorder="1"/>
    <xf numFmtId="188" fontId="6" fillId="4" borderId="28" xfId="1" applyNumberFormat="1" applyFont="1" applyFill="1" applyBorder="1" applyAlignment="1">
      <alignment horizontal="center"/>
    </xf>
    <xf numFmtId="188" fontId="6" fillId="4" borderId="29" xfId="1" applyNumberFormat="1" applyFont="1" applyFill="1" applyBorder="1" applyAlignment="1">
      <alignment horizontal="center"/>
    </xf>
    <xf numFmtId="188" fontId="7" fillId="4" borderId="28" xfId="1" applyNumberFormat="1" applyFont="1" applyFill="1" applyBorder="1" applyAlignment="1">
      <alignment horizontal="center"/>
    </xf>
    <xf numFmtId="188" fontId="7" fillId="4" borderId="29" xfId="1" applyNumberFormat="1" applyFont="1" applyFill="1" applyBorder="1" applyAlignment="1">
      <alignment horizontal="center"/>
    </xf>
    <xf numFmtId="188" fontId="6" fillId="5" borderId="29" xfId="1" applyNumberFormat="1" applyFont="1" applyFill="1" applyBorder="1" applyAlignment="1">
      <alignment horizontal="center"/>
    </xf>
    <xf numFmtId="188" fontId="6" fillId="5" borderId="28" xfId="1" applyNumberFormat="1" applyFont="1" applyFill="1" applyBorder="1" applyAlignment="1">
      <alignment horizontal="center"/>
    </xf>
    <xf numFmtId="188" fontId="9" fillId="2" borderId="13" xfId="1" applyNumberFormat="1" applyFont="1" applyFill="1" applyBorder="1" applyAlignment="1">
      <alignment horizontal="right"/>
    </xf>
    <xf numFmtId="188" fontId="9" fillId="2" borderId="1" xfId="1" applyNumberFormat="1" applyFont="1" applyFill="1" applyBorder="1" applyAlignment="1">
      <alignment horizontal="right"/>
    </xf>
    <xf numFmtId="188" fontId="10" fillId="4" borderId="30" xfId="1" applyNumberFormat="1" applyFont="1" applyFill="1" applyBorder="1" applyAlignment="1">
      <alignment horizontal="center"/>
    </xf>
    <xf numFmtId="10" fontId="10" fillId="0" borderId="10" xfId="2" applyNumberFormat="1" applyFont="1" applyFill="1" applyBorder="1" applyAlignment="1">
      <alignment horizontal="center"/>
    </xf>
    <xf numFmtId="10" fontId="10" fillId="0" borderId="12" xfId="2" applyNumberFormat="1" applyFont="1" applyFill="1" applyBorder="1" applyAlignment="1">
      <alignment horizontal="center"/>
    </xf>
    <xf numFmtId="10" fontId="10" fillId="0" borderId="14" xfId="2" applyNumberFormat="1" applyFont="1" applyFill="1" applyBorder="1" applyAlignment="1">
      <alignment horizontal="center"/>
    </xf>
    <xf numFmtId="10" fontId="10" fillId="0" borderId="18" xfId="2" applyNumberFormat="1" applyFont="1" applyFill="1" applyBorder="1" applyAlignment="1">
      <alignment horizontal="center"/>
    </xf>
    <xf numFmtId="0" fontId="10" fillId="0" borderId="0" xfId="0" applyFont="1"/>
    <xf numFmtId="0" fontId="10" fillId="0" borderId="10" xfId="0" applyFont="1" applyBorder="1"/>
    <xf numFmtId="43" fontId="6" fillId="0" borderId="0" xfId="1" applyFont="1" applyFill="1" applyAlignment="1">
      <alignment horizontal="left"/>
    </xf>
    <xf numFmtId="43" fontId="9" fillId="0" borderId="0" xfId="1" applyFont="1" applyFill="1" applyAlignment="1">
      <alignment horizontal="left"/>
    </xf>
    <xf numFmtId="10" fontId="6" fillId="0" borderId="0" xfId="2" applyNumberFormat="1" applyFont="1" applyFill="1" applyBorder="1" applyAlignment="1">
      <alignment horizontal="right"/>
    </xf>
    <xf numFmtId="10" fontId="9" fillId="0" borderId="0" xfId="2" applyNumberFormat="1" applyFont="1" applyFill="1" applyBorder="1" applyAlignment="1">
      <alignment horizontal="right"/>
    </xf>
    <xf numFmtId="10" fontId="7" fillId="0" borderId="0" xfId="2" applyNumberFormat="1" applyFont="1" applyFill="1" applyBorder="1" applyAlignment="1">
      <alignment horizontal="right"/>
    </xf>
    <xf numFmtId="0" fontId="6" fillId="0" borderId="0" xfId="0" applyFont="1" applyAlignment="1">
      <alignment horizontal="center"/>
    </xf>
    <xf numFmtId="9" fontId="6" fillId="0" borderId="31" xfId="2" applyFont="1" applyFill="1" applyBorder="1" applyAlignment="1">
      <alignment horizontal="center"/>
    </xf>
    <xf numFmtId="9" fontId="6" fillId="0" borderId="22" xfId="2" applyFont="1" applyFill="1" applyBorder="1" applyAlignment="1">
      <alignment horizontal="center"/>
    </xf>
    <xf numFmtId="188" fontId="6" fillId="0" borderId="44" xfId="1" applyNumberFormat="1" applyFont="1" applyFill="1" applyBorder="1" applyAlignment="1">
      <alignment horizontal="right"/>
    </xf>
    <xf numFmtId="188" fontId="6" fillId="2" borderId="44" xfId="1" applyNumberFormat="1" applyFont="1" applyFill="1" applyBorder="1" applyAlignment="1">
      <alignment horizontal="right"/>
    </xf>
    <xf numFmtId="188" fontId="6" fillId="0" borderId="35" xfId="1" applyNumberFormat="1" applyFont="1" applyFill="1" applyBorder="1" applyAlignment="1">
      <alignment horizontal="right"/>
    </xf>
    <xf numFmtId="188" fontId="6" fillId="2" borderId="29" xfId="1" applyNumberFormat="1" applyFont="1" applyFill="1" applyBorder="1" applyAlignment="1">
      <alignment horizontal="right"/>
    </xf>
    <xf numFmtId="188" fontId="6" fillId="0" borderId="30" xfId="1" applyNumberFormat="1" applyFont="1" applyFill="1" applyBorder="1" applyAlignment="1">
      <alignment horizontal="right"/>
    </xf>
    <xf numFmtId="188" fontId="5" fillId="0" borderId="48" xfId="1" applyNumberFormat="1" applyFont="1" applyFill="1" applyBorder="1" applyAlignment="1">
      <alignment horizontal="right"/>
    </xf>
    <xf numFmtId="188" fontId="5" fillId="0" borderId="38" xfId="1" applyNumberFormat="1" applyFont="1" applyFill="1" applyBorder="1" applyAlignment="1">
      <alignment horizontal="right"/>
    </xf>
    <xf numFmtId="188" fontId="6" fillId="2" borderId="49" xfId="1" applyNumberFormat="1" applyFont="1" applyFill="1" applyBorder="1" applyAlignment="1">
      <alignment horizontal="right"/>
    </xf>
    <xf numFmtId="188" fontId="6" fillId="0" borderId="39" xfId="1" applyNumberFormat="1" applyFont="1" applyFill="1" applyBorder="1" applyAlignment="1">
      <alignment horizontal="right"/>
    </xf>
    <xf numFmtId="9" fontId="6" fillId="0" borderId="24" xfId="2" applyFont="1" applyFill="1" applyBorder="1" applyAlignment="1">
      <alignment horizontal="center"/>
    </xf>
    <xf numFmtId="188" fontId="6" fillId="0" borderId="38" xfId="1" applyNumberFormat="1" applyFont="1" applyFill="1" applyBorder="1" applyAlignment="1">
      <alignment horizontal="right"/>
    </xf>
    <xf numFmtId="9" fontId="6" fillId="0" borderId="27" xfId="2" applyFont="1" applyFill="1" applyBorder="1" applyAlignment="1">
      <alignment horizontal="center"/>
    </xf>
    <xf numFmtId="188" fontId="6" fillId="0" borderId="0" xfId="1" applyNumberFormat="1" applyFont="1" applyAlignment="1">
      <alignment horizontal="center"/>
    </xf>
    <xf numFmtId="188" fontId="5" fillId="0" borderId="37" xfId="1" applyNumberFormat="1" applyFont="1" applyFill="1" applyBorder="1" applyAlignment="1">
      <alignment horizontal="center"/>
    </xf>
    <xf numFmtId="188" fontId="6" fillId="2" borderId="36" xfId="1" applyNumberFormat="1" applyFont="1" applyFill="1" applyBorder="1" applyAlignment="1">
      <alignment horizontal="center"/>
    </xf>
    <xf numFmtId="188" fontId="6" fillId="2" borderId="40" xfId="1" applyNumberFormat="1" applyFont="1" applyFill="1" applyBorder="1" applyAlignment="1">
      <alignment horizontal="center"/>
    </xf>
    <xf numFmtId="188" fontId="6" fillId="2" borderId="28" xfId="1" applyNumberFormat="1" applyFont="1" applyFill="1" applyBorder="1" applyAlignment="1">
      <alignment horizontal="center"/>
    </xf>
    <xf numFmtId="188" fontId="6" fillId="0" borderId="36" xfId="1" applyNumberFormat="1" applyFont="1" applyFill="1" applyBorder="1" applyAlignment="1">
      <alignment horizontal="center"/>
    </xf>
    <xf numFmtId="188" fontId="6" fillId="0" borderId="28" xfId="1" applyNumberFormat="1" applyFont="1" applyFill="1" applyBorder="1" applyAlignment="1">
      <alignment horizontal="center"/>
    </xf>
    <xf numFmtId="188" fontId="6" fillId="0" borderId="29" xfId="1" applyNumberFormat="1" applyFont="1" applyFill="1" applyBorder="1" applyAlignment="1">
      <alignment horizontal="right"/>
    </xf>
    <xf numFmtId="188" fontId="6" fillId="5" borderId="33" xfId="1" applyNumberFormat="1" applyFont="1" applyFill="1" applyBorder="1" applyAlignment="1">
      <alignment horizontal="center"/>
    </xf>
    <xf numFmtId="188" fontId="9" fillId="0" borderId="51" xfId="1" applyNumberFormat="1" applyFont="1" applyFill="1" applyBorder="1" applyAlignment="1">
      <alignment horizontal="right"/>
    </xf>
    <xf numFmtId="188" fontId="9" fillId="0" borderId="50" xfId="1" applyNumberFormat="1" applyFont="1" applyFill="1" applyBorder="1" applyAlignment="1">
      <alignment horizontal="right"/>
    </xf>
    <xf numFmtId="188" fontId="9" fillId="0" borderId="0" xfId="1" applyNumberFormat="1" applyFont="1" applyAlignment="1"/>
    <xf numFmtId="188" fontId="12" fillId="0" borderId="50" xfId="1" applyNumberFormat="1" applyFont="1" applyFill="1" applyBorder="1" applyAlignment="1">
      <alignment horizontal="right"/>
    </xf>
    <xf numFmtId="188" fontId="9" fillId="0" borderId="46" xfId="1" applyNumberFormat="1" applyFont="1" applyFill="1" applyBorder="1" applyAlignment="1">
      <alignment horizontal="right"/>
    </xf>
    <xf numFmtId="188" fontId="9" fillId="0" borderId="47" xfId="1" applyNumberFormat="1" applyFont="1" applyFill="1" applyBorder="1" applyAlignment="1">
      <alignment horizontal="right"/>
    </xf>
    <xf numFmtId="188" fontId="9" fillId="0" borderId="0" xfId="1" applyNumberFormat="1" applyFont="1"/>
    <xf numFmtId="0" fontId="6" fillId="0" borderId="9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10" fontId="6" fillId="0" borderId="9" xfId="2" applyNumberFormat="1" applyFont="1" applyFill="1" applyBorder="1" applyAlignment="1">
      <alignment horizontal="right"/>
    </xf>
    <xf numFmtId="10" fontId="6" fillId="0" borderId="24" xfId="2" applyNumberFormat="1" applyFont="1" applyFill="1" applyBorder="1" applyAlignment="1">
      <alignment horizontal="right"/>
    </xf>
    <xf numFmtId="10" fontId="6" fillId="0" borderId="3" xfId="2" applyNumberFormat="1" applyFont="1" applyFill="1" applyBorder="1" applyAlignment="1">
      <alignment horizontal="right"/>
    </xf>
    <xf numFmtId="10" fontId="9" fillId="0" borderId="9" xfId="2" applyNumberFormat="1" applyFont="1" applyFill="1" applyBorder="1" applyAlignment="1">
      <alignment horizontal="right"/>
    </xf>
    <xf numFmtId="10" fontId="7" fillId="0" borderId="9" xfId="2" applyNumberFormat="1" applyFont="1" applyFill="1" applyBorder="1" applyAlignment="1">
      <alignment horizontal="right"/>
    </xf>
    <xf numFmtId="10" fontId="7" fillId="0" borderId="50" xfId="2" applyNumberFormat="1" applyFont="1" applyFill="1" applyBorder="1" applyAlignment="1">
      <alignment horizontal="center"/>
    </xf>
    <xf numFmtId="188" fontId="6" fillId="0" borderId="13" xfId="1" applyNumberFormat="1" applyFont="1" applyFill="1" applyBorder="1" applyAlignment="1">
      <alignment horizontal="right"/>
    </xf>
    <xf numFmtId="43" fontId="9" fillId="0" borderId="52" xfId="1" applyFont="1" applyFill="1" applyBorder="1" applyAlignment="1">
      <alignment horizontal="left"/>
    </xf>
    <xf numFmtId="43" fontId="6" fillId="0" borderId="9" xfId="1" applyFont="1" applyFill="1" applyBorder="1" applyAlignment="1">
      <alignment horizontal="left"/>
    </xf>
    <xf numFmtId="43" fontId="9" fillId="0" borderId="32" xfId="1" applyFont="1" applyFill="1" applyBorder="1" applyAlignment="1">
      <alignment horizontal="left"/>
    </xf>
    <xf numFmtId="43" fontId="6" fillId="0" borderId="41" xfId="1" applyFont="1" applyFill="1" applyBorder="1" applyAlignment="1">
      <alignment horizontal="left"/>
    </xf>
    <xf numFmtId="43" fontId="6" fillId="0" borderId="34" xfId="1" applyFont="1" applyFill="1" applyBorder="1" applyAlignment="1">
      <alignment horizontal="left"/>
    </xf>
    <xf numFmtId="188" fontId="6" fillId="0" borderId="0" xfId="1" applyNumberFormat="1" applyFont="1" applyFill="1" applyBorder="1" applyAlignment="1">
      <alignment horizontal="center"/>
    </xf>
    <xf numFmtId="188" fontId="6" fillId="0" borderId="0" xfId="0" applyNumberFormat="1" applyFont="1"/>
    <xf numFmtId="188" fontId="6" fillId="8" borderId="0" xfId="1" applyNumberFormat="1" applyFont="1" applyFill="1" applyBorder="1" applyAlignment="1">
      <alignment horizontal="right"/>
    </xf>
    <xf numFmtId="188" fontId="6" fillId="8" borderId="3" xfId="1" applyNumberFormat="1" applyFont="1" applyFill="1" applyBorder="1" applyAlignment="1">
      <alignment horizontal="right"/>
    </xf>
    <xf numFmtId="188" fontId="9" fillId="8" borderId="0" xfId="1" applyNumberFormat="1" applyFont="1" applyFill="1" applyBorder="1" applyAlignment="1">
      <alignment horizontal="right"/>
    </xf>
    <xf numFmtId="188" fontId="7" fillId="8" borderId="0" xfId="1" applyNumberFormat="1" applyFont="1" applyFill="1" applyBorder="1" applyAlignment="1">
      <alignment horizontal="right"/>
    </xf>
    <xf numFmtId="188" fontId="9" fillId="0" borderId="0" xfId="1" applyNumberFormat="1" applyFont="1" applyAlignment="1">
      <alignment horizontal="right"/>
    </xf>
    <xf numFmtId="0" fontId="6" fillId="3" borderId="32" xfId="0" applyFont="1" applyFill="1" applyBorder="1"/>
    <xf numFmtId="188" fontId="9" fillId="2" borderId="11" xfId="1" applyNumberFormat="1" applyFont="1" applyFill="1" applyBorder="1" applyAlignment="1">
      <alignment horizontal="right"/>
    </xf>
    <xf numFmtId="188" fontId="9" fillId="2" borderId="2" xfId="1" applyNumberFormat="1" applyFont="1" applyFill="1" applyBorder="1" applyAlignment="1">
      <alignment horizontal="right"/>
    </xf>
    <xf numFmtId="188" fontId="9" fillId="2" borderId="15" xfId="1" applyNumberFormat="1" applyFont="1" applyFill="1" applyBorder="1" applyAlignment="1">
      <alignment horizontal="right"/>
    </xf>
    <xf numFmtId="188" fontId="9" fillId="2" borderId="4" xfId="1" applyNumberFormat="1" applyFont="1" applyFill="1" applyBorder="1" applyAlignment="1">
      <alignment horizontal="right"/>
    </xf>
    <xf numFmtId="188" fontId="9" fillId="2" borderId="9" xfId="1" applyNumberFormat="1" applyFont="1" applyFill="1" applyBorder="1" applyAlignment="1">
      <alignment horizontal="right"/>
    </xf>
    <xf numFmtId="188" fontId="9" fillId="2" borderId="0" xfId="1" applyNumberFormat="1" applyFont="1" applyFill="1" applyBorder="1" applyAlignment="1">
      <alignment horizontal="right"/>
    </xf>
    <xf numFmtId="188" fontId="7" fillId="2" borderId="13" xfId="1" applyNumberFormat="1" applyFont="1" applyFill="1" applyBorder="1" applyAlignment="1">
      <alignment horizontal="right"/>
    </xf>
    <xf numFmtId="188" fontId="7" fillId="2" borderId="1" xfId="1" applyNumberFormat="1" applyFont="1" applyFill="1" applyBorder="1" applyAlignment="1">
      <alignment horizontal="right"/>
    </xf>
    <xf numFmtId="188" fontId="7" fillId="2" borderId="9" xfId="1" applyNumberFormat="1" applyFont="1" applyFill="1" applyBorder="1" applyAlignment="1">
      <alignment horizontal="right"/>
    </xf>
    <xf numFmtId="188" fontId="7" fillId="2" borderId="0" xfId="1" applyNumberFormat="1" applyFont="1" applyFill="1" applyBorder="1" applyAlignment="1">
      <alignment horizontal="right"/>
    </xf>
    <xf numFmtId="188" fontId="6" fillId="0" borderId="24" xfId="1" applyNumberFormat="1" applyFont="1" applyFill="1" applyBorder="1" applyAlignment="1">
      <alignment horizontal="right"/>
    </xf>
    <xf numFmtId="0" fontId="10" fillId="0" borderId="0" xfId="0" applyFont="1" applyAlignment="1">
      <alignment horizontal="left"/>
    </xf>
    <xf numFmtId="188" fontId="10" fillId="2" borderId="16" xfId="1" applyNumberFormat="1" applyFont="1" applyFill="1" applyBorder="1" applyAlignment="1">
      <alignment horizontal="right"/>
    </xf>
    <xf numFmtId="188" fontId="10" fillId="2" borderId="17" xfId="1" applyNumberFormat="1" applyFont="1" applyFill="1" applyBorder="1" applyAlignment="1">
      <alignment horizontal="right"/>
    </xf>
    <xf numFmtId="10" fontId="10" fillId="0" borderId="16" xfId="2" applyNumberFormat="1" applyFont="1" applyFill="1" applyBorder="1" applyAlignment="1">
      <alignment horizontal="center"/>
    </xf>
    <xf numFmtId="10" fontId="10" fillId="0" borderId="17" xfId="2" applyNumberFormat="1" applyFont="1" applyFill="1" applyBorder="1" applyAlignment="1">
      <alignment horizontal="center"/>
    </xf>
    <xf numFmtId="0" fontId="8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188" fontId="8" fillId="0" borderId="0" xfId="1" applyNumberFormat="1" applyFont="1" applyAlignment="1"/>
    <xf numFmtId="188" fontId="8" fillId="0" borderId="10" xfId="1" applyNumberFormat="1" applyFont="1" applyFill="1" applyBorder="1" applyAlignment="1">
      <alignment horizontal="right"/>
    </xf>
    <xf numFmtId="188" fontId="8" fillId="0" borderId="0" xfId="1" applyNumberFormat="1" applyFont="1" applyAlignment="1">
      <alignment horizontal="right"/>
    </xf>
    <xf numFmtId="188" fontId="8" fillId="0" borderId="0" xfId="1" applyNumberFormat="1" applyFont="1"/>
    <xf numFmtId="1" fontId="6" fillId="2" borderId="19" xfId="0" applyNumberFormat="1" applyFont="1" applyFill="1" applyBorder="1" applyAlignment="1">
      <alignment horizontal="center"/>
    </xf>
    <xf numFmtId="188" fontId="6" fillId="0" borderId="1" xfId="1" applyNumberFormat="1" applyFont="1" applyFill="1" applyBorder="1" applyAlignment="1">
      <alignment horizontal="right"/>
    </xf>
    <xf numFmtId="188" fontId="6" fillId="0" borderId="3" xfId="1" applyNumberFormat="1" applyFont="1" applyFill="1" applyBorder="1" applyAlignment="1">
      <alignment horizontal="right"/>
    </xf>
    <xf numFmtId="188" fontId="6" fillId="8" borderId="9" xfId="1" applyNumberFormat="1" applyFont="1" applyFill="1" applyBorder="1" applyAlignment="1">
      <alignment horizontal="right"/>
    </xf>
    <xf numFmtId="188" fontId="6" fillId="8" borderId="24" xfId="1" applyNumberFormat="1" applyFont="1" applyFill="1" applyBorder="1" applyAlignment="1">
      <alignment horizontal="right"/>
    </xf>
    <xf numFmtId="188" fontId="9" fillId="8" borderId="9" xfId="1" applyNumberFormat="1" applyFont="1" applyFill="1" applyBorder="1" applyAlignment="1">
      <alignment horizontal="right"/>
    </xf>
    <xf numFmtId="188" fontId="7" fillId="8" borderId="9" xfId="1" applyNumberFormat="1" applyFont="1" applyFill="1" applyBorder="1" applyAlignment="1">
      <alignment horizontal="right"/>
    </xf>
    <xf numFmtId="188" fontId="6" fillId="0" borderId="10" xfId="1" applyNumberFormat="1" applyFont="1" applyFill="1" applyBorder="1" applyAlignment="1">
      <alignment horizontal="right"/>
    </xf>
    <xf numFmtId="188" fontId="9" fillId="0" borderId="12" xfId="1" applyNumberFormat="1" applyFont="1" applyFill="1" applyBorder="1" applyAlignment="1">
      <alignment horizontal="right"/>
    </xf>
    <xf numFmtId="188" fontId="6" fillId="0" borderId="14" xfId="1" applyNumberFormat="1" applyFont="1" applyFill="1" applyBorder="1" applyAlignment="1">
      <alignment horizontal="right"/>
    </xf>
    <xf numFmtId="188" fontId="9" fillId="0" borderId="14" xfId="1" applyNumberFormat="1" applyFont="1" applyFill="1" applyBorder="1" applyAlignment="1">
      <alignment horizontal="right"/>
    </xf>
    <xf numFmtId="188" fontId="6" fillId="0" borderId="25" xfId="1" applyNumberFormat="1" applyFont="1" applyFill="1" applyBorder="1" applyAlignment="1">
      <alignment horizontal="right"/>
    </xf>
    <xf numFmtId="188" fontId="9" fillId="0" borderId="10" xfId="1" applyNumberFormat="1" applyFont="1" applyFill="1" applyBorder="1" applyAlignment="1">
      <alignment horizontal="right"/>
    </xf>
    <xf numFmtId="188" fontId="7" fillId="0" borderId="10" xfId="1" applyNumberFormat="1" applyFont="1" applyFill="1" applyBorder="1" applyAlignment="1">
      <alignment horizontal="right"/>
    </xf>
    <xf numFmtId="1" fontId="6" fillId="5" borderId="21" xfId="0" applyNumberFormat="1" applyFont="1" applyFill="1" applyBorder="1" applyAlignment="1">
      <alignment horizontal="center"/>
    </xf>
    <xf numFmtId="1" fontId="6" fillId="5" borderId="20" xfId="0" applyNumberFormat="1" applyFont="1" applyFill="1" applyBorder="1" applyAlignment="1">
      <alignment horizontal="center"/>
    </xf>
    <xf numFmtId="0" fontId="8" fillId="0" borderId="0" xfId="0" applyFont="1" applyAlignment="1">
      <alignment horizontal="left"/>
    </xf>
    <xf numFmtId="188" fontId="8" fillId="0" borderId="9" xfId="1" applyNumberFormat="1" applyFont="1" applyFill="1" applyBorder="1" applyAlignment="1">
      <alignment horizontal="right"/>
    </xf>
    <xf numFmtId="188" fontId="8" fillId="0" borderId="0" xfId="1" applyNumberFormat="1" applyFont="1" applyFill="1" applyBorder="1" applyAlignment="1">
      <alignment horizontal="right"/>
    </xf>
    <xf numFmtId="188" fontId="8" fillId="8" borderId="9" xfId="1" applyNumberFormat="1" applyFont="1" applyFill="1" applyBorder="1" applyAlignment="1">
      <alignment horizontal="right"/>
    </xf>
    <xf numFmtId="188" fontId="8" fillId="8" borderId="0" xfId="1" applyNumberFormat="1" applyFont="1" applyFill="1" applyBorder="1" applyAlignment="1">
      <alignment horizontal="right"/>
    </xf>
    <xf numFmtId="10" fontId="8" fillId="0" borderId="9" xfId="2" applyNumberFormat="1" applyFont="1" applyFill="1" applyBorder="1" applyAlignment="1">
      <alignment horizontal="right"/>
    </xf>
    <xf numFmtId="10" fontId="8" fillId="0" borderId="0" xfId="2" applyNumberFormat="1" applyFont="1" applyFill="1" applyBorder="1" applyAlignment="1">
      <alignment horizontal="right"/>
    </xf>
    <xf numFmtId="188" fontId="8" fillId="8" borderId="3" xfId="1" applyNumberFormat="1" applyFont="1" applyFill="1" applyBorder="1" applyAlignment="1">
      <alignment horizontal="right"/>
    </xf>
    <xf numFmtId="0" fontId="13" fillId="0" borderId="0" xfId="0" applyFont="1" applyAlignment="1">
      <alignment horizontal="left"/>
    </xf>
    <xf numFmtId="0" fontId="6" fillId="3" borderId="41" xfId="0" applyFont="1" applyFill="1" applyBorder="1"/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188" fontId="9" fillId="0" borderId="0" xfId="1" applyNumberFormat="1" applyFont="1" applyAlignment="1">
      <alignment horizontal="center"/>
    </xf>
    <xf numFmtId="10" fontId="8" fillId="4" borderId="55" xfId="2" applyNumberFormat="1" applyFont="1" applyFill="1" applyBorder="1" applyAlignment="1"/>
    <xf numFmtId="188" fontId="6" fillId="8" borderId="40" xfId="1" applyNumberFormat="1" applyFont="1" applyFill="1" applyBorder="1" applyAlignment="1">
      <alignment horizontal="center"/>
    </xf>
    <xf numFmtId="188" fontId="6" fillId="8" borderId="49" xfId="1" applyNumberFormat="1" applyFont="1" applyFill="1" applyBorder="1" applyAlignment="1">
      <alignment horizontal="center"/>
    </xf>
    <xf numFmtId="188" fontId="6" fillId="5" borderId="40" xfId="1" applyNumberFormat="1" applyFont="1" applyFill="1" applyBorder="1" applyAlignment="1">
      <alignment horizontal="center"/>
    </xf>
    <xf numFmtId="188" fontId="6" fillId="5" borderId="49" xfId="1" applyNumberFormat="1" applyFont="1" applyFill="1" applyBorder="1" applyAlignment="1">
      <alignment horizontal="center"/>
    </xf>
    <xf numFmtId="188" fontId="5" fillId="8" borderId="52" xfId="1" applyNumberFormat="1" applyFont="1" applyFill="1" applyBorder="1" applyAlignment="1">
      <alignment horizontal="right"/>
    </xf>
    <xf numFmtId="188" fontId="5" fillId="8" borderId="56" xfId="1" applyNumberFormat="1" applyFont="1" applyFill="1" applyBorder="1" applyAlignment="1">
      <alignment horizontal="right"/>
    </xf>
    <xf numFmtId="188" fontId="8" fillId="8" borderId="56" xfId="1" applyNumberFormat="1" applyFont="1" applyFill="1" applyBorder="1" applyAlignment="1">
      <alignment horizontal="right"/>
    </xf>
    <xf numFmtId="188" fontId="5" fillId="0" borderId="56" xfId="1" applyNumberFormat="1" applyFont="1" applyFill="1" applyBorder="1" applyAlignment="1">
      <alignment horizontal="right"/>
    </xf>
    <xf numFmtId="188" fontId="10" fillId="8" borderId="19" xfId="1" applyNumberFormat="1" applyFont="1" applyFill="1" applyBorder="1" applyAlignment="1">
      <alignment horizontal="right"/>
    </xf>
    <xf numFmtId="188" fontId="10" fillId="8" borderId="20" xfId="1" applyNumberFormat="1" applyFont="1" applyFill="1" applyBorder="1" applyAlignment="1">
      <alignment horizontal="right"/>
    </xf>
    <xf numFmtId="10" fontId="10" fillId="0" borderId="20" xfId="2" applyNumberFormat="1" applyFont="1" applyFill="1" applyBorder="1" applyAlignment="1">
      <alignment horizontal="right"/>
    </xf>
    <xf numFmtId="188" fontId="5" fillId="0" borderId="52" xfId="1" applyNumberFormat="1" applyFont="1" applyFill="1" applyBorder="1" applyAlignment="1">
      <alignment horizontal="right"/>
    </xf>
    <xf numFmtId="10" fontId="10" fillId="0" borderId="19" xfId="2" applyNumberFormat="1" applyFont="1" applyFill="1" applyBorder="1" applyAlignment="1">
      <alignment horizontal="right"/>
    </xf>
    <xf numFmtId="188" fontId="9" fillId="8" borderId="5" xfId="1" applyNumberFormat="1" applyFont="1" applyFill="1" applyBorder="1" applyAlignment="1">
      <alignment horizontal="right"/>
    </xf>
    <xf numFmtId="10" fontId="9" fillId="0" borderId="22" xfId="2" applyNumberFormat="1" applyFont="1" applyFill="1" applyBorder="1" applyAlignment="1">
      <alignment horizontal="right"/>
    </xf>
    <xf numFmtId="10" fontId="9" fillId="0" borderId="5" xfId="2" applyNumberFormat="1" applyFont="1" applyFill="1" applyBorder="1" applyAlignment="1">
      <alignment horizontal="right"/>
    </xf>
    <xf numFmtId="188" fontId="9" fillId="8" borderId="22" xfId="1" applyNumberFormat="1" applyFont="1" applyFill="1" applyBorder="1" applyAlignment="1">
      <alignment horizontal="right"/>
    </xf>
    <xf numFmtId="188" fontId="6" fillId="8" borderId="58" xfId="1" applyNumberFormat="1" applyFont="1" applyFill="1" applyBorder="1" applyAlignment="1">
      <alignment horizontal="right"/>
    </xf>
    <xf numFmtId="188" fontId="8" fillId="8" borderId="58" xfId="1" applyNumberFormat="1" applyFont="1" applyFill="1" applyBorder="1" applyAlignment="1">
      <alignment horizontal="right"/>
    </xf>
    <xf numFmtId="10" fontId="6" fillId="0" borderId="26" xfId="2" applyNumberFormat="1" applyFont="1" applyFill="1" applyBorder="1" applyAlignment="1">
      <alignment horizontal="right"/>
    </xf>
    <xf numFmtId="10" fontId="6" fillId="0" borderId="58" xfId="2" applyNumberFormat="1" applyFont="1" applyFill="1" applyBorder="1" applyAlignment="1">
      <alignment horizontal="right"/>
    </xf>
    <xf numFmtId="188" fontId="9" fillId="8" borderId="3" xfId="1" applyNumberFormat="1" applyFont="1" applyFill="1" applyBorder="1" applyAlignment="1">
      <alignment horizontal="right"/>
    </xf>
    <xf numFmtId="10" fontId="9" fillId="0" borderId="24" xfId="2" applyNumberFormat="1" applyFont="1" applyFill="1" applyBorder="1" applyAlignment="1">
      <alignment horizontal="right"/>
    </xf>
    <xf numFmtId="10" fontId="9" fillId="0" borderId="3" xfId="2" applyNumberFormat="1" applyFont="1" applyFill="1" applyBorder="1" applyAlignment="1">
      <alignment horizontal="right"/>
    </xf>
    <xf numFmtId="188" fontId="6" fillId="0" borderId="58" xfId="1" applyNumberFormat="1" applyFont="1" applyFill="1" applyBorder="1" applyAlignment="1">
      <alignment horizontal="right"/>
    </xf>
    <xf numFmtId="188" fontId="6" fillId="0" borderId="62" xfId="1" applyNumberFormat="1" applyFont="1" applyFill="1" applyBorder="1" applyAlignment="1">
      <alignment horizontal="right"/>
    </xf>
    <xf numFmtId="188" fontId="6" fillId="8" borderId="26" xfId="1" applyNumberFormat="1" applyFont="1" applyFill="1" applyBorder="1" applyAlignment="1">
      <alignment horizontal="right"/>
    </xf>
    <xf numFmtId="188" fontId="9" fillId="0" borderId="5" xfId="1" applyNumberFormat="1" applyFont="1" applyFill="1" applyBorder="1" applyAlignment="1">
      <alignment horizontal="right"/>
    </xf>
    <xf numFmtId="188" fontId="9" fillId="0" borderId="23" xfId="1" applyNumberFormat="1" applyFont="1" applyFill="1" applyBorder="1" applyAlignment="1">
      <alignment horizontal="right"/>
    </xf>
    <xf numFmtId="188" fontId="8" fillId="0" borderId="5" xfId="1" applyNumberFormat="1" applyFont="1" applyFill="1" applyBorder="1" applyAlignment="1">
      <alignment horizontal="right"/>
    </xf>
    <xf numFmtId="188" fontId="8" fillId="0" borderId="23" xfId="1" applyNumberFormat="1" applyFont="1" applyFill="1" applyBorder="1" applyAlignment="1">
      <alignment horizontal="right"/>
    </xf>
    <xf numFmtId="188" fontId="8" fillId="8" borderId="22" xfId="1" applyNumberFormat="1" applyFont="1" applyFill="1" applyBorder="1" applyAlignment="1">
      <alignment horizontal="right"/>
    </xf>
    <xf numFmtId="188" fontId="8" fillId="8" borderId="5" xfId="1" applyNumberFormat="1" applyFont="1" applyFill="1" applyBorder="1" applyAlignment="1">
      <alignment horizontal="right"/>
    </xf>
    <xf numFmtId="10" fontId="8" fillId="0" borderId="22" xfId="2" applyNumberFormat="1" applyFont="1" applyFill="1" applyBorder="1" applyAlignment="1">
      <alignment horizontal="right"/>
    </xf>
    <xf numFmtId="10" fontId="8" fillId="0" borderId="5" xfId="2" applyNumberFormat="1" applyFont="1" applyFill="1" applyBorder="1" applyAlignment="1">
      <alignment horizontal="right"/>
    </xf>
    <xf numFmtId="188" fontId="10" fillId="0" borderId="19" xfId="1" applyNumberFormat="1" applyFont="1" applyFill="1" applyBorder="1" applyAlignment="1">
      <alignment horizontal="right"/>
    </xf>
    <xf numFmtId="188" fontId="10" fillId="0" borderId="20" xfId="1" applyNumberFormat="1" applyFont="1" applyFill="1" applyBorder="1" applyAlignment="1">
      <alignment horizontal="right"/>
    </xf>
    <xf numFmtId="188" fontId="10" fillId="0" borderId="21" xfId="1" applyNumberFormat="1" applyFont="1" applyFill="1" applyBorder="1" applyAlignment="1">
      <alignment horizontal="right"/>
    </xf>
    <xf numFmtId="188" fontId="9" fillId="0" borderId="58" xfId="1" applyNumberFormat="1" applyFont="1" applyFill="1" applyBorder="1" applyAlignment="1">
      <alignment horizontal="right"/>
    </xf>
    <xf numFmtId="188" fontId="9" fillId="0" borderId="62" xfId="1" applyNumberFormat="1" applyFont="1" applyFill="1" applyBorder="1" applyAlignment="1">
      <alignment horizontal="right"/>
    </xf>
    <xf numFmtId="188" fontId="9" fillId="8" borderId="26" xfId="1" applyNumberFormat="1" applyFont="1" applyFill="1" applyBorder="1" applyAlignment="1">
      <alignment horizontal="right"/>
    </xf>
    <xf numFmtId="188" fontId="9" fillId="8" borderId="58" xfId="1" applyNumberFormat="1" applyFont="1" applyFill="1" applyBorder="1" applyAlignment="1">
      <alignment horizontal="right"/>
    </xf>
    <xf numFmtId="10" fontId="9" fillId="0" borderId="26" xfId="2" applyNumberFormat="1" applyFont="1" applyFill="1" applyBorder="1" applyAlignment="1">
      <alignment horizontal="right"/>
    </xf>
    <xf numFmtId="10" fontId="9" fillId="0" borderId="58" xfId="2" applyNumberFormat="1" applyFont="1" applyFill="1" applyBorder="1" applyAlignment="1">
      <alignment horizontal="right"/>
    </xf>
    <xf numFmtId="188" fontId="9" fillId="8" borderId="24" xfId="1" applyNumberFormat="1" applyFont="1" applyFill="1" applyBorder="1" applyAlignment="1">
      <alignment horizontal="right"/>
    </xf>
    <xf numFmtId="188" fontId="7" fillId="0" borderId="3" xfId="1" applyNumberFormat="1" applyFont="1" applyFill="1" applyBorder="1" applyAlignment="1">
      <alignment horizontal="right"/>
    </xf>
    <xf numFmtId="188" fontId="7" fillId="0" borderId="25" xfId="1" applyNumberFormat="1" applyFont="1" applyFill="1" applyBorder="1" applyAlignment="1">
      <alignment horizontal="right"/>
    </xf>
    <xf numFmtId="188" fontId="7" fillId="8" borderId="24" xfId="1" applyNumberFormat="1" applyFont="1" applyFill="1" applyBorder="1" applyAlignment="1">
      <alignment horizontal="right"/>
    </xf>
    <xf numFmtId="188" fontId="7" fillId="8" borderId="3" xfId="1" applyNumberFormat="1" applyFont="1" applyFill="1" applyBorder="1" applyAlignment="1">
      <alignment horizontal="right"/>
    </xf>
    <xf numFmtId="10" fontId="7" fillId="0" borderId="24" xfId="2" applyNumberFormat="1" applyFont="1" applyFill="1" applyBorder="1" applyAlignment="1">
      <alignment horizontal="right"/>
    </xf>
    <xf numFmtId="10" fontId="7" fillId="0" borderId="3" xfId="2" applyNumberFormat="1" applyFont="1" applyFill="1" applyBorder="1" applyAlignment="1">
      <alignment horizontal="right"/>
    </xf>
    <xf numFmtId="188" fontId="6" fillId="0" borderId="26" xfId="1" applyNumberFormat="1" applyFont="1" applyFill="1" applyBorder="1" applyAlignment="1">
      <alignment horizontal="right"/>
    </xf>
    <xf numFmtId="188" fontId="9" fillId="0" borderId="22" xfId="1" applyNumberFormat="1" applyFont="1" applyFill="1" applyBorder="1" applyAlignment="1">
      <alignment horizontal="right"/>
    </xf>
    <xf numFmtId="188" fontId="8" fillId="0" borderId="22" xfId="1" applyNumberFormat="1" applyFont="1" applyFill="1" applyBorder="1" applyAlignment="1">
      <alignment horizontal="right"/>
    </xf>
    <xf numFmtId="188" fontId="9" fillId="0" borderId="26" xfId="1" applyNumberFormat="1" applyFont="1" applyFill="1" applyBorder="1" applyAlignment="1">
      <alignment horizontal="right"/>
    </xf>
    <xf numFmtId="188" fontId="7" fillId="0" borderId="24" xfId="1" applyNumberFormat="1" applyFont="1" applyFill="1" applyBorder="1" applyAlignment="1">
      <alignment horizontal="right"/>
    </xf>
    <xf numFmtId="0" fontId="6" fillId="0" borderId="41" xfId="0" applyFont="1" applyBorder="1" applyAlignment="1">
      <alignment horizontal="left"/>
    </xf>
    <xf numFmtId="10" fontId="7" fillId="0" borderId="41" xfId="2" applyNumberFormat="1" applyFont="1" applyFill="1" applyBorder="1" applyAlignment="1">
      <alignment horizontal="center"/>
    </xf>
    <xf numFmtId="10" fontId="9" fillId="0" borderId="63" xfId="2" applyNumberFormat="1" applyFont="1" applyFill="1" applyBorder="1" applyAlignment="1">
      <alignment horizontal="center"/>
    </xf>
    <xf numFmtId="10" fontId="9" fillId="0" borderId="64" xfId="2" applyNumberFormat="1" applyFont="1" applyFill="1" applyBorder="1" applyAlignment="1">
      <alignment horizontal="center"/>
    </xf>
    <xf numFmtId="10" fontId="9" fillId="0" borderId="41" xfId="2" applyNumberFormat="1" applyFont="1" applyFill="1" applyBorder="1" applyAlignment="1">
      <alignment horizontal="center"/>
    </xf>
    <xf numFmtId="10" fontId="7" fillId="0" borderId="51" xfId="2" applyNumberFormat="1" applyFont="1" applyFill="1" applyBorder="1" applyAlignment="1">
      <alignment horizontal="center"/>
    </xf>
    <xf numFmtId="10" fontId="9" fillId="0" borderId="46" xfId="2" applyNumberFormat="1" applyFont="1" applyFill="1" applyBorder="1" applyAlignment="1">
      <alignment horizontal="center"/>
    </xf>
    <xf numFmtId="10" fontId="8" fillId="0" borderId="46" xfId="2" applyNumberFormat="1" applyFont="1" applyFill="1" applyBorder="1" applyAlignment="1">
      <alignment horizontal="center"/>
    </xf>
    <xf numFmtId="10" fontId="8" fillId="0" borderId="41" xfId="2" applyNumberFormat="1" applyFont="1" applyFill="1" applyBorder="1" applyAlignment="1">
      <alignment horizontal="center"/>
    </xf>
    <xf numFmtId="10" fontId="9" fillId="0" borderId="51" xfId="2" applyNumberFormat="1" applyFont="1" applyFill="1" applyBorder="1" applyAlignment="1">
      <alignment horizontal="center"/>
    </xf>
    <xf numFmtId="10" fontId="10" fillId="0" borderId="34" xfId="2" applyNumberFormat="1" applyFont="1" applyFill="1" applyBorder="1" applyAlignment="1">
      <alignment horizontal="center"/>
    </xf>
    <xf numFmtId="188" fontId="6" fillId="8" borderId="39" xfId="1" applyNumberFormat="1" applyFont="1" applyFill="1" applyBorder="1" applyAlignment="1">
      <alignment horizontal="center"/>
    </xf>
    <xf numFmtId="188" fontId="5" fillId="8" borderId="53" xfId="1" applyNumberFormat="1" applyFont="1" applyFill="1" applyBorder="1" applyAlignment="1">
      <alignment horizontal="right"/>
    </xf>
    <xf numFmtId="188" fontId="6" fillId="8" borderId="10" xfId="1" applyNumberFormat="1" applyFont="1" applyFill="1" applyBorder="1" applyAlignment="1">
      <alignment horizontal="right"/>
    </xf>
    <xf numFmtId="188" fontId="9" fillId="8" borderId="23" xfId="1" applyNumberFormat="1" applyFont="1" applyFill="1" applyBorder="1" applyAlignment="1">
      <alignment horizontal="right"/>
    </xf>
    <xf numFmtId="188" fontId="9" fillId="8" borderId="10" xfId="1" applyNumberFormat="1" applyFont="1" applyFill="1" applyBorder="1" applyAlignment="1">
      <alignment horizontal="right"/>
    </xf>
    <xf numFmtId="188" fontId="6" fillId="8" borderId="62" xfId="1" applyNumberFormat="1" applyFont="1" applyFill="1" applyBorder="1" applyAlignment="1">
      <alignment horizontal="right"/>
    </xf>
    <xf numFmtId="188" fontId="7" fillId="8" borderId="10" xfId="1" applyNumberFormat="1" applyFont="1" applyFill="1" applyBorder="1" applyAlignment="1">
      <alignment horizontal="right"/>
    </xf>
    <xf numFmtId="188" fontId="9" fillId="8" borderId="25" xfId="1" applyNumberFormat="1" applyFont="1" applyFill="1" applyBorder="1" applyAlignment="1">
      <alignment horizontal="right"/>
    </xf>
    <xf numFmtId="188" fontId="6" fillId="8" borderId="25" xfId="1" applyNumberFormat="1" applyFont="1" applyFill="1" applyBorder="1" applyAlignment="1">
      <alignment horizontal="right"/>
    </xf>
    <xf numFmtId="188" fontId="8" fillId="8" borderId="23" xfId="1" applyNumberFormat="1" applyFont="1" applyFill="1" applyBorder="1" applyAlignment="1">
      <alignment horizontal="right"/>
    </xf>
    <xf numFmtId="188" fontId="8" fillId="8" borderId="10" xfId="1" applyNumberFormat="1" applyFont="1" applyFill="1" applyBorder="1" applyAlignment="1">
      <alignment horizontal="right"/>
    </xf>
    <xf numFmtId="188" fontId="9" fillId="8" borderId="62" xfId="1" applyNumberFormat="1" applyFont="1" applyFill="1" applyBorder="1" applyAlignment="1">
      <alignment horizontal="right"/>
    </xf>
    <xf numFmtId="188" fontId="7" fillId="8" borderId="25" xfId="1" applyNumberFormat="1" applyFont="1" applyFill="1" applyBorder="1" applyAlignment="1">
      <alignment horizontal="right"/>
    </xf>
    <xf numFmtId="188" fontId="10" fillId="8" borderId="21" xfId="1" applyNumberFormat="1" applyFont="1" applyFill="1" applyBorder="1" applyAlignment="1">
      <alignment horizontal="right"/>
    </xf>
    <xf numFmtId="188" fontId="5" fillId="8" borderId="65" xfId="1" applyNumberFormat="1" applyFont="1" applyFill="1" applyBorder="1" applyAlignment="1">
      <alignment horizontal="right"/>
    </xf>
    <xf numFmtId="188" fontId="6" fillId="8" borderId="60" xfId="1" applyNumberFormat="1" applyFont="1" applyFill="1" applyBorder="1" applyAlignment="1">
      <alignment horizontal="right"/>
    </xf>
    <xf numFmtId="188" fontId="9" fillId="8" borderId="57" xfId="1" applyNumberFormat="1" applyFont="1" applyFill="1" applyBorder="1" applyAlignment="1">
      <alignment horizontal="right"/>
    </xf>
    <xf numFmtId="188" fontId="9" fillId="8" borderId="60" xfId="1" applyNumberFormat="1" applyFont="1" applyFill="1" applyBorder="1" applyAlignment="1">
      <alignment horizontal="right"/>
    </xf>
    <xf numFmtId="188" fontId="6" fillId="8" borderId="59" xfId="1" applyNumberFormat="1" applyFont="1" applyFill="1" applyBorder="1" applyAlignment="1">
      <alignment horizontal="right"/>
    </xf>
    <xf numFmtId="188" fontId="7" fillId="8" borderId="60" xfId="1" applyNumberFormat="1" applyFont="1" applyFill="1" applyBorder="1" applyAlignment="1">
      <alignment horizontal="right"/>
    </xf>
    <xf numFmtId="188" fontId="9" fillId="8" borderId="61" xfId="1" applyNumberFormat="1" applyFont="1" applyFill="1" applyBorder="1" applyAlignment="1">
      <alignment horizontal="right"/>
    </xf>
    <xf numFmtId="188" fontId="6" fillId="8" borderId="61" xfId="1" applyNumberFormat="1" applyFont="1" applyFill="1" applyBorder="1" applyAlignment="1">
      <alignment horizontal="right"/>
    </xf>
    <xf numFmtId="188" fontId="8" fillId="8" borderId="57" xfId="1" applyNumberFormat="1" applyFont="1" applyFill="1" applyBorder="1" applyAlignment="1">
      <alignment horizontal="right"/>
    </xf>
    <xf numFmtId="188" fontId="8" fillId="8" borderId="60" xfId="1" applyNumberFormat="1" applyFont="1" applyFill="1" applyBorder="1" applyAlignment="1">
      <alignment horizontal="right"/>
    </xf>
    <xf numFmtId="188" fontId="9" fillId="8" borderId="59" xfId="1" applyNumberFormat="1" applyFont="1" applyFill="1" applyBorder="1" applyAlignment="1">
      <alignment horizontal="right"/>
    </xf>
    <xf numFmtId="188" fontId="7" fillId="8" borderId="61" xfId="1" applyNumberFormat="1" applyFont="1" applyFill="1" applyBorder="1" applyAlignment="1">
      <alignment horizontal="right"/>
    </xf>
    <xf numFmtId="188" fontId="10" fillId="8" borderId="66" xfId="1" applyNumberFormat="1" applyFont="1" applyFill="1" applyBorder="1" applyAlignment="1">
      <alignment horizontal="right"/>
    </xf>
    <xf numFmtId="188" fontId="5" fillId="0" borderId="6" xfId="1" applyNumberFormat="1" applyFont="1" applyFill="1" applyBorder="1" applyAlignment="1">
      <alignment horizontal="center"/>
    </xf>
    <xf numFmtId="188" fontId="5" fillId="0" borderId="7" xfId="1" applyNumberFormat="1" applyFont="1" applyFill="1" applyBorder="1" applyAlignment="1">
      <alignment horizontal="right"/>
    </xf>
    <xf numFmtId="188" fontId="5" fillId="0" borderId="8" xfId="1" applyNumberFormat="1" applyFont="1" applyFill="1" applyBorder="1" applyAlignment="1">
      <alignment horizontal="right"/>
    </xf>
    <xf numFmtId="188" fontId="12" fillId="0" borderId="45" xfId="1" applyNumberFormat="1" applyFont="1" applyFill="1" applyBorder="1" applyAlignment="1">
      <alignment horizontal="right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188" fontId="8" fillId="0" borderId="0" xfId="1" applyNumberFormat="1" applyFont="1" applyAlignment="1">
      <alignment horizontal="center"/>
    </xf>
    <xf numFmtId="43" fontId="6" fillId="0" borderId="44" xfId="1" applyFont="1" applyBorder="1"/>
    <xf numFmtId="10" fontId="6" fillId="0" borderId="35" xfId="2" applyNumberFormat="1" applyFont="1" applyBorder="1"/>
    <xf numFmtId="43" fontId="6" fillId="0" borderId="48" xfId="1" applyFont="1" applyBorder="1"/>
    <xf numFmtId="10" fontId="6" fillId="0" borderId="38" xfId="2" applyNumberFormat="1" applyFont="1" applyBorder="1"/>
    <xf numFmtId="0" fontId="7" fillId="0" borderId="24" xfId="0" applyFont="1" applyBorder="1" applyAlignment="1">
      <alignment horizontal="left"/>
    </xf>
    <xf numFmtId="0" fontId="7" fillId="0" borderId="22" xfId="0" applyFont="1" applyBorder="1" applyAlignment="1">
      <alignment horizontal="left"/>
    </xf>
    <xf numFmtId="189" fontId="6" fillId="0" borderId="37" xfId="1" applyNumberFormat="1" applyFont="1" applyBorder="1"/>
    <xf numFmtId="189" fontId="6" fillId="0" borderId="36" xfId="1" applyNumberFormat="1" applyFont="1" applyBorder="1"/>
    <xf numFmtId="187" fontId="6" fillId="0" borderId="61" xfId="0" applyNumberFormat="1" applyFont="1" applyBorder="1"/>
    <xf numFmtId="187" fontId="6" fillId="0" borderId="57" xfId="0" applyNumberFormat="1" applyFont="1" applyBorder="1"/>
    <xf numFmtId="0" fontId="16" fillId="0" borderId="0" xfId="3" applyFont="1" applyAlignment="1">
      <alignment horizontal="left"/>
    </xf>
    <xf numFmtId="190" fontId="17" fillId="0" borderId="0" xfId="4" applyNumberFormat="1" applyFont="1" applyAlignment="1"/>
    <xf numFmtId="0" fontId="5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10" fontId="6" fillId="0" borderId="48" xfId="2" applyNumberFormat="1" applyFont="1" applyBorder="1" applyAlignment="1">
      <alignment horizontal="center"/>
    </xf>
    <xf numFmtId="10" fontId="6" fillId="0" borderId="44" xfId="2" applyNumberFormat="1" applyFont="1" applyBorder="1" applyAlignment="1">
      <alignment horizontal="center"/>
    </xf>
    <xf numFmtId="188" fontId="10" fillId="0" borderId="0" xfId="1" applyNumberFormat="1" applyFont="1"/>
    <xf numFmtId="188" fontId="10" fillId="0" borderId="0" xfId="1" applyNumberFormat="1" applyFont="1" applyAlignment="1"/>
    <xf numFmtId="188" fontId="10" fillId="5" borderId="39" xfId="1" applyNumberFormat="1" applyFont="1" applyFill="1" applyBorder="1" applyAlignment="1">
      <alignment horizontal="center"/>
    </xf>
    <xf numFmtId="188" fontId="10" fillId="0" borderId="53" xfId="1" applyNumberFormat="1" applyFont="1" applyFill="1" applyBorder="1" applyAlignment="1">
      <alignment horizontal="right"/>
    </xf>
    <xf numFmtId="188" fontId="10" fillId="0" borderId="10" xfId="1" applyNumberFormat="1" applyFont="1" applyFill="1" applyBorder="1" applyAlignment="1">
      <alignment horizontal="right"/>
    </xf>
    <xf numFmtId="10" fontId="10" fillId="0" borderId="10" xfId="2" applyNumberFormat="1" applyFont="1" applyFill="1" applyBorder="1" applyAlignment="1">
      <alignment horizontal="right"/>
    </xf>
    <xf numFmtId="10" fontId="12" fillId="0" borderId="23" xfId="2" applyNumberFormat="1" applyFont="1" applyFill="1" applyBorder="1" applyAlignment="1">
      <alignment horizontal="right"/>
    </xf>
    <xf numFmtId="10" fontId="12" fillId="0" borderId="10" xfId="2" applyNumberFormat="1" applyFont="1" applyFill="1" applyBorder="1" applyAlignment="1">
      <alignment horizontal="right"/>
    </xf>
    <xf numFmtId="10" fontId="10" fillId="0" borderId="62" xfId="2" applyNumberFormat="1" applyFont="1" applyFill="1" applyBorder="1" applyAlignment="1">
      <alignment horizontal="right"/>
    </xf>
    <xf numFmtId="10" fontId="18" fillId="0" borderId="10" xfId="2" applyNumberFormat="1" applyFont="1" applyFill="1" applyBorder="1" applyAlignment="1">
      <alignment horizontal="right"/>
    </xf>
    <xf numFmtId="10" fontId="12" fillId="0" borderId="25" xfId="2" applyNumberFormat="1" applyFont="1" applyFill="1" applyBorder="1" applyAlignment="1">
      <alignment horizontal="right"/>
    </xf>
    <xf numFmtId="10" fontId="10" fillId="0" borderId="25" xfId="2" applyNumberFormat="1" applyFont="1" applyFill="1" applyBorder="1" applyAlignment="1">
      <alignment horizontal="right"/>
    </xf>
    <xf numFmtId="10" fontId="10" fillId="0" borderId="23" xfId="2" applyNumberFormat="1" applyFont="1" applyFill="1" applyBorder="1" applyAlignment="1">
      <alignment horizontal="right"/>
    </xf>
    <xf numFmtId="10" fontId="12" fillId="0" borderId="62" xfId="2" applyNumberFormat="1" applyFont="1" applyFill="1" applyBorder="1" applyAlignment="1">
      <alignment horizontal="right"/>
    </xf>
    <xf numFmtId="10" fontId="18" fillId="0" borderId="25" xfId="2" applyNumberFormat="1" applyFont="1" applyFill="1" applyBorder="1" applyAlignment="1">
      <alignment horizontal="right"/>
    </xf>
    <xf numFmtId="10" fontId="10" fillId="0" borderId="21" xfId="2" applyNumberFormat="1" applyFont="1" applyFill="1" applyBorder="1" applyAlignment="1">
      <alignment horizontal="right"/>
    </xf>
    <xf numFmtId="188" fontId="10" fillId="0" borderId="0" xfId="1" applyNumberFormat="1" applyFont="1" applyAlignment="1">
      <alignment horizontal="right"/>
    </xf>
    <xf numFmtId="0" fontId="7" fillId="0" borderId="9" xfId="0" applyFont="1" applyBorder="1" applyAlignment="1">
      <alignment horizontal="left"/>
    </xf>
    <xf numFmtId="189" fontId="6" fillId="0" borderId="75" xfId="1" applyNumberFormat="1" applyFont="1" applyBorder="1"/>
    <xf numFmtId="10" fontId="6" fillId="0" borderId="76" xfId="2" applyNumberFormat="1" applyFont="1" applyBorder="1" applyAlignment="1">
      <alignment horizontal="center"/>
    </xf>
    <xf numFmtId="43" fontId="6" fillId="0" borderId="49" xfId="1" applyFont="1" applyBorder="1"/>
    <xf numFmtId="10" fontId="6" fillId="0" borderId="39" xfId="2" applyNumberFormat="1" applyFont="1" applyBorder="1"/>
    <xf numFmtId="187" fontId="6" fillId="0" borderId="59" xfId="0" applyNumberFormat="1" applyFont="1" applyBorder="1"/>
    <xf numFmtId="0" fontId="7" fillId="12" borderId="70" xfId="0" applyFont="1" applyFill="1" applyBorder="1" applyAlignment="1">
      <alignment horizontal="left"/>
    </xf>
    <xf numFmtId="189" fontId="6" fillId="12" borderId="71" xfId="1" applyNumberFormat="1" applyFont="1" applyFill="1" applyBorder="1"/>
    <xf numFmtId="10" fontId="6" fillId="12" borderId="72" xfId="2" applyNumberFormat="1" applyFont="1" applyFill="1" applyBorder="1" applyAlignment="1">
      <alignment horizontal="center"/>
    </xf>
    <xf numFmtId="43" fontId="6" fillId="12" borderId="72" xfId="1" applyFont="1" applyFill="1" applyBorder="1"/>
    <xf numFmtId="10" fontId="6" fillId="12" borderId="73" xfId="2" applyNumberFormat="1" applyFont="1" applyFill="1" applyBorder="1"/>
    <xf numFmtId="187" fontId="6" fillId="12" borderId="74" xfId="0" applyNumberFormat="1" applyFont="1" applyFill="1" applyBorder="1"/>
    <xf numFmtId="0" fontId="6" fillId="6" borderId="28" xfId="0" applyFont="1" applyFill="1" applyBorder="1" applyAlignment="1">
      <alignment horizontal="center"/>
    </xf>
    <xf numFmtId="0" fontId="6" fillId="6" borderId="29" xfId="0" applyFont="1" applyFill="1" applyBorder="1" applyAlignment="1">
      <alignment horizontal="center"/>
    </xf>
    <xf numFmtId="0" fontId="6" fillId="6" borderId="30" xfId="0" applyFont="1" applyFill="1" applyBorder="1" applyAlignment="1">
      <alignment horizontal="center"/>
    </xf>
    <xf numFmtId="0" fontId="6" fillId="6" borderId="69" xfId="0" applyFont="1" applyFill="1" applyBorder="1" applyAlignment="1">
      <alignment horizontal="center"/>
    </xf>
    <xf numFmtId="0" fontId="7" fillId="0" borderId="26" xfId="0" applyFont="1" applyBorder="1" applyAlignment="1">
      <alignment horizontal="left"/>
    </xf>
    <xf numFmtId="189" fontId="6" fillId="0" borderId="40" xfId="1" applyNumberFormat="1" applyFont="1" applyBorder="1"/>
    <xf numFmtId="10" fontId="6" fillId="0" borderId="49" xfId="2" applyNumberFormat="1" applyFont="1" applyBorder="1" applyAlignment="1">
      <alignment horizontal="center"/>
    </xf>
    <xf numFmtId="0" fontId="7" fillId="7" borderId="70" xfId="0" applyFont="1" applyFill="1" applyBorder="1" applyAlignment="1">
      <alignment horizontal="left"/>
    </xf>
    <xf numFmtId="189" fontId="7" fillId="7" borderId="71" xfId="1" applyNumberFormat="1" applyFont="1" applyFill="1" applyBorder="1"/>
    <xf numFmtId="10" fontId="7" fillId="7" borderId="72" xfId="2" applyNumberFormat="1" applyFont="1" applyFill="1" applyBorder="1" applyAlignment="1">
      <alignment horizontal="center"/>
    </xf>
    <xf numFmtId="43" fontId="7" fillId="7" borderId="72" xfId="1" applyFont="1" applyFill="1" applyBorder="1"/>
    <xf numFmtId="10" fontId="7" fillId="7" borderId="73" xfId="2" applyNumberFormat="1" applyFont="1" applyFill="1" applyBorder="1"/>
    <xf numFmtId="187" fontId="7" fillId="7" borderId="74" xfId="0" applyNumberFormat="1" applyFont="1" applyFill="1" applyBorder="1"/>
    <xf numFmtId="43" fontId="6" fillId="0" borderId="76" xfId="1" applyFont="1" applyBorder="1"/>
    <xf numFmtId="10" fontId="6" fillId="0" borderId="77" xfId="2" applyNumberFormat="1" applyFont="1" applyBorder="1"/>
    <xf numFmtId="187" fontId="6" fillId="0" borderId="60" xfId="0" applyNumberFormat="1" applyFont="1" applyBorder="1"/>
    <xf numFmtId="188" fontId="12" fillId="0" borderId="0" xfId="1" applyNumberFormat="1" applyFont="1"/>
    <xf numFmtId="43" fontId="6" fillId="0" borderId="19" xfId="1" applyFont="1" applyFill="1" applyBorder="1" applyAlignment="1">
      <alignment horizontal="left"/>
    </xf>
    <xf numFmtId="0" fontId="19" fillId="0" borderId="0" xfId="0" applyFont="1"/>
    <xf numFmtId="0" fontId="7" fillId="13" borderId="40" xfId="0" applyFont="1" applyFill="1" applyBorder="1" applyAlignment="1">
      <alignment horizontal="center" vertical="center"/>
    </xf>
    <xf numFmtId="0" fontId="7" fillId="13" borderId="49" xfId="0" applyFont="1" applyFill="1" applyBorder="1" applyAlignment="1">
      <alignment horizontal="center" vertical="center"/>
    </xf>
    <xf numFmtId="0" fontId="19" fillId="13" borderId="39" xfId="0" applyFont="1" applyFill="1" applyBorder="1" applyAlignment="1">
      <alignment horizontal="center" vertical="center"/>
    </xf>
    <xf numFmtId="0" fontId="19" fillId="0" borderId="37" xfId="0" applyFont="1" applyBorder="1" applyAlignment="1">
      <alignment horizontal="center"/>
    </xf>
    <xf numFmtId="0" fontId="19" fillId="2" borderId="79" xfId="0" applyFont="1" applyFill="1" applyBorder="1" applyAlignment="1">
      <alignment horizontal="left"/>
    </xf>
    <xf numFmtId="191" fontId="19" fillId="0" borderId="50" xfId="1" applyNumberFormat="1" applyFont="1" applyBorder="1" applyAlignment="1">
      <alignment horizontal="center"/>
    </xf>
    <xf numFmtId="1" fontId="19" fillId="2" borderId="6" xfId="1" applyNumberFormat="1" applyFont="1" applyFill="1" applyBorder="1" applyAlignment="1">
      <alignment horizontal="center"/>
    </xf>
    <xf numFmtId="1" fontId="19" fillId="2" borderId="7" xfId="1" applyNumberFormat="1" applyFont="1" applyFill="1" applyBorder="1" applyAlignment="1">
      <alignment horizontal="center"/>
    </xf>
    <xf numFmtId="1" fontId="20" fillId="0" borderId="8" xfId="1" applyNumberFormat="1" applyFont="1" applyBorder="1" applyAlignment="1">
      <alignment horizontal="center"/>
    </xf>
    <xf numFmtId="0" fontId="19" fillId="0" borderId="36" xfId="0" applyFont="1" applyBorder="1" applyAlignment="1">
      <alignment horizontal="center"/>
    </xf>
    <xf numFmtId="1" fontId="19" fillId="2" borderId="36" xfId="1" applyNumberFormat="1" applyFont="1" applyFill="1" applyBorder="1" applyAlignment="1">
      <alignment horizontal="center"/>
    </xf>
    <xf numFmtId="1" fontId="19" fillId="2" borderId="44" xfId="1" applyNumberFormat="1" applyFont="1" applyFill="1" applyBorder="1" applyAlignment="1">
      <alignment horizontal="center"/>
    </xf>
    <xf numFmtId="1" fontId="20" fillId="0" borderId="35" xfId="1" applyNumberFormat="1" applyFont="1" applyBorder="1" applyAlignment="1">
      <alignment horizontal="center"/>
    </xf>
    <xf numFmtId="0" fontId="19" fillId="0" borderId="40" xfId="0" applyFont="1" applyBorder="1" applyAlignment="1">
      <alignment horizontal="center"/>
    </xf>
    <xf numFmtId="0" fontId="19" fillId="0" borderId="80" xfId="0" applyFont="1" applyBorder="1"/>
    <xf numFmtId="191" fontId="19" fillId="0" borderId="51" xfId="1" applyNumberFormat="1" applyFont="1" applyBorder="1"/>
    <xf numFmtId="1" fontId="19" fillId="2" borderId="28" xfId="1" applyNumberFormat="1" applyFont="1" applyFill="1" applyBorder="1" applyAlignment="1">
      <alignment horizontal="center"/>
    </xf>
    <xf numFmtId="1" fontId="19" fillId="2" borderId="29" xfId="1" applyNumberFormat="1" applyFont="1" applyFill="1" applyBorder="1" applyAlignment="1">
      <alignment horizontal="center"/>
    </xf>
    <xf numFmtId="1" fontId="21" fillId="0" borderId="30" xfId="1" applyNumberFormat="1" applyFont="1" applyBorder="1" applyAlignment="1">
      <alignment horizontal="center"/>
    </xf>
    <xf numFmtId="0" fontId="22" fillId="0" borderId="71" xfId="0" applyFont="1" applyBorder="1" applyAlignment="1">
      <alignment horizontal="center"/>
    </xf>
    <xf numFmtId="0" fontId="22" fillId="0" borderId="81" xfId="0" applyFont="1" applyBorder="1" applyAlignment="1">
      <alignment horizontal="right"/>
    </xf>
    <xf numFmtId="1" fontId="22" fillId="0" borderId="82" xfId="1" applyNumberFormat="1" applyFont="1" applyBorder="1" applyAlignment="1">
      <alignment horizontal="center"/>
    </xf>
    <xf numFmtId="1" fontId="22" fillId="0" borderId="83" xfId="1" applyNumberFormat="1" applyFont="1" applyBorder="1" applyAlignment="1">
      <alignment horizontal="center"/>
    </xf>
    <xf numFmtId="1" fontId="20" fillId="0" borderId="68" xfId="1" applyNumberFormat="1" applyFont="1" applyBorder="1" applyAlignment="1">
      <alignment horizontal="center"/>
    </xf>
    <xf numFmtId="0" fontId="19" fillId="0" borderId="79" xfId="0" applyFont="1" applyBorder="1" applyAlignment="1">
      <alignment horizontal="left"/>
    </xf>
    <xf numFmtId="191" fontId="19" fillId="0" borderId="24" xfId="1" applyNumberFormat="1" applyFont="1" applyBorder="1" applyAlignment="1">
      <alignment horizontal="center"/>
    </xf>
    <xf numFmtId="191" fontId="23" fillId="0" borderId="6" xfId="1" applyNumberFormat="1" applyFont="1" applyFill="1" applyBorder="1" applyAlignment="1">
      <alignment horizontal="center"/>
    </xf>
    <xf numFmtId="191" fontId="23" fillId="0" borderId="7" xfId="1" applyNumberFormat="1" applyFont="1" applyFill="1" applyBorder="1" applyAlignment="1">
      <alignment horizontal="center"/>
    </xf>
    <xf numFmtId="191" fontId="24" fillId="0" borderId="8" xfId="1" applyNumberFormat="1" applyFont="1" applyFill="1" applyBorder="1" applyAlignment="1">
      <alignment horizontal="center"/>
    </xf>
    <xf numFmtId="0" fontId="19" fillId="0" borderId="84" xfId="0" applyFont="1" applyBorder="1" applyAlignment="1">
      <alignment horizontal="left"/>
    </xf>
    <xf numFmtId="191" fontId="23" fillId="0" borderId="36" xfId="1" applyNumberFormat="1" applyFont="1" applyFill="1" applyBorder="1" applyAlignment="1">
      <alignment horizontal="center"/>
    </xf>
    <xf numFmtId="191" fontId="23" fillId="0" borderId="44" xfId="1" applyNumberFormat="1" applyFont="1" applyFill="1" applyBorder="1" applyAlignment="1">
      <alignment horizontal="center"/>
    </xf>
    <xf numFmtId="191" fontId="24" fillId="0" borderId="35" xfId="1" applyNumberFormat="1" applyFont="1" applyFill="1" applyBorder="1" applyAlignment="1">
      <alignment horizontal="center"/>
    </xf>
    <xf numFmtId="191" fontId="19" fillId="0" borderId="26" xfId="1" applyNumberFormat="1" applyFont="1" applyBorder="1"/>
    <xf numFmtId="191" fontId="23" fillId="0" borderId="40" xfId="1" applyNumberFormat="1" applyFont="1" applyFill="1" applyBorder="1" applyAlignment="1">
      <alignment horizontal="center"/>
    </xf>
    <xf numFmtId="191" fontId="23" fillId="0" borderId="49" xfId="1" applyNumberFormat="1" applyFont="1" applyFill="1" applyBorder="1" applyAlignment="1">
      <alignment horizontal="center"/>
    </xf>
    <xf numFmtId="191" fontId="25" fillId="0" borderId="39" xfId="1" applyNumberFormat="1" applyFont="1" applyFill="1" applyBorder="1" applyAlignment="1">
      <alignment horizontal="center"/>
    </xf>
    <xf numFmtId="191" fontId="22" fillId="0" borderId="70" xfId="1" applyNumberFormat="1" applyFont="1" applyBorder="1" applyAlignment="1">
      <alignment horizontal="right"/>
    </xf>
    <xf numFmtId="191" fontId="26" fillId="0" borderId="71" xfId="1" applyNumberFormat="1" applyFont="1" applyFill="1" applyBorder="1" applyAlignment="1">
      <alignment horizontal="center"/>
    </xf>
    <xf numFmtId="191" fontId="26" fillId="0" borderId="72" xfId="1" applyNumberFormat="1" applyFont="1" applyFill="1" applyBorder="1" applyAlignment="1">
      <alignment horizontal="center"/>
    </xf>
    <xf numFmtId="191" fontId="24" fillId="0" borderId="73" xfId="1" applyNumberFormat="1" applyFont="1" applyFill="1" applyBorder="1" applyAlignment="1">
      <alignment horizontal="center"/>
    </xf>
    <xf numFmtId="0" fontId="29" fillId="0" borderId="0" xfId="0" applyFont="1" applyAlignment="1"/>
    <xf numFmtId="0" fontId="29" fillId="0" borderId="0" xfId="0" applyFont="1"/>
    <xf numFmtId="0" fontId="29" fillId="12" borderId="28" xfId="5" applyFont="1" applyFill="1" applyBorder="1" applyAlignment="1">
      <alignment horizontal="center"/>
    </xf>
    <xf numFmtId="0" fontId="28" fillId="12" borderId="29" xfId="5" applyFont="1" applyFill="1" applyBorder="1" applyAlignment="1">
      <alignment horizontal="center" shrinkToFit="1"/>
    </xf>
    <xf numFmtId="0" fontId="29" fillId="12" borderId="30" xfId="0" applyFont="1" applyFill="1" applyBorder="1" applyAlignment="1">
      <alignment horizontal="center"/>
    </xf>
    <xf numFmtId="0" fontId="29" fillId="0" borderId="36" xfId="5" applyFont="1" applyBorder="1" applyAlignment="1">
      <alignment horizontal="center"/>
    </xf>
    <xf numFmtId="0" fontId="28" fillId="0" borderId="44" xfId="5" applyFont="1" applyBorder="1" applyAlignment="1">
      <alignment horizontal="left" shrinkToFit="1"/>
    </xf>
    <xf numFmtId="43" fontId="28" fillId="2" borderId="38" xfId="1" applyFont="1" applyFill="1" applyBorder="1" applyAlignment="1">
      <alignment horizontal="center" shrinkToFit="1"/>
    </xf>
    <xf numFmtId="0" fontId="29" fillId="0" borderId="44" xfId="5" applyFont="1" applyBorder="1" applyAlignment="1">
      <alignment shrinkToFit="1"/>
    </xf>
    <xf numFmtId="0" fontId="29" fillId="0" borderId="44" xfId="5" applyFont="1" applyBorder="1" applyAlignment="1">
      <alignment horizontal="left" shrinkToFit="1"/>
    </xf>
    <xf numFmtId="0" fontId="28" fillId="0" borderId="44" xfId="5" applyFont="1" applyBorder="1" applyAlignment="1">
      <alignment shrinkToFit="1"/>
    </xf>
    <xf numFmtId="0" fontId="29" fillId="0" borderId="44" xfId="5" applyFont="1" applyBorder="1" applyAlignment="1">
      <alignment horizontal="left" vertical="center" shrinkToFit="1"/>
    </xf>
    <xf numFmtId="0" fontId="28" fillId="0" borderId="44" xfId="5" applyFont="1" applyBorder="1" applyAlignment="1">
      <alignment horizontal="left" vertical="center" shrinkToFit="1"/>
    </xf>
    <xf numFmtId="0" fontId="29" fillId="0" borderId="28" xfId="5" applyFont="1" applyBorder="1" applyAlignment="1">
      <alignment horizontal="center"/>
    </xf>
    <xf numFmtId="0" fontId="29" fillId="0" borderId="29" xfId="5" applyFont="1" applyBorder="1" applyAlignment="1">
      <alignment shrinkToFit="1"/>
    </xf>
    <xf numFmtId="0" fontId="30" fillId="0" borderId="0" xfId="0" applyFont="1"/>
    <xf numFmtId="1" fontId="19" fillId="2" borderId="40" xfId="1" applyNumberFormat="1" applyFont="1" applyFill="1" applyBorder="1" applyAlignment="1">
      <alignment horizontal="center"/>
    </xf>
    <xf numFmtId="1" fontId="19" fillId="2" borderId="49" xfId="1" applyNumberFormat="1" applyFont="1" applyFill="1" applyBorder="1" applyAlignment="1">
      <alignment horizontal="center"/>
    </xf>
    <xf numFmtId="43" fontId="22" fillId="0" borderId="55" xfId="1" applyFont="1" applyBorder="1" applyAlignment="1">
      <alignment horizontal="right"/>
    </xf>
    <xf numFmtId="0" fontId="13" fillId="0" borderId="0" xfId="0" applyFont="1"/>
    <xf numFmtId="0" fontId="13" fillId="12" borderId="40" xfId="5" applyFont="1" applyFill="1" applyBorder="1" applyAlignment="1">
      <alignment horizontal="center"/>
    </xf>
    <xf numFmtId="0" fontId="7" fillId="12" borderId="49" xfId="5" applyFont="1" applyFill="1" applyBorder="1" applyAlignment="1">
      <alignment horizontal="center" shrinkToFit="1"/>
    </xf>
    <xf numFmtId="0" fontId="13" fillId="12" borderId="39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5" applyFont="1" applyBorder="1" applyAlignment="1">
      <alignment horizontal="center" shrinkToFit="1"/>
    </xf>
    <xf numFmtId="0" fontId="13" fillId="2" borderId="7" xfId="5" applyFont="1" applyFill="1" applyBorder="1" applyAlignment="1">
      <alignment horizontal="left" shrinkToFit="1"/>
    </xf>
    <xf numFmtId="191" fontId="7" fillId="2" borderId="8" xfId="1" applyNumberFormat="1" applyFont="1" applyFill="1" applyBorder="1" applyAlignment="1">
      <alignment horizontal="center" shrinkToFit="1"/>
    </xf>
    <xf numFmtId="0" fontId="13" fillId="0" borderId="36" xfId="5" applyFont="1" applyBorder="1" applyAlignment="1">
      <alignment horizontal="center" shrinkToFit="1"/>
    </xf>
    <xf numFmtId="0" fontId="13" fillId="2" borderId="44" xfId="5" applyFont="1" applyFill="1" applyBorder="1" applyAlignment="1">
      <alignment horizontal="left" shrinkToFit="1"/>
    </xf>
    <xf numFmtId="191" fontId="7" fillId="2" borderId="35" xfId="1" applyNumberFormat="1" applyFont="1" applyFill="1" applyBorder="1" applyAlignment="1">
      <alignment horizontal="center" shrinkToFit="1"/>
    </xf>
    <xf numFmtId="0" fontId="13" fillId="0" borderId="0" xfId="0" applyFont="1" applyAlignment="1">
      <alignment shrinkToFit="1"/>
    </xf>
    <xf numFmtId="191" fontId="13" fillId="0" borderId="0" xfId="1" applyNumberFormat="1" applyFont="1" applyAlignment="1">
      <alignment shrinkToFit="1"/>
    </xf>
    <xf numFmtId="0" fontId="0" fillId="0" borderId="0" xfId="0" applyAlignment="1">
      <alignment shrinkToFit="1"/>
    </xf>
    <xf numFmtId="188" fontId="6" fillId="0" borderId="37" xfId="1" applyNumberFormat="1" applyFont="1" applyFill="1" applyBorder="1" applyAlignment="1">
      <alignment horizontal="center"/>
    </xf>
    <xf numFmtId="188" fontId="6" fillId="0" borderId="48" xfId="1" applyNumberFormat="1" applyFont="1" applyFill="1" applyBorder="1" applyAlignment="1">
      <alignment horizontal="right"/>
    </xf>
    <xf numFmtId="0" fontId="6" fillId="0" borderId="41" xfId="0" applyFont="1" applyBorder="1"/>
    <xf numFmtId="9" fontId="6" fillId="0" borderId="0" xfId="2" applyFont="1"/>
    <xf numFmtId="10" fontId="8" fillId="14" borderId="55" xfId="2" applyNumberFormat="1" applyFont="1" applyFill="1" applyBorder="1" applyAlignment="1"/>
    <xf numFmtId="192" fontId="8" fillId="0" borderId="0" xfId="2" applyNumberFormat="1" applyFont="1" applyAlignment="1">
      <alignment horizontal="right"/>
    </xf>
    <xf numFmtId="188" fontId="6" fillId="15" borderId="9" xfId="1" applyNumberFormat="1" applyFont="1" applyFill="1" applyBorder="1" applyAlignment="1">
      <alignment horizontal="right"/>
    </xf>
    <xf numFmtId="188" fontId="6" fillId="15" borderId="0" xfId="1" applyNumberFormat="1" applyFont="1" applyFill="1" applyBorder="1" applyAlignment="1">
      <alignment horizontal="right"/>
    </xf>
    <xf numFmtId="188" fontId="6" fillId="15" borderId="10" xfId="1" applyNumberFormat="1" applyFont="1" applyFill="1" applyBorder="1" applyAlignment="1">
      <alignment horizontal="right"/>
    </xf>
    <xf numFmtId="188" fontId="6" fillId="15" borderId="60" xfId="1" applyNumberFormat="1" applyFont="1" applyFill="1" applyBorder="1" applyAlignment="1">
      <alignment horizontal="right"/>
    </xf>
    <xf numFmtId="188" fontId="9" fillId="15" borderId="22" xfId="1" applyNumberFormat="1" applyFont="1" applyFill="1" applyBorder="1" applyAlignment="1">
      <alignment horizontal="right"/>
    </xf>
    <xf numFmtId="188" fontId="9" fillId="15" borderId="5" xfId="1" applyNumberFormat="1" applyFont="1" applyFill="1" applyBorder="1" applyAlignment="1">
      <alignment horizontal="right"/>
    </xf>
    <xf numFmtId="188" fontId="9" fillId="15" borderId="23" xfId="1" applyNumberFormat="1" applyFont="1" applyFill="1" applyBorder="1" applyAlignment="1">
      <alignment horizontal="right"/>
    </xf>
    <xf numFmtId="188" fontId="9" fillId="15" borderId="57" xfId="1" applyNumberFormat="1" applyFont="1" applyFill="1" applyBorder="1" applyAlignment="1">
      <alignment horizontal="right"/>
    </xf>
    <xf numFmtId="43" fontId="6" fillId="2" borderId="0" xfId="1" applyFont="1" applyFill="1" applyBorder="1" applyAlignment="1">
      <alignment horizontal="right"/>
    </xf>
    <xf numFmtId="188" fontId="8" fillId="3" borderId="41" xfId="1" applyNumberFormat="1" applyFont="1" applyFill="1" applyBorder="1" applyAlignment="1">
      <alignment horizontal="right"/>
    </xf>
    <xf numFmtId="188" fontId="8" fillId="3" borderId="63" xfId="1" applyNumberFormat="1" applyFont="1" applyFill="1" applyBorder="1" applyAlignment="1">
      <alignment horizontal="right"/>
    </xf>
    <xf numFmtId="188" fontId="8" fillId="3" borderId="64" xfId="1" applyNumberFormat="1" applyFont="1" applyFill="1" applyBorder="1" applyAlignment="1">
      <alignment horizontal="right"/>
    </xf>
    <xf numFmtId="188" fontId="8" fillId="3" borderId="85" xfId="1" applyNumberFormat="1" applyFont="1" applyFill="1" applyBorder="1" applyAlignment="1">
      <alignment horizontal="right"/>
    </xf>
    <xf numFmtId="188" fontId="8" fillId="3" borderId="86" xfId="1" applyNumberFormat="1" applyFont="1" applyFill="1" applyBorder="1" applyAlignment="1">
      <alignment horizontal="right"/>
    </xf>
    <xf numFmtId="188" fontId="6" fillId="4" borderId="33" xfId="1" applyNumberFormat="1" applyFont="1" applyFill="1" applyBorder="1" applyAlignment="1">
      <alignment horizontal="center"/>
    </xf>
    <xf numFmtId="188" fontId="8" fillId="0" borderId="41" xfId="1" applyNumberFormat="1" applyFont="1" applyFill="1" applyBorder="1" applyAlignment="1">
      <alignment horizontal="right"/>
    </xf>
    <xf numFmtId="188" fontId="8" fillId="0" borderId="55" xfId="1" applyNumberFormat="1" applyFont="1" applyFill="1" applyBorder="1" applyAlignment="1">
      <alignment horizontal="center"/>
    </xf>
    <xf numFmtId="188" fontId="6" fillId="0" borderId="41" xfId="1" applyNumberFormat="1" applyFont="1" applyFill="1" applyBorder="1" applyAlignment="1">
      <alignment horizontal="right"/>
    </xf>
    <xf numFmtId="188" fontId="9" fillId="0" borderId="63" xfId="1" applyNumberFormat="1" applyFont="1" applyFill="1" applyBorder="1" applyAlignment="1">
      <alignment horizontal="right"/>
    </xf>
    <xf numFmtId="188" fontId="6" fillId="0" borderId="64" xfId="1" applyNumberFormat="1" applyFont="1" applyFill="1" applyBorder="1" applyAlignment="1">
      <alignment horizontal="right"/>
    </xf>
    <xf numFmtId="188" fontId="9" fillId="0" borderId="64" xfId="1" applyNumberFormat="1" applyFont="1" applyFill="1" applyBorder="1" applyAlignment="1">
      <alignment horizontal="right"/>
    </xf>
    <xf numFmtId="188" fontId="9" fillId="0" borderId="85" xfId="1" applyNumberFormat="1" applyFont="1" applyFill="1" applyBorder="1" applyAlignment="1">
      <alignment horizontal="right"/>
    </xf>
    <xf numFmtId="188" fontId="9" fillId="0" borderId="41" xfId="1" applyNumberFormat="1" applyFont="1" applyFill="1" applyBorder="1" applyAlignment="1">
      <alignment horizontal="right"/>
    </xf>
    <xf numFmtId="188" fontId="7" fillId="0" borderId="64" xfId="1" applyNumberFormat="1" applyFont="1" applyFill="1" applyBorder="1" applyAlignment="1">
      <alignment horizontal="right"/>
    </xf>
    <xf numFmtId="188" fontId="7" fillId="0" borderId="41" xfId="1" applyNumberFormat="1" applyFont="1" applyFill="1" applyBorder="1" applyAlignment="1">
      <alignment horizontal="right"/>
    </xf>
    <xf numFmtId="188" fontId="10" fillId="0" borderId="86" xfId="1" applyNumberFormat="1" applyFont="1" applyFill="1" applyBorder="1" applyAlignment="1">
      <alignment horizontal="right"/>
    </xf>
    <xf numFmtId="0" fontId="6" fillId="9" borderId="0" xfId="0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9" fontId="6" fillId="0" borderId="41" xfId="2" applyFont="1" applyFill="1" applyBorder="1" applyAlignment="1">
      <alignment horizontal="center"/>
    </xf>
    <xf numFmtId="9" fontId="7" fillId="0" borderId="41" xfId="2" applyFont="1" applyFill="1" applyBorder="1" applyAlignment="1">
      <alignment horizontal="center"/>
    </xf>
    <xf numFmtId="9" fontId="9" fillId="0" borderId="63" xfId="2" applyFont="1" applyFill="1" applyBorder="1" applyAlignment="1">
      <alignment horizontal="center"/>
    </xf>
    <xf numFmtId="9" fontId="9" fillId="0" borderId="46" xfId="2" applyFont="1" applyFill="1" applyBorder="1" applyAlignment="1">
      <alignment horizontal="center"/>
    </xf>
    <xf numFmtId="9" fontId="6" fillId="0" borderId="0" xfId="2" applyFont="1" applyAlignment="1">
      <alignment horizontal="center"/>
    </xf>
    <xf numFmtId="188" fontId="5" fillId="0" borderId="44" xfId="1" applyNumberFormat="1" applyFont="1" applyFill="1" applyBorder="1" applyAlignment="1">
      <alignment horizontal="center"/>
    </xf>
    <xf numFmtId="188" fontId="5" fillId="0" borderId="36" xfId="1" applyNumberFormat="1" applyFont="1" applyFill="1" applyBorder="1" applyAlignment="1">
      <alignment horizontal="center"/>
    </xf>
    <xf numFmtId="188" fontId="5" fillId="0" borderId="35" xfId="1" applyNumberFormat="1" applyFont="1" applyFill="1" applyBorder="1" applyAlignment="1">
      <alignment horizontal="center"/>
    </xf>
    <xf numFmtId="188" fontId="5" fillId="0" borderId="78" xfId="1" applyNumberFormat="1" applyFont="1" applyFill="1" applyBorder="1" applyAlignment="1">
      <alignment horizontal="right"/>
    </xf>
    <xf numFmtId="188" fontId="5" fillId="0" borderId="84" xfId="1" applyNumberFormat="1" applyFont="1" applyFill="1" applyBorder="1" applyAlignment="1">
      <alignment horizontal="center"/>
    </xf>
    <xf numFmtId="188" fontId="6" fillId="0" borderId="84" xfId="1" applyNumberFormat="1" applyFont="1" applyFill="1" applyBorder="1" applyAlignment="1">
      <alignment horizontal="right"/>
    </xf>
    <xf numFmtId="188" fontId="6" fillId="0" borderId="33" xfId="1" applyNumberFormat="1" applyFont="1" applyFill="1" applyBorder="1" applyAlignment="1">
      <alignment horizontal="right"/>
    </xf>
    <xf numFmtId="0" fontId="6" fillId="3" borderId="10" xfId="0" applyFont="1" applyFill="1" applyBorder="1"/>
    <xf numFmtId="188" fontId="5" fillId="0" borderId="54" xfId="1" applyNumberFormat="1" applyFont="1" applyFill="1" applyBorder="1" applyAlignment="1">
      <alignment horizontal="center"/>
    </xf>
    <xf numFmtId="188" fontId="5" fillId="0" borderId="57" xfId="1" applyNumberFormat="1" applyFont="1" applyFill="1" applyBorder="1" applyAlignment="1">
      <alignment horizontal="center"/>
    </xf>
    <xf numFmtId="188" fontId="5" fillId="0" borderId="46" xfId="1" applyNumberFormat="1" applyFont="1" applyFill="1" applyBorder="1" applyAlignment="1">
      <alignment horizontal="center"/>
    </xf>
    <xf numFmtId="188" fontId="6" fillId="2" borderId="36" xfId="1" applyNumberFormat="1" applyFont="1" applyFill="1" applyBorder="1" applyAlignment="1">
      <alignment horizontal="center" shrinkToFit="1"/>
    </xf>
    <xf numFmtId="188" fontId="31" fillId="2" borderId="36" xfId="1" applyNumberFormat="1" applyFont="1" applyFill="1" applyBorder="1" applyAlignment="1">
      <alignment horizontal="center"/>
    </xf>
    <xf numFmtId="10" fontId="7" fillId="18" borderId="41" xfId="2" applyNumberFormat="1" applyFont="1" applyFill="1" applyBorder="1" applyAlignment="1">
      <alignment horizontal="center"/>
    </xf>
    <xf numFmtId="10" fontId="7" fillId="18" borderId="50" xfId="2" applyNumberFormat="1" applyFont="1" applyFill="1" applyBorder="1" applyAlignment="1">
      <alignment horizontal="center"/>
    </xf>
    <xf numFmtId="188" fontId="6" fillId="20" borderId="36" xfId="1" applyNumberFormat="1" applyFont="1" applyFill="1" applyBorder="1" applyAlignment="1">
      <alignment horizontal="center"/>
    </xf>
    <xf numFmtId="188" fontId="6" fillId="20" borderId="44" xfId="1" applyNumberFormat="1" applyFont="1" applyFill="1" applyBorder="1" applyAlignment="1">
      <alignment horizontal="right"/>
    </xf>
    <xf numFmtId="188" fontId="6" fillId="20" borderId="28" xfId="1" applyNumberFormat="1" applyFont="1" applyFill="1" applyBorder="1" applyAlignment="1">
      <alignment horizontal="center"/>
    </xf>
    <xf numFmtId="188" fontId="6" fillId="20" borderId="29" xfId="1" applyNumberFormat="1" applyFont="1" applyFill="1" applyBorder="1" applyAlignment="1">
      <alignment horizontal="right"/>
    </xf>
    <xf numFmtId="188" fontId="6" fillId="19" borderId="36" xfId="1" applyNumberFormat="1" applyFont="1" applyFill="1" applyBorder="1" applyAlignment="1">
      <alignment horizontal="center"/>
    </xf>
    <xf numFmtId="188" fontId="6" fillId="19" borderId="44" xfId="1" applyNumberFormat="1" applyFont="1" applyFill="1" applyBorder="1" applyAlignment="1">
      <alignment horizontal="right"/>
    </xf>
    <xf numFmtId="188" fontId="6" fillId="19" borderId="28" xfId="1" applyNumberFormat="1" applyFont="1" applyFill="1" applyBorder="1" applyAlignment="1">
      <alignment horizontal="center"/>
    </xf>
    <xf numFmtId="188" fontId="6" fillId="19" borderId="29" xfId="1" applyNumberFormat="1" applyFont="1" applyFill="1" applyBorder="1" applyAlignment="1">
      <alignment horizontal="right"/>
    </xf>
    <xf numFmtId="188" fontId="6" fillId="19" borderId="57" xfId="1" applyNumberFormat="1" applyFont="1" applyFill="1" applyBorder="1" applyAlignment="1">
      <alignment horizontal="center"/>
    </xf>
    <xf numFmtId="188" fontId="6" fillId="19" borderId="69" xfId="1" applyNumberFormat="1" applyFont="1" applyFill="1" applyBorder="1" applyAlignment="1">
      <alignment horizontal="center"/>
    </xf>
    <xf numFmtId="0" fontId="32" fillId="19" borderId="0" xfId="0" applyFont="1" applyFill="1"/>
    <xf numFmtId="43" fontId="6" fillId="2" borderId="41" xfId="1" applyFont="1" applyFill="1" applyBorder="1" applyAlignment="1">
      <alignment horizontal="left"/>
    </xf>
    <xf numFmtId="9" fontId="6" fillId="0" borderId="45" xfId="2" applyFont="1" applyFill="1" applyBorder="1" applyAlignment="1">
      <alignment horizontal="center"/>
    </xf>
    <xf numFmtId="9" fontId="6" fillId="2" borderId="46" xfId="2" applyFont="1" applyFill="1" applyBorder="1" applyAlignment="1">
      <alignment horizontal="center"/>
    </xf>
    <xf numFmtId="9" fontId="6" fillId="0" borderId="46" xfId="2" applyFont="1" applyFill="1" applyBorder="1" applyAlignment="1">
      <alignment horizontal="center"/>
    </xf>
    <xf numFmtId="9" fontId="6" fillId="0" borderId="47" xfId="2" applyFont="1" applyFill="1" applyBorder="1" applyAlignment="1">
      <alignment horizontal="center"/>
    </xf>
    <xf numFmtId="191" fontId="7" fillId="2" borderId="8" xfId="7" applyNumberFormat="1" applyFont="1" applyFill="1" applyBorder="1" applyAlignment="1">
      <alignment horizontal="center" shrinkToFit="1"/>
    </xf>
    <xf numFmtId="191" fontId="7" fillId="2" borderId="35" xfId="7" applyNumberFormat="1" applyFont="1" applyFill="1" applyBorder="1" applyAlignment="1">
      <alignment horizontal="center" shrinkToFit="1"/>
    </xf>
    <xf numFmtId="10" fontId="7" fillId="2" borderId="41" xfId="2" applyNumberFormat="1" applyFont="1" applyFill="1" applyBorder="1" applyAlignment="1">
      <alignment horizontal="center"/>
    </xf>
    <xf numFmtId="188" fontId="9" fillId="0" borderId="0" xfId="1" applyNumberFormat="1" applyFont="1" applyAlignment="1">
      <alignment horizontal="left"/>
    </xf>
    <xf numFmtId="0" fontId="34" fillId="12" borderId="0" xfId="0" applyFont="1" applyFill="1" applyAlignment="1"/>
    <xf numFmtId="188" fontId="13" fillId="22" borderId="0" xfId="0" applyNumberFormat="1" applyFont="1" applyFill="1"/>
    <xf numFmtId="188" fontId="36" fillId="2" borderId="0" xfId="0" applyNumberFormat="1" applyFont="1" applyFill="1"/>
    <xf numFmtId="0" fontId="34" fillId="0" borderId="0" xfId="0" applyFont="1" applyAlignment="1"/>
    <xf numFmtId="188" fontId="35" fillId="0" borderId="0" xfId="1" applyNumberFormat="1" applyFont="1" applyFill="1"/>
    <xf numFmtId="188" fontId="6" fillId="0" borderId="0" xfId="1" applyNumberFormat="1" applyFont="1" applyAlignment="1">
      <alignment horizontal="left"/>
    </xf>
    <xf numFmtId="188" fontId="37" fillId="0" borderId="0" xfId="1" applyNumberFormat="1" applyFont="1" applyFill="1"/>
    <xf numFmtId="0" fontId="36" fillId="12" borderId="0" xfId="0" applyFont="1" applyFill="1"/>
    <xf numFmtId="188" fontId="34" fillId="0" borderId="0" xfId="1" applyNumberFormat="1" applyFont="1" applyFill="1"/>
    <xf numFmtId="188" fontId="6" fillId="22" borderId="0" xfId="0" applyNumberFormat="1" applyFont="1" applyFill="1"/>
    <xf numFmtId="188" fontId="39" fillId="23" borderId="0" xfId="0" applyNumberFormat="1" applyFont="1" applyFill="1" applyAlignment="1">
      <alignment vertical="center"/>
    </xf>
    <xf numFmtId="0" fontId="6" fillId="3" borderId="34" xfId="0" applyFont="1" applyFill="1" applyBorder="1"/>
    <xf numFmtId="188" fontId="39" fillId="0" borderId="0" xfId="1" applyNumberFormat="1" applyFont="1" applyFill="1" applyAlignment="1">
      <alignment vertical="center"/>
    </xf>
    <xf numFmtId="0" fontId="13" fillId="8" borderId="71" xfId="0" applyFont="1" applyFill="1" applyBorder="1" applyAlignment="1">
      <alignment horizontal="center"/>
    </xf>
    <xf numFmtId="0" fontId="7" fillId="8" borderId="72" xfId="0" applyFont="1" applyFill="1" applyBorder="1" applyAlignment="1">
      <alignment horizontal="center" shrinkToFit="1"/>
    </xf>
    <xf numFmtId="0" fontId="7" fillId="8" borderId="81" xfId="0" applyFont="1" applyFill="1" applyBorder="1" applyAlignment="1">
      <alignment horizontal="center" shrinkToFit="1"/>
    </xf>
    <xf numFmtId="0" fontId="6" fillId="24" borderId="71" xfId="0" applyFont="1" applyFill="1" applyBorder="1" applyAlignment="1">
      <alignment horizontal="center"/>
    </xf>
    <xf numFmtId="0" fontId="6" fillId="24" borderId="73" xfId="0" applyFont="1" applyFill="1" applyBorder="1" applyAlignment="1">
      <alignment horizontal="center"/>
    </xf>
    <xf numFmtId="0" fontId="13" fillId="0" borderId="37" xfId="0" applyFont="1" applyBorder="1" applyAlignment="1">
      <alignment horizontal="right" shrinkToFit="1"/>
    </xf>
    <xf numFmtId="187" fontId="13" fillId="2" borderId="48" xfId="0" applyNumberFormat="1" applyFont="1" applyFill="1" applyBorder="1" applyAlignment="1">
      <alignment horizontal="right"/>
    </xf>
    <xf numFmtId="187" fontId="13" fillId="2" borderId="79" xfId="0" applyNumberFormat="1" applyFont="1" applyFill="1" applyBorder="1" applyAlignment="1">
      <alignment horizontal="right"/>
    </xf>
    <xf numFmtId="187" fontId="5" fillId="0" borderId="37" xfId="0" applyNumberFormat="1" applyFont="1" applyBorder="1"/>
    <xf numFmtId="43" fontId="5" fillId="0" borderId="38" xfId="0" applyNumberFormat="1" applyFont="1" applyBorder="1"/>
    <xf numFmtId="0" fontId="13" fillId="0" borderId="36" xfId="0" applyFont="1" applyBorder="1" applyAlignment="1">
      <alignment horizontal="right" shrinkToFit="1"/>
    </xf>
    <xf numFmtId="187" fontId="13" fillId="2" borderId="44" xfId="0" applyNumberFormat="1" applyFont="1" applyFill="1" applyBorder="1" applyAlignment="1">
      <alignment horizontal="right"/>
    </xf>
    <xf numFmtId="187" fontId="13" fillId="2" borderId="84" xfId="0" applyNumberFormat="1" applyFont="1" applyFill="1" applyBorder="1" applyAlignment="1">
      <alignment horizontal="right"/>
    </xf>
    <xf numFmtId="187" fontId="5" fillId="0" borderId="36" xfId="0" applyNumberFormat="1" applyFont="1" applyBorder="1"/>
    <xf numFmtId="43" fontId="5" fillId="0" borderId="35" xfId="0" applyNumberFormat="1" applyFont="1" applyBorder="1"/>
    <xf numFmtId="0" fontId="13" fillId="0" borderId="40" xfId="0" applyFont="1" applyBorder="1" applyAlignment="1">
      <alignment horizontal="right" shrinkToFit="1"/>
    </xf>
    <xf numFmtId="187" fontId="13" fillId="2" borderId="49" xfId="0" applyNumberFormat="1" applyFont="1" applyFill="1" applyBorder="1" applyAlignment="1">
      <alignment horizontal="right"/>
    </xf>
    <xf numFmtId="187" fontId="13" fillId="2" borderId="80" xfId="0" applyNumberFormat="1" applyFont="1" applyFill="1" applyBorder="1" applyAlignment="1">
      <alignment horizontal="right"/>
    </xf>
    <xf numFmtId="187" fontId="5" fillId="0" borderId="40" xfId="0" applyNumberFormat="1" applyFont="1" applyBorder="1"/>
    <xf numFmtId="43" fontId="5" fillId="0" borderId="39" xfId="0" applyNumberFormat="1" applyFont="1" applyBorder="1"/>
    <xf numFmtId="0" fontId="13" fillId="0" borderId="71" xfId="0" applyFont="1" applyBorder="1" applyAlignment="1">
      <alignment horizontal="right"/>
    </xf>
    <xf numFmtId="187" fontId="9" fillId="0" borderId="72" xfId="0" applyNumberFormat="1" applyFont="1" applyBorder="1" applyAlignment="1">
      <alignment horizontal="right"/>
    </xf>
    <xf numFmtId="187" fontId="9" fillId="0" borderId="73" xfId="0" applyNumberFormat="1" applyFont="1" applyBorder="1" applyAlignment="1">
      <alignment horizontal="right"/>
    </xf>
    <xf numFmtId="43" fontId="5" fillId="0" borderId="74" xfId="1" applyFont="1" applyBorder="1"/>
    <xf numFmtId="43" fontId="5" fillId="0" borderId="73" xfId="0" applyNumberFormat="1" applyFont="1" applyBorder="1"/>
    <xf numFmtId="188" fontId="8" fillId="0" borderId="0" xfId="0" applyNumberFormat="1" applyFont="1"/>
    <xf numFmtId="43" fontId="5" fillId="0" borderId="37" xfId="1" applyFont="1" applyFill="1" applyBorder="1" applyAlignment="1">
      <alignment horizontal="left" shrinkToFit="1"/>
    </xf>
    <xf numFmtId="43" fontId="5" fillId="0" borderId="48" xfId="1" applyFont="1" applyFill="1" applyBorder="1" applyAlignment="1">
      <alignment horizontal="right"/>
    </xf>
    <xf numFmtId="43" fontId="5" fillId="0" borderId="38" xfId="1" applyFont="1" applyFill="1" applyBorder="1" applyAlignment="1">
      <alignment horizontal="right"/>
    </xf>
    <xf numFmtId="43" fontId="5" fillId="0" borderId="37" xfId="1" applyFont="1" applyFill="1" applyBorder="1" applyAlignment="1">
      <alignment horizontal="center" shrinkToFit="1"/>
    </xf>
    <xf numFmtId="43" fontId="6" fillId="0" borderId="40" xfId="1" applyFont="1" applyFill="1" applyBorder="1" applyAlignment="1">
      <alignment horizontal="left" shrinkToFit="1"/>
    </xf>
    <xf numFmtId="43" fontId="6" fillId="0" borderId="49" xfId="1" applyFont="1" applyFill="1" applyBorder="1" applyAlignment="1">
      <alignment horizontal="right"/>
    </xf>
    <xf numFmtId="43" fontId="6" fillId="0" borderId="39" xfId="1" applyFont="1" applyFill="1" applyBorder="1" applyAlignment="1">
      <alignment horizontal="right"/>
    </xf>
    <xf numFmtId="43" fontId="6" fillId="0" borderId="40" xfId="1" applyFont="1" applyFill="1" applyBorder="1" applyAlignment="1">
      <alignment horizontal="center" shrinkToFit="1"/>
    </xf>
    <xf numFmtId="9" fontId="6" fillId="0" borderId="31" xfId="2" applyFont="1" applyFill="1" applyBorder="1" applyAlignment="1">
      <alignment horizontal="center" shrinkToFit="1"/>
    </xf>
    <xf numFmtId="9" fontId="6" fillId="0" borderId="26" xfId="2" applyFont="1" applyFill="1" applyBorder="1" applyAlignment="1">
      <alignment horizontal="center" shrinkToFit="1"/>
    </xf>
    <xf numFmtId="9" fontId="6" fillId="0" borderId="22" xfId="2" applyFont="1" applyFill="1" applyBorder="1" applyAlignment="1">
      <alignment horizontal="center" shrinkToFit="1"/>
    </xf>
    <xf numFmtId="9" fontId="6" fillId="0" borderId="27" xfId="2" applyFont="1" applyFill="1" applyBorder="1" applyAlignment="1">
      <alignment horizontal="center" shrinkToFit="1"/>
    </xf>
    <xf numFmtId="9" fontId="6" fillId="0" borderId="24" xfId="2" applyFont="1" applyFill="1" applyBorder="1" applyAlignment="1">
      <alignment horizontal="center" shrinkToFit="1"/>
    </xf>
    <xf numFmtId="9" fontId="6" fillId="0" borderId="19" xfId="2" applyFont="1" applyFill="1" applyBorder="1" applyAlignment="1">
      <alignment horizontal="center" shrinkToFit="1"/>
    </xf>
    <xf numFmtId="0" fontId="6" fillId="0" borderId="0" xfId="0" applyFont="1" applyAlignment="1">
      <alignment horizontal="center" shrinkToFit="1"/>
    </xf>
    <xf numFmtId="43" fontId="9" fillId="0" borderId="41" xfId="1" applyFont="1" applyFill="1" applyBorder="1" applyAlignment="1">
      <alignment horizontal="left"/>
    </xf>
    <xf numFmtId="9" fontId="31" fillId="0" borderId="22" xfId="2" applyFont="1" applyFill="1" applyBorder="1" applyAlignment="1">
      <alignment horizontal="center" shrinkToFit="1"/>
    </xf>
    <xf numFmtId="43" fontId="6" fillId="0" borderId="35" xfId="1" applyFont="1" applyFill="1" applyBorder="1" applyAlignment="1">
      <alignment horizontal="right"/>
    </xf>
    <xf numFmtId="188" fontId="40" fillId="8" borderId="40" xfId="1" applyNumberFormat="1" applyFont="1" applyFill="1" applyBorder="1" applyAlignment="1">
      <alignment horizontal="center"/>
    </xf>
    <xf numFmtId="188" fontId="40" fillId="8" borderId="49" xfId="1" applyNumberFormat="1" applyFont="1" applyFill="1" applyBorder="1" applyAlignment="1">
      <alignment horizontal="center"/>
    </xf>
    <xf numFmtId="188" fontId="40" fillId="8" borderId="39" xfId="1" applyNumberFormat="1" applyFont="1" applyFill="1" applyBorder="1" applyAlignment="1">
      <alignment horizontal="center"/>
    </xf>
    <xf numFmtId="0" fontId="40" fillId="0" borderId="0" xfId="0" applyFont="1"/>
    <xf numFmtId="0" fontId="40" fillId="0" borderId="0" xfId="0" applyFont="1" applyAlignment="1">
      <alignment horizontal="center"/>
    </xf>
    <xf numFmtId="43" fontId="40" fillId="2" borderId="36" xfId="1" applyFont="1" applyFill="1" applyBorder="1"/>
    <xf numFmtId="43" fontId="40" fillId="2" borderId="44" xfId="1" applyFont="1" applyFill="1" applyBorder="1"/>
    <xf numFmtId="43" fontId="40" fillId="2" borderId="35" xfId="1" applyFont="1" applyFill="1" applyBorder="1"/>
    <xf numFmtId="43" fontId="40" fillId="2" borderId="28" xfId="1" applyFont="1" applyFill="1" applyBorder="1"/>
    <xf numFmtId="43" fontId="40" fillId="2" borderId="29" xfId="1" applyFont="1" applyFill="1" applyBorder="1"/>
    <xf numFmtId="43" fontId="40" fillId="2" borderId="30" xfId="1" applyFont="1" applyFill="1" applyBorder="1"/>
    <xf numFmtId="43" fontId="40" fillId="0" borderId="88" xfId="1" applyFont="1" applyBorder="1"/>
    <xf numFmtId="188" fontId="40" fillId="8" borderId="80" xfId="1" applyNumberFormat="1" applyFont="1" applyFill="1" applyBorder="1" applyAlignment="1">
      <alignment horizontal="center"/>
    </xf>
    <xf numFmtId="43" fontId="40" fillId="2" borderId="84" xfId="1" applyFont="1" applyFill="1" applyBorder="1"/>
    <xf numFmtId="43" fontId="40" fillId="2" borderId="33" xfId="1" applyFont="1" applyFill="1" applyBorder="1"/>
    <xf numFmtId="43" fontId="40" fillId="0" borderId="19" xfId="1" applyFont="1" applyBorder="1"/>
    <xf numFmtId="43" fontId="40" fillId="0" borderId="20" xfId="1" applyFont="1" applyBorder="1"/>
    <xf numFmtId="43" fontId="40" fillId="0" borderId="21" xfId="1" applyFont="1" applyBorder="1"/>
    <xf numFmtId="43" fontId="40" fillId="2" borderId="40" xfId="1" applyFont="1" applyFill="1" applyBorder="1"/>
    <xf numFmtId="43" fontId="40" fillId="2" borderId="49" xfId="1" applyFont="1" applyFill="1" applyBorder="1"/>
    <xf numFmtId="43" fontId="40" fillId="2" borderId="80" xfId="1" applyFont="1" applyFill="1" applyBorder="1"/>
    <xf numFmtId="43" fontId="40" fillId="2" borderId="39" xfId="1" applyFont="1" applyFill="1" applyBorder="1"/>
    <xf numFmtId="188" fontId="40" fillId="8" borderId="59" xfId="1" applyNumberFormat="1" applyFont="1" applyFill="1" applyBorder="1" applyAlignment="1">
      <alignment horizontal="center"/>
    </xf>
    <xf numFmtId="43" fontId="40" fillId="2" borderId="57" xfId="1" applyFont="1" applyFill="1" applyBorder="1"/>
    <xf numFmtId="43" fontId="40" fillId="2" borderId="59" xfId="1" applyFont="1" applyFill="1" applyBorder="1"/>
    <xf numFmtId="43" fontId="40" fillId="2" borderId="69" xfId="1" applyFont="1" applyFill="1" applyBorder="1"/>
    <xf numFmtId="0" fontId="40" fillId="0" borderId="36" xfId="0" applyFont="1" applyBorder="1" applyAlignment="1">
      <alignment horizontal="center"/>
    </xf>
    <xf numFmtId="0" fontId="40" fillId="0" borderId="36" xfId="0" applyFont="1" applyBorder="1"/>
    <xf numFmtId="0" fontId="28" fillId="0" borderId="28" xfId="0" applyFont="1" applyBorder="1" applyAlignment="1">
      <alignment horizontal="center"/>
    </xf>
    <xf numFmtId="0" fontId="40" fillId="0" borderId="30" xfId="0" applyFont="1" applyBorder="1" applyAlignment="1">
      <alignment horizontal="left"/>
    </xf>
    <xf numFmtId="0" fontId="40" fillId="0" borderId="37" xfId="0" applyFont="1" applyBorder="1" applyAlignment="1">
      <alignment horizontal="center"/>
    </xf>
    <xf numFmtId="0" fontId="40" fillId="0" borderId="28" xfId="0" applyFont="1" applyBorder="1" applyAlignment="1">
      <alignment horizontal="center" vertical="center"/>
    </xf>
    <xf numFmtId="0" fontId="40" fillId="0" borderId="0" xfId="0" applyFont="1" applyAlignment="1">
      <alignment horizontal="left"/>
    </xf>
    <xf numFmtId="0" fontId="40" fillId="0" borderId="79" xfId="0" applyFont="1" applyBorder="1"/>
    <xf numFmtId="0" fontId="40" fillId="0" borderId="84" xfId="0" applyFont="1" applyBorder="1"/>
    <xf numFmtId="0" fontId="40" fillId="0" borderId="30" xfId="0" applyFont="1" applyBorder="1" applyAlignment="1">
      <alignment horizontal="center" vertical="center" wrapText="1"/>
    </xf>
    <xf numFmtId="0" fontId="40" fillId="2" borderId="37" xfId="0" applyFont="1" applyFill="1" applyBorder="1"/>
    <xf numFmtId="0" fontId="40" fillId="2" borderId="36" xfId="0" applyFont="1" applyFill="1" applyBorder="1"/>
    <xf numFmtId="0" fontId="40" fillId="2" borderId="35" xfId="0" applyFont="1" applyFill="1" applyBorder="1"/>
    <xf numFmtId="0" fontId="40" fillId="2" borderId="28" xfId="0" applyFont="1" applyFill="1" applyBorder="1"/>
    <xf numFmtId="0" fontId="40" fillId="2" borderId="30" xfId="0" applyFont="1" applyFill="1" applyBorder="1"/>
    <xf numFmtId="0" fontId="36" fillId="0" borderId="0" xfId="3" applyFont="1" applyAlignment="1">
      <alignment horizontal="left"/>
    </xf>
    <xf numFmtId="190" fontId="6" fillId="0" borderId="0" xfId="4" applyNumberFormat="1" applyFont="1" applyAlignment="1">
      <alignment horizontal="left"/>
    </xf>
    <xf numFmtId="190" fontId="5" fillId="0" borderId="0" xfId="4" applyNumberFormat="1" applyFont="1" applyAlignment="1">
      <alignment horizontal="center"/>
    </xf>
    <xf numFmtId="190" fontId="5" fillId="0" borderId="0" xfId="4" applyNumberFormat="1" applyFont="1" applyAlignment="1"/>
    <xf numFmtId="190" fontId="6" fillId="0" borderId="0" xfId="4" applyNumberFormat="1" applyFont="1" applyAlignment="1">
      <alignment horizontal="center"/>
    </xf>
    <xf numFmtId="190" fontId="6" fillId="2" borderId="0" xfId="4" applyNumberFormat="1" applyFont="1" applyFill="1" applyAlignment="1">
      <alignment horizontal="center"/>
    </xf>
    <xf numFmtId="190" fontId="6" fillId="18" borderId="0" xfId="4" applyNumberFormat="1" applyFont="1" applyFill="1" applyAlignment="1">
      <alignment horizontal="center"/>
    </xf>
    <xf numFmtId="190" fontId="13" fillId="0" borderId="0" xfId="6" applyNumberFormat="1" applyFont="1" applyAlignment="1">
      <alignment horizontal="center"/>
    </xf>
    <xf numFmtId="0" fontId="28" fillId="12" borderId="44" xfId="5" applyFont="1" applyFill="1" applyBorder="1" applyAlignment="1">
      <alignment horizontal="center" shrinkToFit="1"/>
    </xf>
    <xf numFmtId="0" fontId="29" fillId="12" borderId="44" xfId="0" applyFont="1" applyFill="1" applyBorder="1" applyAlignment="1">
      <alignment horizontal="center"/>
    </xf>
    <xf numFmtId="43" fontId="28" fillId="2" borderId="44" xfId="1" applyFont="1" applyFill="1" applyBorder="1" applyAlignment="1">
      <alignment horizontal="center" shrinkToFit="1"/>
    </xf>
    <xf numFmtId="43" fontId="29" fillId="2" borderId="44" xfId="1" applyFont="1" applyFill="1" applyBorder="1"/>
    <xf numFmtId="43" fontId="28" fillId="0" borderId="44" xfId="1" applyFont="1" applyFill="1" applyBorder="1" applyAlignment="1">
      <alignment horizontal="center" shrinkToFit="1"/>
    </xf>
    <xf numFmtId="0" fontId="29" fillId="0" borderId="44" xfId="0" applyFont="1" applyBorder="1"/>
    <xf numFmtId="0" fontId="29" fillId="12" borderId="36" xfId="5" applyFont="1" applyFill="1" applyBorder="1" applyAlignment="1">
      <alignment horizontal="center"/>
    </xf>
    <xf numFmtId="43" fontId="29" fillId="0" borderId="35" xfId="0" applyNumberFormat="1" applyFont="1" applyBorder="1"/>
    <xf numFmtId="43" fontId="28" fillId="0" borderId="29" xfId="1" applyFont="1" applyFill="1" applyBorder="1" applyAlignment="1">
      <alignment horizontal="center" shrinkToFit="1"/>
    </xf>
    <xf numFmtId="0" fontId="29" fillId="0" borderId="29" xfId="0" applyFont="1" applyBorder="1"/>
    <xf numFmtId="43" fontId="29" fillId="0" borderId="30" xfId="0" applyNumberFormat="1" applyFont="1" applyBorder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7" fillId="13" borderId="44" xfId="0" applyFont="1" applyFill="1" applyBorder="1" applyAlignment="1">
      <alignment horizontal="center" vertical="center"/>
    </xf>
    <xf numFmtId="0" fontId="40" fillId="2" borderId="44" xfId="0" applyFont="1" applyFill="1" applyBorder="1" applyAlignment="1">
      <alignment vertical="center"/>
    </xf>
    <xf numFmtId="0" fontId="40" fillId="0" borderId="44" xfId="0" applyFont="1" applyBorder="1" applyAlignment="1">
      <alignment vertical="center"/>
    </xf>
    <xf numFmtId="0" fontId="40" fillId="2" borderId="44" xfId="0" applyFont="1" applyFill="1" applyBorder="1" applyAlignment="1">
      <alignment horizontal="center" vertical="center"/>
    </xf>
    <xf numFmtId="0" fontId="19" fillId="13" borderId="35" xfId="0" applyFont="1" applyFill="1" applyBorder="1" applyAlignment="1">
      <alignment horizontal="center" vertical="center"/>
    </xf>
    <xf numFmtId="0" fontId="40" fillId="0" borderId="36" xfId="0" applyFont="1" applyBorder="1" applyAlignment="1">
      <alignment horizontal="center" vertical="center"/>
    </xf>
    <xf numFmtId="0" fontId="41" fillId="0" borderId="35" xfId="0" applyFont="1" applyBorder="1" applyAlignment="1">
      <alignment horizontal="center" vertical="center"/>
    </xf>
    <xf numFmtId="0" fontId="40" fillId="2" borderId="29" xfId="0" applyFont="1" applyFill="1" applyBorder="1" applyAlignment="1">
      <alignment vertical="center"/>
    </xf>
    <xf numFmtId="0" fontId="40" fillId="2" borderId="29" xfId="0" applyFont="1" applyFill="1" applyBorder="1" applyAlignment="1">
      <alignment horizontal="center" vertical="center"/>
    </xf>
    <xf numFmtId="0" fontId="41" fillId="0" borderId="30" xfId="0" applyFont="1" applyBorder="1" applyAlignment="1">
      <alignment horizontal="center" vertical="center"/>
    </xf>
    <xf numFmtId="0" fontId="40" fillId="8" borderId="44" xfId="0" applyFont="1" applyFill="1" applyBorder="1" applyAlignment="1">
      <alignment horizontal="center" vertical="center"/>
    </xf>
    <xf numFmtId="0" fontId="40" fillId="8" borderId="44" xfId="0" applyFont="1" applyFill="1" applyBorder="1" applyAlignment="1">
      <alignment horizontal="center" vertical="center" wrapText="1"/>
    </xf>
    <xf numFmtId="43" fontId="40" fillId="2" borderId="44" xfId="1" applyFont="1" applyFill="1" applyBorder="1" applyAlignment="1">
      <alignment vertical="center"/>
    </xf>
    <xf numFmtId="43" fontId="40" fillId="0" borderId="44" xfId="1" applyFont="1" applyBorder="1" applyAlignment="1">
      <alignment vertical="center"/>
    </xf>
    <xf numFmtId="43" fontId="41" fillId="0" borderId="44" xfId="1" applyFont="1" applyBorder="1" applyAlignment="1">
      <alignment vertical="center"/>
    </xf>
    <xf numFmtId="43" fontId="40" fillId="2" borderId="29" xfId="1" applyFont="1" applyFill="1" applyBorder="1" applyAlignment="1">
      <alignment vertical="center"/>
    </xf>
    <xf numFmtId="43" fontId="40" fillId="0" borderId="29" xfId="1" applyFont="1" applyBorder="1" applyAlignment="1">
      <alignment vertical="center"/>
    </xf>
    <xf numFmtId="43" fontId="41" fillId="0" borderId="29" xfId="1" applyFont="1" applyBorder="1" applyAlignment="1">
      <alignment vertical="center"/>
    </xf>
    <xf numFmtId="43" fontId="41" fillId="0" borderId="35" xfId="1" applyFont="1" applyBorder="1" applyAlignment="1">
      <alignment vertical="center"/>
    </xf>
    <xf numFmtId="0" fontId="40" fillId="0" borderId="29" xfId="0" applyFont="1" applyBorder="1" applyAlignment="1">
      <alignment horizontal="right" vertical="center"/>
    </xf>
    <xf numFmtId="43" fontId="41" fillId="0" borderId="30" xfId="1" applyFont="1" applyBorder="1" applyAlignment="1">
      <alignment vertical="center"/>
    </xf>
    <xf numFmtId="0" fontId="40" fillId="0" borderId="37" xfId="0" applyFont="1" applyBorder="1" applyAlignment="1">
      <alignment horizontal="center" vertical="center"/>
    </xf>
    <xf numFmtId="0" fontId="40" fillId="0" borderId="48" xfId="0" applyFont="1" applyBorder="1" applyAlignment="1">
      <alignment vertical="center"/>
    </xf>
    <xf numFmtId="43" fontId="40" fillId="0" borderId="48" xfId="1" applyFont="1" applyBorder="1" applyAlignment="1">
      <alignment vertical="center"/>
    </xf>
    <xf numFmtId="43" fontId="41" fillId="0" borderId="38" xfId="1" applyFont="1" applyBorder="1" applyAlignment="1">
      <alignment vertical="center"/>
    </xf>
    <xf numFmtId="0" fontId="7" fillId="13" borderId="29" xfId="0" applyFont="1" applyFill="1" applyBorder="1" applyAlignment="1">
      <alignment horizontal="center" vertical="center"/>
    </xf>
    <xf numFmtId="0" fontId="19" fillId="13" borderId="30" xfId="0" applyFont="1" applyFill="1" applyBorder="1" applyAlignment="1">
      <alignment horizontal="center" vertical="center"/>
    </xf>
    <xf numFmtId="0" fontId="12" fillId="8" borderId="70" xfId="0" applyFont="1" applyFill="1" applyBorder="1" applyAlignment="1">
      <alignment horizontal="left"/>
    </xf>
    <xf numFmtId="189" fontId="12" fillId="8" borderId="71" xfId="1" applyNumberFormat="1" applyFont="1" applyFill="1" applyBorder="1"/>
    <xf numFmtId="10" fontId="12" fillId="8" borderId="72" xfId="2" applyNumberFormat="1" applyFont="1" applyFill="1" applyBorder="1" applyAlignment="1">
      <alignment horizontal="center"/>
    </xf>
    <xf numFmtId="43" fontId="12" fillId="8" borderId="72" xfId="1" applyFont="1" applyFill="1" applyBorder="1"/>
    <xf numFmtId="10" fontId="12" fillId="8" borderId="73" xfId="2" applyNumberFormat="1" applyFont="1" applyFill="1" applyBorder="1"/>
    <xf numFmtId="187" fontId="12" fillId="8" borderId="74" xfId="0" applyNumberFormat="1" applyFont="1" applyFill="1" applyBorder="1"/>
    <xf numFmtId="0" fontId="12" fillId="16" borderId="70" xfId="0" applyFont="1" applyFill="1" applyBorder="1" applyAlignment="1">
      <alignment horizontal="left"/>
    </xf>
    <xf numFmtId="189" fontId="12" fillId="16" borderId="71" xfId="1" applyNumberFormat="1" applyFont="1" applyFill="1" applyBorder="1"/>
    <xf numFmtId="10" fontId="12" fillId="16" borderId="72" xfId="2" applyNumberFormat="1" applyFont="1" applyFill="1" applyBorder="1" applyAlignment="1">
      <alignment horizontal="center"/>
    </xf>
    <xf numFmtId="43" fontId="12" fillId="16" borderId="72" xfId="1" applyFont="1" applyFill="1" applyBorder="1"/>
    <xf numFmtId="10" fontId="12" fillId="16" borderId="73" xfId="2" applyNumberFormat="1" applyFont="1" applyFill="1" applyBorder="1"/>
    <xf numFmtId="187" fontId="12" fillId="16" borderId="74" xfId="0" applyNumberFormat="1" applyFont="1" applyFill="1" applyBorder="1"/>
    <xf numFmtId="0" fontId="28" fillId="13" borderId="40" xfId="0" applyFont="1" applyFill="1" applyBorder="1" applyAlignment="1">
      <alignment horizontal="center" vertical="center"/>
    </xf>
    <xf numFmtId="0" fontId="28" fillId="13" borderId="49" xfId="0" applyFont="1" applyFill="1" applyBorder="1" applyAlignment="1">
      <alignment horizontal="center" vertical="center"/>
    </xf>
    <xf numFmtId="0" fontId="29" fillId="13" borderId="39" xfId="0" applyFont="1" applyFill="1" applyBorder="1" applyAlignment="1">
      <alignment horizontal="center" vertical="center"/>
    </xf>
    <xf numFmtId="0" fontId="29" fillId="0" borderId="37" xfId="0" applyFont="1" applyBorder="1" applyAlignment="1">
      <alignment horizontal="center"/>
    </xf>
    <xf numFmtId="0" fontId="29" fillId="2" borderId="79" xfId="0" applyFont="1" applyFill="1" applyBorder="1" applyAlignment="1">
      <alignment horizontal="left"/>
    </xf>
    <xf numFmtId="191" fontId="29" fillId="0" borderId="50" xfId="1" applyNumberFormat="1" applyFont="1" applyBorder="1" applyAlignment="1">
      <alignment horizontal="center"/>
    </xf>
    <xf numFmtId="1" fontId="29" fillId="2" borderId="7" xfId="1" applyNumberFormat="1" applyFont="1" applyFill="1" applyBorder="1" applyAlignment="1">
      <alignment horizontal="center"/>
    </xf>
    <xf numFmtId="0" fontId="29" fillId="0" borderId="36" xfId="0" applyFont="1" applyBorder="1" applyAlignment="1">
      <alignment horizontal="center"/>
    </xf>
    <xf numFmtId="1" fontId="29" fillId="2" borderId="44" xfId="1" applyNumberFormat="1" applyFont="1" applyFill="1" applyBorder="1" applyAlignment="1">
      <alignment horizontal="center"/>
    </xf>
    <xf numFmtId="0" fontId="29" fillId="0" borderId="40" xfId="0" applyFont="1" applyBorder="1" applyAlignment="1">
      <alignment horizontal="center"/>
    </xf>
    <xf numFmtId="0" fontId="29" fillId="0" borderId="80" xfId="0" applyFont="1" applyBorder="1"/>
    <xf numFmtId="191" fontId="29" fillId="0" borderId="51" xfId="1" applyNumberFormat="1" applyFont="1" applyBorder="1"/>
    <xf numFmtId="1" fontId="29" fillId="2" borderId="29" xfId="1" applyNumberFormat="1" applyFont="1" applyFill="1" applyBorder="1" applyAlignment="1">
      <alignment horizontal="center"/>
    </xf>
    <xf numFmtId="0" fontId="41" fillId="0" borderId="71" xfId="0" applyFont="1" applyBorder="1" applyAlignment="1">
      <alignment horizontal="center"/>
    </xf>
    <xf numFmtId="0" fontId="41" fillId="0" borderId="81" xfId="0" applyFont="1" applyBorder="1" applyAlignment="1">
      <alignment horizontal="right"/>
    </xf>
    <xf numFmtId="191" fontId="41" fillId="0" borderId="55" xfId="1" applyNumberFormat="1" applyFont="1" applyBorder="1" applyAlignment="1">
      <alignment horizontal="right"/>
    </xf>
    <xf numFmtId="1" fontId="41" fillId="0" borderId="82" xfId="1" applyNumberFormat="1" applyFont="1" applyBorder="1" applyAlignment="1">
      <alignment horizontal="center"/>
    </xf>
    <xf numFmtId="1" fontId="41" fillId="0" borderId="83" xfId="1" applyNumberFormat="1" applyFont="1" applyBorder="1" applyAlignment="1">
      <alignment horizontal="center"/>
    </xf>
    <xf numFmtId="0" fontId="29" fillId="0" borderId="79" xfId="0" applyFont="1" applyBorder="1" applyAlignment="1">
      <alignment horizontal="left"/>
    </xf>
    <xf numFmtId="191" fontId="29" fillId="0" borderId="24" xfId="1" applyNumberFormat="1" applyFont="1" applyBorder="1" applyAlignment="1">
      <alignment horizontal="center"/>
    </xf>
    <xf numFmtId="0" fontId="29" fillId="0" borderId="84" xfId="0" applyFont="1" applyBorder="1" applyAlignment="1">
      <alignment horizontal="left"/>
    </xf>
    <xf numFmtId="191" fontId="29" fillId="0" borderId="26" xfId="1" applyNumberFormat="1" applyFont="1" applyBorder="1"/>
    <xf numFmtId="191" fontId="41" fillId="0" borderId="70" xfId="1" applyNumberFormat="1" applyFont="1" applyBorder="1" applyAlignment="1">
      <alignment horizontal="right"/>
    </xf>
    <xf numFmtId="0" fontId="42" fillId="18" borderId="0" xfId="0" applyFont="1" applyFill="1"/>
    <xf numFmtId="0" fontId="40" fillId="18" borderId="0" xfId="0" applyFont="1" applyFill="1"/>
    <xf numFmtId="191" fontId="29" fillId="0" borderId="6" xfId="1" applyNumberFormat="1" applyFont="1" applyFill="1" applyBorder="1" applyAlignment="1">
      <alignment horizontal="center"/>
    </xf>
    <xf numFmtId="191" fontId="29" fillId="0" borderId="7" xfId="1" applyNumberFormat="1" applyFont="1" applyFill="1" applyBorder="1" applyAlignment="1">
      <alignment horizontal="center"/>
    </xf>
    <xf numFmtId="191" fontId="20" fillId="0" borderId="8" xfId="1" applyNumberFormat="1" applyFont="1" applyFill="1" applyBorder="1" applyAlignment="1">
      <alignment horizontal="center"/>
    </xf>
    <xf numFmtId="191" fontId="29" fillId="0" borderId="36" xfId="1" applyNumberFormat="1" applyFont="1" applyFill="1" applyBorder="1" applyAlignment="1">
      <alignment horizontal="center"/>
    </xf>
    <xf numFmtId="191" fontId="29" fillId="0" borderId="44" xfId="1" applyNumberFormat="1" applyFont="1" applyFill="1" applyBorder="1" applyAlignment="1">
      <alignment horizontal="center"/>
    </xf>
    <xf numFmtId="191" fontId="20" fillId="0" borderId="35" xfId="1" applyNumberFormat="1" applyFont="1" applyFill="1" applyBorder="1" applyAlignment="1">
      <alignment horizontal="center"/>
    </xf>
    <xf numFmtId="191" fontId="29" fillId="0" borderId="40" xfId="1" applyNumberFormat="1" applyFont="1" applyFill="1" applyBorder="1" applyAlignment="1">
      <alignment horizontal="center"/>
    </xf>
    <xf numFmtId="191" fontId="29" fillId="0" borderId="49" xfId="1" applyNumberFormat="1" applyFont="1" applyFill="1" applyBorder="1" applyAlignment="1">
      <alignment horizontal="center"/>
    </xf>
    <xf numFmtId="191" fontId="21" fillId="0" borderId="39" xfId="1" applyNumberFormat="1" applyFont="1" applyFill="1" applyBorder="1" applyAlignment="1">
      <alignment horizontal="center"/>
    </xf>
    <xf numFmtId="191" fontId="41" fillId="0" borderId="71" xfId="1" applyNumberFormat="1" applyFont="1" applyFill="1" applyBorder="1" applyAlignment="1">
      <alignment horizontal="center"/>
    </xf>
    <xf numFmtId="191" fontId="41" fillId="0" borderId="72" xfId="1" applyNumberFormat="1" applyFont="1" applyFill="1" applyBorder="1" applyAlignment="1">
      <alignment horizontal="center"/>
    </xf>
    <xf numFmtId="191" fontId="20" fillId="0" borderId="73" xfId="1" applyNumberFormat="1" applyFont="1" applyFill="1" applyBorder="1" applyAlignment="1">
      <alignment horizontal="center"/>
    </xf>
    <xf numFmtId="2" fontId="29" fillId="2" borderId="6" xfId="1" applyNumberFormat="1" applyFont="1" applyFill="1" applyBorder="1" applyAlignment="1">
      <alignment horizontal="center"/>
    </xf>
    <xf numFmtId="2" fontId="29" fillId="2" borderId="7" xfId="1" applyNumberFormat="1" applyFont="1" applyFill="1" applyBorder="1" applyAlignment="1">
      <alignment horizontal="center"/>
    </xf>
    <xf numFmtId="2" fontId="29" fillId="2" borderId="36" xfId="1" applyNumberFormat="1" applyFont="1" applyFill="1" applyBorder="1" applyAlignment="1">
      <alignment horizontal="center"/>
    </xf>
    <xf numFmtId="2" fontId="29" fillId="2" borderId="44" xfId="1" applyNumberFormat="1" applyFont="1" applyFill="1" applyBorder="1" applyAlignment="1">
      <alignment horizontal="center"/>
    </xf>
    <xf numFmtId="2" fontId="29" fillId="2" borderId="28" xfId="1" applyNumberFormat="1" applyFont="1" applyFill="1" applyBorder="1" applyAlignment="1">
      <alignment horizontal="center"/>
    </xf>
    <xf numFmtId="2" fontId="29" fillId="2" borderId="29" xfId="1" applyNumberFormat="1" applyFont="1" applyFill="1" applyBorder="1" applyAlignment="1">
      <alignment horizontal="center"/>
    </xf>
    <xf numFmtId="191" fontId="29" fillId="0" borderId="6" xfId="1" applyNumberFormat="1" applyFont="1" applyBorder="1" applyAlignment="1">
      <alignment horizontal="center"/>
    </xf>
    <xf numFmtId="191" fontId="29" fillId="0" borderId="8" xfId="1" applyNumberFormat="1" applyFont="1" applyBorder="1" applyAlignment="1">
      <alignment horizontal="center"/>
    </xf>
    <xf numFmtId="1" fontId="29" fillId="2" borderId="54" xfId="1" applyNumberFormat="1" applyFont="1" applyFill="1" applyBorder="1" applyAlignment="1">
      <alignment horizontal="center"/>
    </xf>
    <xf numFmtId="191" fontId="29" fillId="0" borderId="36" xfId="1" applyNumberFormat="1" applyFont="1" applyBorder="1" applyAlignment="1">
      <alignment horizontal="center"/>
    </xf>
    <xf numFmtId="191" fontId="29" fillId="0" borderId="35" xfId="1" applyNumberFormat="1" applyFont="1" applyBorder="1" applyAlignment="1">
      <alignment horizontal="center"/>
    </xf>
    <xf numFmtId="1" fontId="29" fillId="2" borderId="57" xfId="1" applyNumberFormat="1" applyFont="1" applyFill="1" applyBorder="1" applyAlignment="1">
      <alignment horizontal="center"/>
    </xf>
    <xf numFmtId="191" fontId="29" fillId="0" borderId="28" xfId="1" applyNumberFormat="1" applyFont="1" applyBorder="1"/>
    <xf numFmtId="191" fontId="29" fillId="0" borderId="30" xfId="1" applyNumberFormat="1" applyFont="1" applyBorder="1"/>
    <xf numFmtId="1" fontId="29" fillId="2" borderId="69" xfId="1" applyNumberFormat="1" applyFont="1" applyFill="1" applyBorder="1" applyAlignment="1">
      <alignment horizontal="center"/>
    </xf>
    <xf numFmtId="191" fontId="41" fillId="0" borderId="19" xfId="1" applyNumberFormat="1" applyFont="1" applyBorder="1" applyAlignment="1">
      <alignment horizontal="right"/>
    </xf>
    <xf numFmtId="191" fontId="41" fillId="0" borderId="68" xfId="1" applyNumberFormat="1" applyFont="1" applyBorder="1" applyAlignment="1">
      <alignment horizontal="right"/>
    </xf>
    <xf numFmtId="191" fontId="29" fillId="0" borderId="38" xfId="1" applyNumberFormat="1" applyFont="1" applyBorder="1" applyAlignment="1">
      <alignment horizontal="center"/>
    </xf>
    <xf numFmtId="191" fontId="29" fillId="0" borderId="39" xfId="1" applyNumberFormat="1" applyFont="1" applyBorder="1"/>
    <xf numFmtId="191" fontId="41" fillId="0" borderId="73" xfId="1" applyNumberFormat="1" applyFont="1" applyBorder="1" applyAlignment="1">
      <alignment horizontal="right"/>
    </xf>
    <xf numFmtId="9" fontId="6" fillId="2" borderId="0" xfId="2" applyFont="1" applyFill="1"/>
    <xf numFmtId="10" fontId="7" fillId="16" borderId="41" xfId="2" applyNumberFormat="1" applyFont="1" applyFill="1" applyBorder="1" applyAlignment="1">
      <alignment horizontal="center"/>
    </xf>
    <xf numFmtId="10" fontId="7" fillId="6" borderId="41" xfId="2" applyNumberFormat="1" applyFont="1" applyFill="1" applyBorder="1" applyAlignment="1">
      <alignment horizontal="center"/>
    </xf>
    <xf numFmtId="10" fontId="7" fillId="16" borderId="50" xfId="2" applyNumberFormat="1" applyFont="1" applyFill="1" applyBorder="1" applyAlignment="1">
      <alignment horizontal="center"/>
    </xf>
    <xf numFmtId="10" fontId="7" fillId="17" borderId="51" xfId="2" applyNumberFormat="1" applyFont="1" applyFill="1" applyBorder="1" applyAlignment="1">
      <alignment horizontal="center"/>
    </xf>
    <xf numFmtId="10" fontId="7" fillId="17" borderId="41" xfId="2" applyNumberFormat="1" applyFont="1" applyFill="1" applyBorder="1" applyAlignment="1">
      <alignment horizontal="center"/>
    </xf>
    <xf numFmtId="43" fontId="6" fillId="5" borderId="41" xfId="1" applyFont="1" applyFill="1" applyBorder="1" applyAlignment="1">
      <alignment horizontal="left"/>
    </xf>
    <xf numFmtId="9" fontId="6" fillId="5" borderId="46" xfId="2" applyFont="1" applyFill="1" applyBorder="1" applyAlignment="1">
      <alignment horizontal="center"/>
    </xf>
    <xf numFmtId="43" fontId="6" fillId="8" borderId="0" xfId="1" applyFont="1" applyFill="1" applyAlignment="1">
      <alignment horizontal="left"/>
    </xf>
    <xf numFmtId="9" fontId="6" fillId="8" borderId="22" xfId="2" applyFont="1" applyFill="1" applyBorder="1" applyAlignment="1">
      <alignment horizontal="center"/>
    </xf>
    <xf numFmtId="43" fontId="6" fillId="8" borderId="41" xfId="1" applyFont="1" applyFill="1" applyBorder="1" applyAlignment="1">
      <alignment horizontal="left"/>
    </xf>
    <xf numFmtId="43" fontId="6" fillId="2" borderId="34" xfId="1" applyFont="1" applyFill="1" applyBorder="1" applyAlignment="1">
      <alignment horizontal="left"/>
    </xf>
    <xf numFmtId="9" fontId="6" fillId="2" borderId="27" xfId="2" applyFont="1" applyFill="1" applyBorder="1" applyAlignment="1">
      <alignment horizontal="center"/>
    </xf>
    <xf numFmtId="10" fontId="6" fillId="0" borderId="0" xfId="0" applyNumberFormat="1" applyFont="1"/>
    <xf numFmtId="0" fontId="40" fillId="2" borderId="38" xfId="0" applyFont="1" applyFill="1" applyBorder="1" applyAlignment="1">
      <alignment horizontal="center"/>
    </xf>
    <xf numFmtId="0" fontId="40" fillId="2" borderId="35" xfId="0" applyFont="1" applyFill="1" applyBorder="1" applyAlignment="1">
      <alignment horizontal="center"/>
    </xf>
    <xf numFmtId="0" fontId="41" fillId="0" borderId="0" xfId="0" applyFont="1"/>
    <xf numFmtId="0" fontId="22" fillId="0" borderId="0" xfId="0" applyFont="1"/>
    <xf numFmtId="10" fontId="6" fillId="0" borderId="38" xfId="8" applyNumberFormat="1" applyFont="1" applyBorder="1"/>
    <xf numFmtId="0" fontId="7" fillId="19" borderId="44" xfId="9" applyFont="1" applyFill="1" applyBorder="1" applyAlignment="1">
      <alignment horizontal="left" vertical="center"/>
    </xf>
    <xf numFmtId="43" fontId="6" fillId="2" borderId="0" xfId="1" applyFont="1" applyFill="1" applyAlignment="1">
      <alignment horizontal="left"/>
    </xf>
    <xf numFmtId="188" fontId="6" fillId="4" borderId="6" xfId="1" applyNumberFormat="1" applyFont="1" applyFill="1" applyBorder="1" applyAlignment="1">
      <alignment horizontal="center"/>
    </xf>
    <xf numFmtId="188" fontId="6" fillId="4" borderId="7" xfId="1" applyNumberFormat="1" applyFont="1" applyFill="1" applyBorder="1" applyAlignment="1">
      <alignment horizontal="center"/>
    </xf>
    <xf numFmtId="188" fontId="6" fillId="4" borderId="87" xfId="1" applyNumberFormat="1" applyFont="1" applyFill="1" applyBorder="1" applyAlignment="1">
      <alignment horizontal="center"/>
    </xf>
    <xf numFmtId="188" fontId="7" fillId="4" borderId="6" xfId="1" applyNumberFormat="1" applyFont="1" applyFill="1" applyBorder="1" applyAlignment="1">
      <alignment horizontal="center"/>
    </xf>
    <xf numFmtId="188" fontId="7" fillId="4" borderId="7" xfId="1" applyNumberFormat="1" applyFont="1" applyFill="1" applyBorder="1" applyAlignment="1">
      <alignment horizontal="center"/>
    </xf>
    <xf numFmtId="188" fontId="7" fillId="4" borderId="8" xfId="1" applyNumberFormat="1" applyFont="1" applyFill="1" applyBorder="1" applyAlignment="1">
      <alignment horizontal="center"/>
    </xf>
    <xf numFmtId="0" fontId="6" fillId="5" borderId="52" xfId="0" applyFont="1" applyFill="1" applyBorder="1" applyAlignment="1">
      <alignment horizontal="center"/>
    </xf>
    <xf numFmtId="0" fontId="6" fillId="5" borderId="56" xfId="0" applyFont="1" applyFill="1" applyBorder="1" applyAlignment="1">
      <alignment horizontal="center"/>
    </xf>
    <xf numFmtId="0" fontId="6" fillId="5" borderId="53" xfId="0" applyFont="1" applyFill="1" applyBorder="1" applyAlignment="1">
      <alignment horizontal="center"/>
    </xf>
    <xf numFmtId="188" fontId="8" fillId="8" borderId="67" xfId="1" applyNumberFormat="1" applyFont="1" applyFill="1" applyBorder="1" applyAlignment="1">
      <alignment horizontal="center" vertical="center"/>
    </xf>
    <xf numFmtId="188" fontId="8" fillId="8" borderId="68" xfId="1" applyNumberFormat="1" applyFont="1" applyFill="1" applyBorder="1" applyAlignment="1">
      <alignment horizontal="center" vertical="center"/>
    </xf>
    <xf numFmtId="0" fontId="6" fillId="5" borderId="32" xfId="0" applyFont="1" applyFill="1" applyBorder="1" applyAlignment="1">
      <alignment horizontal="center" wrapText="1"/>
    </xf>
    <xf numFmtId="0" fontId="6" fillId="5" borderId="34" xfId="0" applyFont="1" applyFill="1" applyBorder="1" applyAlignment="1">
      <alignment horizontal="center" wrapText="1"/>
    </xf>
    <xf numFmtId="188" fontId="6" fillId="5" borderId="6" xfId="1" applyNumberFormat="1" applyFont="1" applyFill="1" applyBorder="1" applyAlignment="1">
      <alignment horizontal="center"/>
    </xf>
    <xf numFmtId="188" fontId="6" fillId="5" borderId="7" xfId="1" applyNumberFormat="1" applyFont="1" applyFill="1" applyBorder="1" applyAlignment="1">
      <alignment horizontal="center"/>
    </xf>
    <xf numFmtId="188" fontId="6" fillId="5" borderId="8" xfId="1" applyNumberFormat="1" applyFont="1" applyFill="1" applyBorder="1" applyAlignment="1">
      <alignment horizontal="center"/>
    </xf>
    <xf numFmtId="0" fontId="6" fillId="9" borderId="32" xfId="0" applyFont="1" applyFill="1" applyBorder="1" applyAlignment="1">
      <alignment horizontal="center" vertical="center" wrapText="1"/>
    </xf>
    <xf numFmtId="0" fontId="6" fillId="9" borderId="34" xfId="0" applyFont="1" applyFill="1" applyBorder="1" applyAlignment="1">
      <alignment horizontal="center" vertical="center" wrapText="1"/>
    </xf>
    <xf numFmtId="188" fontId="6" fillId="10" borderId="31" xfId="1" applyNumberFormat="1" applyFont="1" applyFill="1" applyBorder="1" applyAlignment="1">
      <alignment horizontal="center"/>
    </xf>
    <xf numFmtId="188" fontId="6" fillId="10" borderId="42" xfId="1" applyNumberFormat="1" applyFont="1" applyFill="1" applyBorder="1" applyAlignment="1">
      <alignment horizontal="center"/>
    </xf>
    <xf numFmtId="188" fontId="6" fillId="10" borderId="54" xfId="1" applyNumberFormat="1" applyFont="1" applyFill="1" applyBorder="1" applyAlignment="1">
      <alignment horizontal="center"/>
    </xf>
    <xf numFmtId="188" fontId="6" fillId="10" borderId="43" xfId="1" applyNumberFormat="1" applyFont="1" applyFill="1" applyBorder="1" applyAlignment="1">
      <alignment horizontal="center"/>
    </xf>
    <xf numFmtId="188" fontId="9" fillId="5" borderId="32" xfId="1" applyNumberFormat="1" applyFont="1" applyFill="1" applyBorder="1" applyAlignment="1">
      <alignment horizontal="center" vertical="center"/>
    </xf>
    <xf numFmtId="188" fontId="9" fillId="5" borderId="34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188" fontId="6" fillId="5" borderId="31" xfId="1" applyNumberFormat="1" applyFont="1" applyFill="1" applyBorder="1" applyAlignment="1">
      <alignment horizontal="center"/>
    </xf>
    <xf numFmtId="188" fontId="6" fillId="5" borderId="42" xfId="1" applyNumberFormat="1" applyFont="1" applyFill="1" applyBorder="1" applyAlignment="1">
      <alignment horizontal="center"/>
    </xf>
    <xf numFmtId="188" fontId="6" fillId="5" borderId="43" xfId="1" applyNumberFormat="1" applyFont="1" applyFill="1" applyBorder="1" applyAlignment="1">
      <alignment horizontal="center"/>
    </xf>
    <xf numFmtId="0" fontId="11" fillId="7" borderId="31" xfId="0" applyFont="1" applyFill="1" applyBorder="1" applyAlignment="1">
      <alignment horizontal="center" vertical="center" wrapText="1"/>
    </xf>
    <xf numFmtId="0" fontId="11" fillId="7" borderId="27" xfId="0" applyFont="1" applyFill="1" applyBorder="1" applyAlignment="1">
      <alignment horizontal="center" vertical="center" wrapText="1"/>
    </xf>
    <xf numFmtId="0" fontId="34" fillId="12" borderId="0" xfId="0" applyFont="1" applyFill="1" applyAlignment="1">
      <alignment horizontal="left"/>
    </xf>
    <xf numFmtId="188" fontId="35" fillId="21" borderId="0" xfId="1" applyNumberFormat="1" applyFont="1" applyFill="1" applyAlignment="1">
      <alignment horizontal="right" shrinkToFit="1"/>
    </xf>
    <xf numFmtId="188" fontId="34" fillId="2" borderId="0" xfId="1" applyNumberFormat="1" applyFont="1" applyFill="1" applyAlignment="1">
      <alignment horizontal="right" shrinkToFit="1"/>
    </xf>
    <xf numFmtId="188" fontId="34" fillId="12" borderId="0" xfId="1" applyNumberFormat="1" applyFont="1" applyFill="1" applyAlignment="1">
      <alignment horizontal="left" shrinkToFit="1"/>
    </xf>
    <xf numFmtId="188" fontId="35" fillId="21" borderId="0" xfId="1" applyNumberFormat="1" applyFont="1" applyFill="1" applyAlignment="1">
      <alignment horizontal="right" vertical="top"/>
    </xf>
    <xf numFmtId="188" fontId="34" fillId="2" borderId="0" xfId="1" applyNumberFormat="1" applyFont="1" applyFill="1" applyAlignment="1">
      <alignment horizontal="right" vertical="top"/>
    </xf>
    <xf numFmtId="188" fontId="38" fillId="23" borderId="0" xfId="1" applyNumberFormat="1" applyFont="1" applyFill="1" applyAlignment="1">
      <alignment horizontal="right" vertical="center"/>
    </xf>
    <xf numFmtId="9" fontId="6" fillId="0" borderId="51" xfId="2" applyFont="1" applyFill="1" applyBorder="1" applyAlignment="1">
      <alignment horizontal="center" wrapText="1" shrinkToFit="1"/>
    </xf>
    <xf numFmtId="9" fontId="6" fillId="0" borderId="41" xfId="2" applyFont="1" applyFill="1" applyBorder="1" applyAlignment="1">
      <alignment horizontal="center" wrapText="1" shrinkToFit="1"/>
    </xf>
    <xf numFmtId="9" fontId="6" fillId="0" borderId="34" xfId="2" applyFont="1" applyFill="1" applyBorder="1" applyAlignment="1">
      <alignment horizontal="center" wrapText="1" shrinkToFit="1"/>
    </xf>
    <xf numFmtId="9" fontId="6" fillId="0" borderId="51" xfId="2" applyFont="1" applyFill="1" applyBorder="1" applyAlignment="1">
      <alignment horizontal="center" vertical="center" wrapText="1" shrinkToFit="1"/>
    </xf>
    <xf numFmtId="9" fontId="6" fillId="0" borderId="41" xfId="2" applyFont="1" applyFill="1" applyBorder="1" applyAlignment="1">
      <alignment horizontal="center" vertical="center" wrapText="1" shrinkToFit="1"/>
    </xf>
    <xf numFmtId="9" fontId="6" fillId="0" borderId="34" xfId="2" applyFont="1" applyFill="1" applyBorder="1" applyAlignment="1">
      <alignment horizontal="center" vertical="center" wrapText="1" shrinkToFit="1"/>
    </xf>
    <xf numFmtId="0" fontId="6" fillId="6" borderId="6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 vertical="center"/>
    </xf>
    <xf numFmtId="0" fontId="6" fillId="6" borderId="27" xfId="0" applyFont="1" applyFill="1" applyBorder="1" applyAlignment="1">
      <alignment horizontal="center" vertical="center"/>
    </xf>
    <xf numFmtId="0" fontId="6" fillId="6" borderId="54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28" fillId="12" borderId="6" xfId="5" applyFont="1" applyFill="1" applyBorder="1" applyAlignment="1">
      <alignment horizontal="center" shrinkToFit="1"/>
    </xf>
    <xf numFmtId="0" fontId="28" fillId="12" borderId="7" xfId="5" applyFont="1" applyFill="1" applyBorder="1" applyAlignment="1">
      <alignment horizontal="center" shrinkToFit="1"/>
    </xf>
    <xf numFmtId="0" fontId="28" fillId="12" borderId="8" xfId="5" applyFont="1" applyFill="1" applyBorder="1" applyAlignment="1">
      <alignment horizontal="center" shrinkToFit="1"/>
    </xf>
    <xf numFmtId="0" fontId="29" fillId="13" borderId="6" xfId="0" applyFont="1" applyFill="1" applyBorder="1" applyAlignment="1">
      <alignment horizontal="center" vertical="center"/>
    </xf>
    <xf numFmtId="0" fontId="29" fillId="13" borderId="28" xfId="0" applyFont="1" applyFill="1" applyBorder="1" applyAlignment="1">
      <alignment horizontal="center" vertical="center"/>
    </xf>
    <xf numFmtId="0" fontId="29" fillId="13" borderId="78" xfId="0" applyFont="1" applyFill="1" applyBorder="1" applyAlignment="1">
      <alignment horizontal="center" vertical="center"/>
    </xf>
    <xf numFmtId="0" fontId="29" fillId="13" borderId="33" xfId="0" applyFont="1" applyFill="1" applyBorder="1" applyAlignment="1">
      <alignment horizontal="center" vertical="center"/>
    </xf>
    <xf numFmtId="0" fontId="29" fillId="13" borderId="32" xfId="0" applyFont="1" applyFill="1" applyBorder="1" applyAlignment="1">
      <alignment horizontal="center" vertical="center" wrapText="1"/>
    </xf>
    <xf numFmtId="0" fontId="29" fillId="13" borderId="34" xfId="0" applyFont="1" applyFill="1" applyBorder="1" applyAlignment="1">
      <alignment horizontal="center" vertical="center" wrapText="1"/>
    </xf>
    <xf numFmtId="0" fontId="29" fillId="13" borderId="31" xfId="0" applyFont="1" applyFill="1" applyBorder="1" applyAlignment="1">
      <alignment horizontal="center"/>
    </xf>
    <xf numFmtId="0" fontId="29" fillId="13" borderId="42" xfId="0" applyFont="1" applyFill="1" applyBorder="1" applyAlignment="1">
      <alignment horizontal="center"/>
    </xf>
    <xf numFmtId="0" fontId="29" fillId="13" borderId="43" xfId="0" applyFont="1" applyFill="1" applyBorder="1" applyAlignment="1">
      <alignment horizontal="center"/>
    </xf>
    <xf numFmtId="0" fontId="29" fillId="13" borderId="67" xfId="0" applyFont="1" applyFill="1" applyBorder="1" applyAlignment="1">
      <alignment horizontal="center" vertical="center"/>
    </xf>
    <xf numFmtId="0" fontId="29" fillId="13" borderId="68" xfId="0" applyFont="1" applyFill="1" applyBorder="1" applyAlignment="1">
      <alignment horizontal="center" vertical="center"/>
    </xf>
    <xf numFmtId="0" fontId="29" fillId="13" borderId="90" xfId="0" applyFont="1" applyFill="1" applyBorder="1" applyAlignment="1">
      <alignment horizontal="center" vertical="center" wrapText="1"/>
    </xf>
    <xf numFmtId="0" fontId="29" fillId="13" borderId="82" xfId="0" applyFont="1" applyFill="1" applyBorder="1" applyAlignment="1">
      <alignment horizontal="center" vertical="center" wrapText="1"/>
    </xf>
    <xf numFmtId="0" fontId="29" fillId="13" borderId="67" xfId="0" applyFont="1" applyFill="1" applyBorder="1" applyAlignment="1">
      <alignment horizontal="center" vertical="center" wrapText="1"/>
    </xf>
    <xf numFmtId="0" fontId="29" fillId="13" borderId="68" xfId="0" applyFont="1" applyFill="1" applyBorder="1" applyAlignment="1">
      <alignment horizontal="center" vertical="center" wrapText="1"/>
    </xf>
    <xf numFmtId="0" fontId="28" fillId="12" borderId="31" xfId="5" applyFont="1" applyFill="1" applyBorder="1" applyAlignment="1">
      <alignment horizontal="center" shrinkToFit="1"/>
    </xf>
    <xf numFmtId="0" fontId="28" fillId="12" borderId="42" xfId="5" applyFont="1" applyFill="1" applyBorder="1" applyAlignment="1">
      <alignment horizontal="center" shrinkToFit="1"/>
    </xf>
    <xf numFmtId="0" fontId="28" fillId="12" borderId="54" xfId="5" applyFont="1" applyFill="1" applyBorder="1" applyAlignment="1">
      <alignment horizontal="center" shrinkToFit="1"/>
    </xf>
    <xf numFmtId="0" fontId="29" fillId="12" borderId="89" xfId="0" applyFont="1" applyFill="1" applyBorder="1" applyAlignment="1">
      <alignment horizontal="center" wrapText="1"/>
    </xf>
    <xf numFmtId="0" fontId="29" fillId="12" borderId="48" xfId="0" applyFont="1" applyFill="1" applyBorder="1" applyAlignment="1">
      <alignment horizontal="center" wrapText="1"/>
    </xf>
    <xf numFmtId="0" fontId="29" fillId="12" borderId="67" xfId="0" applyFont="1" applyFill="1" applyBorder="1" applyAlignment="1">
      <alignment horizontal="center" vertical="center"/>
    </xf>
    <xf numFmtId="0" fontId="29" fillId="12" borderId="38" xfId="0" applyFont="1" applyFill="1" applyBorder="1" applyAlignment="1">
      <alignment horizontal="center" vertical="center"/>
    </xf>
    <xf numFmtId="0" fontId="29" fillId="13" borderId="90" xfId="0" applyFont="1" applyFill="1" applyBorder="1" applyAlignment="1">
      <alignment horizontal="center" vertical="center"/>
    </xf>
    <xf numFmtId="0" fontId="29" fillId="13" borderId="82" xfId="0" applyFont="1" applyFill="1" applyBorder="1" applyAlignment="1">
      <alignment horizontal="center" vertical="center"/>
    </xf>
    <xf numFmtId="0" fontId="40" fillId="8" borderId="6" xfId="0" applyFont="1" applyFill="1" applyBorder="1" applyAlignment="1">
      <alignment horizontal="center" vertical="center"/>
    </xf>
    <xf numFmtId="0" fontId="40" fillId="8" borderId="36" xfId="0" applyFont="1" applyFill="1" applyBorder="1" applyAlignment="1">
      <alignment horizontal="center" vertical="center"/>
    </xf>
    <xf numFmtId="0" fontId="40" fillId="8" borderId="7" xfId="0" applyFont="1" applyFill="1" applyBorder="1" applyAlignment="1">
      <alignment horizontal="center" vertical="center"/>
    </xf>
    <xf numFmtId="0" fontId="40" fillId="8" borderId="44" xfId="0" applyFont="1" applyFill="1" applyBorder="1" applyAlignment="1">
      <alignment horizontal="center" vertical="center"/>
    </xf>
    <xf numFmtId="0" fontId="19" fillId="13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40" fillId="8" borderId="28" xfId="0" applyFont="1" applyFill="1" applyBorder="1" applyAlignment="1">
      <alignment horizontal="center" vertical="center"/>
    </xf>
    <xf numFmtId="0" fontId="40" fillId="8" borderId="29" xfId="0" applyFont="1" applyFill="1" applyBorder="1" applyAlignment="1">
      <alignment horizontal="center" vertical="center"/>
    </xf>
    <xf numFmtId="0" fontId="7" fillId="12" borderId="6" xfId="5" applyFont="1" applyFill="1" applyBorder="1" applyAlignment="1">
      <alignment horizontal="center" shrinkToFit="1"/>
    </xf>
    <xf numFmtId="0" fontId="7" fillId="12" borderId="7" xfId="5" applyFont="1" applyFill="1" applyBorder="1" applyAlignment="1">
      <alignment horizontal="center" shrinkToFit="1"/>
    </xf>
    <xf numFmtId="0" fontId="7" fillId="12" borderId="8" xfId="5" applyFont="1" applyFill="1" applyBorder="1" applyAlignment="1">
      <alignment horizontal="center" shrinkToFit="1"/>
    </xf>
    <xf numFmtId="0" fontId="19" fillId="13" borderId="6" xfId="0" applyFont="1" applyFill="1" applyBorder="1" applyAlignment="1">
      <alignment horizontal="center" vertical="center"/>
    </xf>
    <xf numFmtId="0" fontId="19" fillId="13" borderId="28" xfId="0" applyFont="1" applyFill="1" applyBorder="1" applyAlignment="1">
      <alignment horizontal="center" vertical="center"/>
    </xf>
    <xf numFmtId="0" fontId="19" fillId="13" borderId="78" xfId="0" applyFont="1" applyFill="1" applyBorder="1" applyAlignment="1">
      <alignment horizontal="center" vertical="center"/>
    </xf>
    <xf numFmtId="0" fontId="19" fillId="13" borderId="33" xfId="0" applyFont="1" applyFill="1" applyBorder="1" applyAlignment="1">
      <alignment horizontal="center" vertical="center"/>
    </xf>
    <xf numFmtId="0" fontId="19" fillId="13" borderId="32" xfId="0" applyFont="1" applyFill="1" applyBorder="1" applyAlignment="1">
      <alignment horizontal="center" vertical="center" wrapText="1"/>
    </xf>
    <xf numFmtId="0" fontId="19" fillId="13" borderId="34" xfId="0" applyFont="1" applyFill="1" applyBorder="1" applyAlignment="1">
      <alignment horizontal="center" vertical="center" wrapText="1"/>
    </xf>
    <xf numFmtId="0" fontId="19" fillId="13" borderId="31" xfId="0" applyFont="1" applyFill="1" applyBorder="1" applyAlignment="1">
      <alignment horizontal="center"/>
    </xf>
    <xf numFmtId="0" fontId="19" fillId="13" borderId="42" xfId="0" applyFont="1" applyFill="1" applyBorder="1" applyAlignment="1">
      <alignment horizontal="center"/>
    </xf>
    <xf numFmtId="0" fontId="19" fillId="13" borderId="43" xfId="0" applyFont="1" applyFill="1" applyBorder="1" applyAlignment="1">
      <alignment horizontal="center"/>
    </xf>
    <xf numFmtId="188" fontId="40" fillId="10" borderId="42" xfId="1" applyNumberFormat="1" applyFont="1" applyFill="1" applyBorder="1" applyAlignment="1">
      <alignment horizontal="center"/>
    </xf>
    <xf numFmtId="188" fontId="40" fillId="10" borderId="31" xfId="1" applyNumberFormat="1" applyFont="1" applyFill="1" applyBorder="1" applyAlignment="1">
      <alignment horizontal="center"/>
    </xf>
    <xf numFmtId="188" fontId="40" fillId="10" borderId="43" xfId="1" applyNumberFormat="1" applyFont="1" applyFill="1" applyBorder="1" applyAlignment="1">
      <alignment horizontal="center"/>
    </xf>
    <xf numFmtId="0" fontId="40" fillId="0" borderId="78" xfId="0" applyFont="1" applyBorder="1" applyAlignment="1">
      <alignment horizontal="center" vertical="center"/>
    </xf>
    <xf numFmtId="0" fontId="40" fillId="0" borderId="33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40" fillId="0" borderId="28" xfId="0" applyFont="1" applyBorder="1" applyAlignment="1">
      <alignment horizontal="center" vertical="center"/>
    </xf>
    <xf numFmtId="0" fontId="40" fillId="0" borderId="8" xfId="0" applyFont="1" applyBorder="1" applyAlignment="1">
      <alignment horizontal="center" vertical="center"/>
    </xf>
  </cellXfs>
  <cellStyles count="10">
    <cellStyle name="Comma" xfId="1" builtinId="3"/>
    <cellStyle name="Comma 2" xfId="7" xr:uid="{C79A12DE-DF38-48E3-AA59-09A1FF83120B}"/>
    <cellStyle name="Comma 6" xfId="6" xr:uid="{00000000-0005-0000-0000-000001000000}"/>
    <cellStyle name="Normal" xfId="0" builtinId="0"/>
    <cellStyle name="Normal 2" xfId="9" xr:uid="{DDF98EEF-5437-45E5-94F4-5E09CCCCC855}"/>
    <cellStyle name="Normal 20" xfId="5" xr:uid="{00000000-0005-0000-0000-000003000000}"/>
    <cellStyle name="Normal 4" xfId="4" xr:uid="{00000000-0005-0000-0000-000004000000}"/>
    <cellStyle name="Normal 5" xfId="3" xr:uid="{00000000-0005-0000-0000-000005000000}"/>
    <cellStyle name="Percent" xfId="2" builtinId="5"/>
    <cellStyle name="Percent 2" xfId="8" xr:uid="{B6FAD085-AEDB-4FC6-95BB-0838B798BB74}"/>
  </cellStyles>
  <dxfs count="2"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ool t" id="{A567686C-E2E0-4E3C-82E4-4F76D00E4044}" userId="9d571b47b51a880b" providerId="Windows Live"/>
  <person displayName="TLPH_Backend_Account2" id="{5C26FB1B-C96B-49B3-BA2E-E1E8917444CC}" userId="S::b-acc02@tlph365.onmicrosoft.com::75474e23-5e9c-4c5b-88c8-ac278a0edcf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6" dT="2024-10-31T09:45:46.97" personId="{A567686C-E2E0-4E3C-82E4-4F76D00E4044}" id="{86AC4FC4-F390-47A4-8D49-C7DDBCC08DBD}">
    <text>ค่าธรรมเนี่ยมขายของ Grab/Lineman</text>
  </threadedComment>
  <threadedComment ref="B65" dT="2024-11-07T10:12:56.68" personId="{5C26FB1B-C96B-49B3-BA2E-E1E8917444CC}" id="{B07EE866-2F3F-41A8-9FFF-F21E519CAF4D}">
    <text xml:space="preserve">ใส่เป็นตัวเลขเท่ากับปีที่แล้ว (เดี๋ยว VM จะบริหารเอง)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7"/>
  <sheetViews>
    <sheetView zoomScale="80" zoomScaleNormal="80" workbookViewId="0">
      <pane xSplit="2" ySplit="5" topLeftCell="H30" activePane="bottomRight" state="frozen"/>
      <selection pane="topRight" activeCell="B1" sqref="B1"/>
      <selection pane="bottomLeft" activeCell="A6" sqref="A6"/>
      <selection pane="bottomRight" activeCell="B16" sqref="B16"/>
    </sheetView>
  </sheetViews>
  <sheetFormatPr defaultColWidth="8.88671875" defaultRowHeight="11.5" x14ac:dyDescent="0.25"/>
  <cols>
    <col min="1" max="1" width="10.77734375" style="3" customWidth="1"/>
    <col min="2" max="2" width="39.33203125" style="2" bestFit="1" customWidth="1"/>
    <col min="3" max="4" width="14" style="6" bestFit="1" customWidth="1"/>
    <col min="5" max="6" width="13.88671875" style="6" customWidth="1"/>
    <col min="7" max="7" width="15.33203125" style="6" bestFit="1" customWidth="1"/>
    <col min="8" max="13" width="13.88671875" style="6" customWidth="1"/>
    <col min="14" max="14" width="11.21875" style="6" bestFit="1" customWidth="1"/>
    <col min="15" max="15" width="14.77734375" style="133" customWidth="1"/>
    <col min="16" max="16" width="3.33203125" style="2" customWidth="1"/>
    <col min="17" max="17" width="9.88671875" style="3" bestFit="1" customWidth="1"/>
    <col min="18" max="18" width="11" style="3" bestFit="1" customWidth="1"/>
    <col min="19" max="19" width="9.88671875" style="3" bestFit="1" customWidth="1"/>
    <col min="20" max="20" width="11" style="3" bestFit="1" customWidth="1"/>
    <col min="21" max="22" width="9.88671875" style="6" bestFit="1" customWidth="1"/>
    <col min="23" max="28" width="9.33203125" style="6" customWidth="1"/>
    <col min="29" max="29" width="11.88671875" style="51" customWidth="1"/>
    <col min="30" max="16384" width="8.88671875" style="2"/>
  </cols>
  <sheetData>
    <row r="1" spans="1:29" ht="15.5" x14ac:dyDescent="0.35">
      <c r="B1" s="275" t="s">
        <v>116</v>
      </c>
    </row>
    <row r="2" spans="1:29" ht="15.5" x14ac:dyDescent="0.35">
      <c r="B2" s="276" t="s">
        <v>0</v>
      </c>
    </row>
    <row r="3" spans="1:29" ht="12" thickBot="1" x14ac:dyDescent="0.3">
      <c r="B3" s="17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30"/>
      <c r="U3" s="1"/>
      <c r="V3" s="1"/>
      <c r="W3" s="1"/>
      <c r="X3" s="1"/>
      <c r="Y3" s="1"/>
      <c r="Z3" s="1"/>
      <c r="AA3" s="1"/>
      <c r="AB3" s="1"/>
    </row>
    <row r="4" spans="1:29" ht="12" thickBot="1" x14ac:dyDescent="0.3">
      <c r="C4" s="716" t="s">
        <v>742</v>
      </c>
      <c r="D4" s="717"/>
      <c r="E4" s="717"/>
      <c r="F4" s="717"/>
      <c r="G4" s="717"/>
      <c r="H4" s="717"/>
      <c r="I4" s="717"/>
      <c r="J4" s="717"/>
      <c r="K4" s="717"/>
      <c r="L4" s="717"/>
      <c r="M4" s="717"/>
      <c r="N4" s="717"/>
      <c r="O4" s="718"/>
      <c r="P4" s="110"/>
      <c r="Q4" s="719" t="s">
        <v>743</v>
      </c>
      <c r="R4" s="720"/>
      <c r="S4" s="720"/>
      <c r="T4" s="720"/>
      <c r="U4" s="720"/>
      <c r="V4" s="720"/>
      <c r="W4" s="720"/>
      <c r="X4" s="720"/>
      <c r="Y4" s="720"/>
      <c r="Z4" s="720"/>
      <c r="AA4" s="720"/>
      <c r="AB4" s="720"/>
      <c r="AC4" s="721"/>
    </row>
    <row r="5" spans="1:29" ht="12" thickBot="1" x14ac:dyDescent="0.3">
      <c r="C5" s="38" t="s">
        <v>1</v>
      </c>
      <c r="D5" s="39" t="s">
        <v>2</v>
      </c>
      <c r="E5" s="39" t="s">
        <v>3</v>
      </c>
      <c r="F5" s="39" t="s">
        <v>31</v>
      </c>
      <c r="G5" s="39" t="s">
        <v>33</v>
      </c>
      <c r="H5" s="39" t="s">
        <v>34</v>
      </c>
      <c r="I5" s="39" t="s">
        <v>35</v>
      </c>
      <c r="J5" s="39" t="s">
        <v>36</v>
      </c>
      <c r="K5" s="39" t="s">
        <v>37</v>
      </c>
      <c r="L5" s="39" t="s">
        <v>38</v>
      </c>
      <c r="M5" s="39" t="s">
        <v>39</v>
      </c>
      <c r="N5" s="425" t="s">
        <v>40</v>
      </c>
      <c r="O5" s="427" t="s">
        <v>4</v>
      </c>
      <c r="P5" s="159"/>
      <c r="Q5" s="40" t="s">
        <v>1</v>
      </c>
      <c r="R5" s="41" t="s">
        <v>2</v>
      </c>
      <c r="S5" s="41" t="s">
        <v>3</v>
      </c>
      <c r="T5" s="41" t="s">
        <v>31</v>
      </c>
      <c r="U5" s="39" t="s">
        <v>33</v>
      </c>
      <c r="V5" s="39" t="s">
        <v>34</v>
      </c>
      <c r="W5" s="39" t="s">
        <v>35</v>
      </c>
      <c r="X5" s="39" t="s">
        <v>36</v>
      </c>
      <c r="Y5" s="39" t="s">
        <v>37</v>
      </c>
      <c r="Z5" s="39" t="s">
        <v>38</v>
      </c>
      <c r="AA5" s="39" t="s">
        <v>39</v>
      </c>
      <c r="AB5" s="39" t="s">
        <v>40</v>
      </c>
      <c r="AC5" s="46" t="s">
        <v>4</v>
      </c>
    </row>
    <row r="6" spans="1:29" x14ac:dyDescent="0.25">
      <c r="A6" s="278"/>
      <c r="B6" s="9" t="s">
        <v>5</v>
      </c>
      <c r="C6" s="18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426"/>
      <c r="P6" s="159"/>
      <c r="Q6" s="37"/>
      <c r="U6" s="19"/>
      <c r="V6" s="19"/>
      <c r="W6" s="19"/>
      <c r="X6" s="19"/>
      <c r="Y6" s="19"/>
      <c r="Z6" s="19"/>
      <c r="AA6" s="19"/>
      <c r="AB6" s="19"/>
      <c r="AC6" s="52"/>
    </row>
    <row r="7" spans="1:29" x14ac:dyDescent="0.25">
      <c r="A7" s="278"/>
      <c r="B7" s="9" t="s">
        <v>117</v>
      </c>
      <c r="C7" s="20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426"/>
      <c r="P7" s="159"/>
      <c r="Q7" s="37"/>
      <c r="U7" s="21"/>
      <c r="V7" s="21"/>
      <c r="W7" s="21"/>
      <c r="X7" s="21"/>
      <c r="Y7" s="21"/>
      <c r="Z7" s="21"/>
      <c r="AA7" s="21"/>
      <c r="AB7" s="21"/>
      <c r="AC7" s="52"/>
    </row>
    <row r="8" spans="1:29" x14ac:dyDescent="0.25">
      <c r="A8" s="278">
        <v>41100001</v>
      </c>
      <c r="B8" s="9" t="s">
        <v>118</v>
      </c>
      <c r="C8" s="22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428">
        <f>SUM(C8:N8)</f>
        <v>0</v>
      </c>
      <c r="P8" s="420"/>
      <c r="Q8" s="30" t="e">
        <f>C8/C$18</f>
        <v>#DIV/0!</v>
      </c>
      <c r="R8" s="31" t="e">
        <f t="shared" ref="R8:AC18" si="0">D8/D$18</f>
        <v>#DIV/0!</v>
      </c>
      <c r="S8" s="31" t="e">
        <f t="shared" si="0"/>
        <v>#DIV/0!</v>
      </c>
      <c r="T8" s="31" t="e">
        <f t="shared" si="0"/>
        <v>#DIV/0!</v>
      </c>
      <c r="U8" s="31" t="e">
        <f t="shared" si="0"/>
        <v>#DIV/0!</v>
      </c>
      <c r="V8" s="31" t="e">
        <f t="shared" si="0"/>
        <v>#DIV/0!</v>
      </c>
      <c r="W8" s="31" t="e">
        <f t="shared" si="0"/>
        <v>#DIV/0!</v>
      </c>
      <c r="X8" s="31" t="e">
        <f t="shared" si="0"/>
        <v>#DIV/0!</v>
      </c>
      <c r="Y8" s="31" t="e">
        <f t="shared" si="0"/>
        <v>#DIV/0!</v>
      </c>
      <c r="Z8" s="31" t="e">
        <f t="shared" si="0"/>
        <v>#DIV/0!</v>
      </c>
      <c r="AA8" s="31" t="e">
        <f t="shared" si="0"/>
        <v>#DIV/0!</v>
      </c>
      <c r="AB8" s="31" t="e">
        <f t="shared" si="0"/>
        <v>#DIV/0!</v>
      </c>
      <c r="AC8" s="47" t="e">
        <f t="shared" si="0"/>
        <v>#DIV/0!</v>
      </c>
    </row>
    <row r="9" spans="1:29" x14ac:dyDescent="0.25">
      <c r="A9" s="278">
        <v>41200001</v>
      </c>
      <c r="B9" s="9" t="s">
        <v>119</v>
      </c>
      <c r="C9" s="2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428">
        <f t="shared" ref="O9:O73" si="1">SUM(C9:N9)</f>
        <v>0</v>
      </c>
      <c r="P9" s="420"/>
      <c r="Q9" s="30" t="e">
        <f t="shared" ref="Q9:Q18" si="2">C9/C$18</f>
        <v>#DIV/0!</v>
      </c>
      <c r="R9" s="31" t="e">
        <f t="shared" si="0"/>
        <v>#DIV/0!</v>
      </c>
      <c r="S9" s="31" t="e">
        <f t="shared" si="0"/>
        <v>#DIV/0!</v>
      </c>
      <c r="T9" s="31" t="e">
        <f t="shared" si="0"/>
        <v>#DIV/0!</v>
      </c>
      <c r="U9" s="31" t="e">
        <f t="shared" si="0"/>
        <v>#DIV/0!</v>
      </c>
      <c r="V9" s="31" t="e">
        <f t="shared" si="0"/>
        <v>#DIV/0!</v>
      </c>
      <c r="W9" s="31" t="e">
        <f t="shared" si="0"/>
        <v>#DIV/0!</v>
      </c>
      <c r="X9" s="31" t="e">
        <f t="shared" si="0"/>
        <v>#DIV/0!</v>
      </c>
      <c r="Y9" s="31" t="e">
        <f t="shared" si="0"/>
        <v>#DIV/0!</v>
      </c>
      <c r="Z9" s="31" t="e">
        <f t="shared" si="0"/>
        <v>#DIV/0!</v>
      </c>
      <c r="AA9" s="31" t="e">
        <f t="shared" si="0"/>
        <v>#DIV/0!</v>
      </c>
      <c r="AB9" s="31" t="e">
        <f t="shared" si="0"/>
        <v>#DIV/0!</v>
      </c>
      <c r="AC9" s="47" t="e">
        <f t="shared" si="0"/>
        <v>#DIV/0!</v>
      </c>
    </row>
    <row r="10" spans="1:29" x14ac:dyDescent="0.25">
      <c r="A10" s="278">
        <v>41100002</v>
      </c>
      <c r="B10" s="9" t="s">
        <v>120</v>
      </c>
      <c r="C10" s="22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428">
        <f t="shared" si="1"/>
        <v>0</v>
      </c>
      <c r="P10" s="420"/>
      <c r="Q10" s="30" t="e">
        <f t="shared" si="2"/>
        <v>#DIV/0!</v>
      </c>
      <c r="R10" s="31" t="e">
        <f t="shared" si="0"/>
        <v>#DIV/0!</v>
      </c>
      <c r="S10" s="31" t="e">
        <f t="shared" si="0"/>
        <v>#DIV/0!</v>
      </c>
      <c r="T10" s="31" t="e">
        <f t="shared" si="0"/>
        <v>#DIV/0!</v>
      </c>
      <c r="U10" s="31" t="e">
        <f t="shared" si="0"/>
        <v>#DIV/0!</v>
      </c>
      <c r="V10" s="31" t="e">
        <f t="shared" si="0"/>
        <v>#DIV/0!</v>
      </c>
      <c r="W10" s="31" t="e">
        <f t="shared" si="0"/>
        <v>#DIV/0!</v>
      </c>
      <c r="X10" s="31" t="e">
        <f t="shared" si="0"/>
        <v>#DIV/0!</v>
      </c>
      <c r="Y10" s="31" t="e">
        <f t="shared" si="0"/>
        <v>#DIV/0!</v>
      </c>
      <c r="Z10" s="31" t="e">
        <f t="shared" si="0"/>
        <v>#DIV/0!</v>
      </c>
      <c r="AA10" s="31" t="e">
        <f t="shared" si="0"/>
        <v>#DIV/0!</v>
      </c>
      <c r="AB10" s="31" t="e">
        <f t="shared" si="0"/>
        <v>#DIV/0!</v>
      </c>
      <c r="AC10" s="47" t="e">
        <f t="shared" si="0"/>
        <v>#DIV/0!</v>
      </c>
    </row>
    <row r="11" spans="1:29" x14ac:dyDescent="0.25">
      <c r="A11" s="278">
        <v>41200004</v>
      </c>
      <c r="B11" s="9" t="s">
        <v>121</v>
      </c>
      <c r="C11" s="22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428">
        <f t="shared" si="1"/>
        <v>0</v>
      </c>
      <c r="P11" s="420"/>
      <c r="Q11" s="30" t="e">
        <f t="shared" si="2"/>
        <v>#DIV/0!</v>
      </c>
      <c r="R11" s="31" t="e">
        <f t="shared" si="0"/>
        <v>#DIV/0!</v>
      </c>
      <c r="S11" s="31" t="e">
        <f t="shared" si="0"/>
        <v>#DIV/0!</v>
      </c>
      <c r="T11" s="31" t="e">
        <f t="shared" si="0"/>
        <v>#DIV/0!</v>
      </c>
      <c r="U11" s="31" t="e">
        <f t="shared" si="0"/>
        <v>#DIV/0!</v>
      </c>
      <c r="V11" s="31" t="e">
        <f t="shared" si="0"/>
        <v>#DIV/0!</v>
      </c>
      <c r="W11" s="31" t="e">
        <f t="shared" si="0"/>
        <v>#DIV/0!</v>
      </c>
      <c r="X11" s="31" t="e">
        <f t="shared" si="0"/>
        <v>#DIV/0!</v>
      </c>
      <c r="Y11" s="31" t="e">
        <f t="shared" si="0"/>
        <v>#DIV/0!</v>
      </c>
      <c r="Z11" s="31" t="e">
        <f t="shared" si="0"/>
        <v>#DIV/0!</v>
      </c>
      <c r="AA11" s="31" t="e">
        <f t="shared" si="0"/>
        <v>#DIV/0!</v>
      </c>
      <c r="AB11" s="31" t="e">
        <f t="shared" si="0"/>
        <v>#DIV/0!</v>
      </c>
      <c r="AC11" s="47" t="e">
        <f t="shared" si="0"/>
        <v>#DIV/0!</v>
      </c>
    </row>
    <row r="12" spans="1:29" x14ac:dyDescent="0.25">
      <c r="A12" s="278">
        <v>41200002</v>
      </c>
      <c r="B12" s="9" t="s">
        <v>122</v>
      </c>
      <c r="C12" s="22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428">
        <f t="shared" si="1"/>
        <v>0</v>
      </c>
      <c r="P12" s="420"/>
      <c r="Q12" s="30" t="e">
        <f t="shared" si="2"/>
        <v>#DIV/0!</v>
      </c>
      <c r="R12" s="31" t="e">
        <f t="shared" si="0"/>
        <v>#DIV/0!</v>
      </c>
      <c r="S12" s="31" t="e">
        <f t="shared" si="0"/>
        <v>#DIV/0!</v>
      </c>
      <c r="T12" s="31" t="e">
        <f t="shared" si="0"/>
        <v>#DIV/0!</v>
      </c>
      <c r="U12" s="31" t="e">
        <f t="shared" si="0"/>
        <v>#DIV/0!</v>
      </c>
      <c r="V12" s="31" t="e">
        <f t="shared" si="0"/>
        <v>#DIV/0!</v>
      </c>
      <c r="W12" s="31" t="e">
        <f t="shared" si="0"/>
        <v>#DIV/0!</v>
      </c>
      <c r="X12" s="31" t="e">
        <f t="shared" si="0"/>
        <v>#DIV/0!</v>
      </c>
      <c r="Y12" s="31" t="e">
        <f t="shared" si="0"/>
        <v>#DIV/0!</v>
      </c>
      <c r="Z12" s="31" t="e">
        <f t="shared" si="0"/>
        <v>#DIV/0!</v>
      </c>
      <c r="AA12" s="31" t="e">
        <f t="shared" si="0"/>
        <v>#DIV/0!</v>
      </c>
      <c r="AB12" s="31" t="e">
        <f t="shared" si="0"/>
        <v>#DIV/0!</v>
      </c>
      <c r="AC12" s="47" t="e">
        <f t="shared" si="0"/>
        <v>#DIV/0!</v>
      </c>
    </row>
    <row r="13" spans="1:29" x14ac:dyDescent="0.25">
      <c r="A13" s="278">
        <v>41200003</v>
      </c>
      <c r="B13" s="9" t="s">
        <v>123</v>
      </c>
      <c r="C13" s="22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428">
        <f t="shared" si="1"/>
        <v>0</v>
      </c>
      <c r="P13" s="420"/>
      <c r="Q13" s="30" t="e">
        <f t="shared" si="2"/>
        <v>#DIV/0!</v>
      </c>
      <c r="R13" s="31" t="e">
        <f t="shared" si="0"/>
        <v>#DIV/0!</v>
      </c>
      <c r="S13" s="31" t="e">
        <f t="shared" si="0"/>
        <v>#DIV/0!</v>
      </c>
      <c r="T13" s="31" t="e">
        <f t="shared" si="0"/>
        <v>#DIV/0!</v>
      </c>
      <c r="U13" s="31" t="e">
        <f t="shared" si="0"/>
        <v>#DIV/0!</v>
      </c>
      <c r="V13" s="31" t="e">
        <f t="shared" si="0"/>
        <v>#DIV/0!</v>
      </c>
      <c r="W13" s="31" t="e">
        <f t="shared" si="0"/>
        <v>#DIV/0!</v>
      </c>
      <c r="X13" s="31" t="e">
        <f t="shared" si="0"/>
        <v>#DIV/0!</v>
      </c>
      <c r="Y13" s="31" t="e">
        <f t="shared" si="0"/>
        <v>#DIV/0!</v>
      </c>
      <c r="Z13" s="31" t="e">
        <f t="shared" si="0"/>
        <v>#DIV/0!</v>
      </c>
      <c r="AA13" s="31" t="e">
        <f t="shared" si="0"/>
        <v>#DIV/0!</v>
      </c>
      <c r="AB13" s="31" t="e">
        <f t="shared" si="0"/>
        <v>#DIV/0!</v>
      </c>
      <c r="AC13" s="47" t="e">
        <f t="shared" si="0"/>
        <v>#DIV/0!</v>
      </c>
    </row>
    <row r="14" spans="1:29" x14ac:dyDescent="0.25">
      <c r="A14" s="278">
        <v>41300001</v>
      </c>
      <c r="B14" s="9" t="s">
        <v>124</v>
      </c>
      <c r="C14" s="22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428">
        <f t="shared" si="1"/>
        <v>0</v>
      </c>
      <c r="P14" s="420"/>
      <c r="Q14" s="30" t="e">
        <f t="shared" si="2"/>
        <v>#DIV/0!</v>
      </c>
      <c r="R14" s="31" t="e">
        <f t="shared" si="0"/>
        <v>#DIV/0!</v>
      </c>
      <c r="S14" s="31" t="e">
        <f t="shared" si="0"/>
        <v>#DIV/0!</v>
      </c>
      <c r="T14" s="31" t="e">
        <f t="shared" si="0"/>
        <v>#DIV/0!</v>
      </c>
      <c r="U14" s="31" t="e">
        <f t="shared" si="0"/>
        <v>#DIV/0!</v>
      </c>
      <c r="V14" s="31" t="e">
        <f t="shared" si="0"/>
        <v>#DIV/0!</v>
      </c>
      <c r="W14" s="31" t="e">
        <f t="shared" si="0"/>
        <v>#DIV/0!</v>
      </c>
      <c r="X14" s="31" t="e">
        <f t="shared" si="0"/>
        <v>#DIV/0!</v>
      </c>
      <c r="Y14" s="31" t="e">
        <f t="shared" si="0"/>
        <v>#DIV/0!</v>
      </c>
      <c r="Z14" s="31" t="e">
        <f t="shared" si="0"/>
        <v>#DIV/0!</v>
      </c>
      <c r="AA14" s="31" t="e">
        <f t="shared" si="0"/>
        <v>#DIV/0!</v>
      </c>
      <c r="AB14" s="31" t="e">
        <f t="shared" si="0"/>
        <v>#DIV/0!</v>
      </c>
      <c r="AC14" s="47" t="e">
        <f t="shared" si="0"/>
        <v>#DIV/0!</v>
      </c>
    </row>
    <row r="15" spans="1:29" x14ac:dyDescent="0.25">
      <c r="A15" s="278">
        <v>41300002</v>
      </c>
      <c r="B15" s="9" t="s">
        <v>125</v>
      </c>
      <c r="C15" s="22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428">
        <f t="shared" si="1"/>
        <v>0</v>
      </c>
      <c r="P15" s="420"/>
      <c r="Q15" s="30" t="e">
        <f t="shared" si="2"/>
        <v>#DIV/0!</v>
      </c>
      <c r="R15" s="31" t="e">
        <f t="shared" si="0"/>
        <v>#DIV/0!</v>
      </c>
      <c r="S15" s="31" t="e">
        <f t="shared" si="0"/>
        <v>#DIV/0!</v>
      </c>
      <c r="T15" s="31" t="e">
        <f t="shared" si="0"/>
        <v>#DIV/0!</v>
      </c>
      <c r="U15" s="31" t="e">
        <f t="shared" si="0"/>
        <v>#DIV/0!</v>
      </c>
      <c r="V15" s="31" t="e">
        <f t="shared" si="0"/>
        <v>#DIV/0!</v>
      </c>
      <c r="W15" s="31" t="e">
        <f t="shared" si="0"/>
        <v>#DIV/0!</v>
      </c>
      <c r="X15" s="31" t="e">
        <f t="shared" si="0"/>
        <v>#DIV/0!</v>
      </c>
      <c r="Y15" s="31" t="e">
        <f t="shared" si="0"/>
        <v>#DIV/0!</v>
      </c>
      <c r="Z15" s="31" t="e">
        <f t="shared" si="0"/>
        <v>#DIV/0!</v>
      </c>
      <c r="AA15" s="31" t="e">
        <f t="shared" si="0"/>
        <v>#DIV/0!</v>
      </c>
      <c r="AB15" s="31" t="e">
        <f t="shared" si="0"/>
        <v>#DIV/0!</v>
      </c>
      <c r="AC15" s="47" t="e">
        <f t="shared" si="0"/>
        <v>#DIV/0!</v>
      </c>
    </row>
    <row r="16" spans="1:29" x14ac:dyDescent="0.25">
      <c r="A16" s="278">
        <v>42000001</v>
      </c>
      <c r="B16" s="9" t="s">
        <v>126</v>
      </c>
      <c r="C16" s="22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428">
        <f t="shared" si="1"/>
        <v>0</v>
      </c>
      <c r="P16" s="420"/>
      <c r="Q16" s="30" t="e">
        <f t="shared" si="2"/>
        <v>#DIV/0!</v>
      </c>
      <c r="R16" s="31" t="e">
        <f t="shared" si="0"/>
        <v>#DIV/0!</v>
      </c>
      <c r="S16" s="31" t="e">
        <f t="shared" si="0"/>
        <v>#DIV/0!</v>
      </c>
      <c r="T16" s="31" t="e">
        <f t="shared" si="0"/>
        <v>#DIV/0!</v>
      </c>
      <c r="U16" s="31" t="e">
        <f t="shared" si="0"/>
        <v>#DIV/0!</v>
      </c>
      <c r="V16" s="31" t="e">
        <f t="shared" si="0"/>
        <v>#DIV/0!</v>
      </c>
      <c r="W16" s="31" t="e">
        <f t="shared" si="0"/>
        <v>#DIV/0!</v>
      </c>
      <c r="X16" s="31" t="e">
        <f t="shared" si="0"/>
        <v>#DIV/0!</v>
      </c>
      <c r="Y16" s="31" t="e">
        <f t="shared" si="0"/>
        <v>#DIV/0!</v>
      </c>
      <c r="Z16" s="31" t="e">
        <f t="shared" si="0"/>
        <v>#DIV/0!</v>
      </c>
      <c r="AA16" s="31" t="e">
        <f t="shared" si="0"/>
        <v>#DIV/0!</v>
      </c>
      <c r="AB16" s="31" t="e">
        <f t="shared" si="0"/>
        <v>#DIV/0!</v>
      </c>
      <c r="AC16" s="47" t="e">
        <f t="shared" si="0"/>
        <v>#DIV/0!</v>
      </c>
    </row>
    <row r="17" spans="1:29" x14ac:dyDescent="0.25">
      <c r="A17" s="278">
        <v>42000019</v>
      </c>
      <c r="B17" s="9" t="s">
        <v>645</v>
      </c>
      <c r="C17" s="22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428"/>
      <c r="P17" s="420"/>
      <c r="Q17" s="30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47"/>
    </row>
    <row r="18" spans="1:29" s="12" customFormat="1" x14ac:dyDescent="0.25">
      <c r="A18" s="278"/>
      <c r="B18" s="15" t="s">
        <v>6</v>
      </c>
      <c r="C18" s="111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429">
        <f t="shared" si="1"/>
        <v>0</v>
      </c>
      <c r="P18" s="421"/>
      <c r="Q18" s="32" t="e">
        <f t="shared" si="2"/>
        <v>#DIV/0!</v>
      </c>
      <c r="R18" s="11" t="e">
        <f t="shared" si="0"/>
        <v>#DIV/0!</v>
      </c>
      <c r="S18" s="11" t="e">
        <f t="shared" si="0"/>
        <v>#DIV/0!</v>
      </c>
      <c r="T18" s="11" t="e">
        <f t="shared" si="0"/>
        <v>#DIV/0!</v>
      </c>
      <c r="U18" s="11" t="e">
        <f t="shared" si="0"/>
        <v>#DIV/0!</v>
      </c>
      <c r="V18" s="11" t="e">
        <f t="shared" si="0"/>
        <v>#DIV/0!</v>
      </c>
      <c r="W18" s="11" t="e">
        <f t="shared" si="0"/>
        <v>#DIV/0!</v>
      </c>
      <c r="X18" s="11" t="e">
        <f t="shared" si="0"/>
        <v>#DIV/0!</v>
      </c>
      <c r="Y18" s="11" t="e">
        <f t="shared" si="0"/>
        <v>#DIV/0!</v>
      </c>
      <c r="Z18" s="11" t="e">
        <f t="shared" si="0"/>
        <v>#DIV/0!</v>
      </c>
      <c r="AA18" s="11" t="e">
        <f t="shared" si="0"/>
        <v>#DIV/0!</v>
      </c>
      <c r="AB18" s="11" t="e">
        <f t="shared" si="0"/>
        <v>#DIV/0!</v>
      </c>
      <c r="AC18" s="48" t="e">
        <f t="shared" si="0"/>
        <v>#DIV/0!</v>
      </c>
    </row>
    <row r="19" spans="1:29" x14ac:dyDescent="0.25">
      <c r="A19" s="278"/>
      <c r="B19" s="9" t="s">
        <v>7</v>
      </c>
      <c r="C19" s="22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428">
        <f t="shared" si="1"/>
        <v>0</v>
      </c>
      <c r="P19" s="420"/>
      <c r="Q19" s="30"/>
      <c r="R19" s="31"/>
      <c r="S19" s="31"/>
      <c r="T19" s="31"/>
      <c r="U19" s="21"/>
      <c r="V19" s="21"/>
      <c r="W19" s="21"/>
      <c r="X19" s="21"/>
      <c r="Y19" s="21"/>
      <c r="Z19" s="21"/>
      <c r="AA19" s="21"/>
      <c r="AB19" s="21"/>
      <c r="AC19" s="47"/>
    </row>
    <row r="20" spans="1:29" x14ac:dyDescent="0.25">
      <c r="A20" s="278"/>
      <c r="B20" s="2" t="s">
        <v>127</v>
      </c>
      <c r="C20" s="22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428">
        <f t="shared" si="1"/>
        <v>0</v>
      </c>
      <c r="P20" s="420"/>
      <c r="Q20" s="33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49"/>
    </row>
    <row r="21" spans="1:29" x14ac:dyDescent="0.25">
      <c r="A21" s="278">
        <v>51000002</v>
      </c>
      <c r="B21" s="2" t="s">
        <v>128</v>
      </c>
      <c r="C21" s="22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428">
        <f t="shared" si="1"/>
        <v>0</v>
      </c>
      <c r="P21" s="420"/>
      <c r="Q21" s="33" t="e">
        <f t="shared" ref="Q21:Q24" si="3">C21/C$18</f>
        <v>#DIV/0!</v>
      </c>
      <c r="R21" s="5" t="e">
        <f t="shared" ref="R21:R24" si="4">D21/D$18</f>
        <v>#DIV/0!</v>
      </c>
      <c r="S21" s="5" t="e">
        <f t="shared" ref="S21:S24" si="5">E21/E$18</f>
        <v>#DIV/0!</v>
      </c>
      <c r="T21" s="5" t="e">
        <f t="shared" ref="T21:T24" si="6">F21/F$18</f>
        <v>#DIV/0!</v>
      </c>
      <c r="U21" s="5" t="e">
        <f t="shared" ref="U21:U24" si="7">G21/G$18</f>
        <v>#DIV/0!</v>
      </c>
      <c r="V21" s="5" t="e">
        <f t="shared" ref="V21:V24" si="8">H21/H$18</f>
        <v>#DIV/0!</v>
      </c>
      <c r="W21" s="5" t="e">
        <f t="shared" ref="W21:W24" si="9">I21/I$18</f>
        <v>#DIV/0!</v>
      </c>
      <c r="X21" s="5" t="e">
        <f t="shared" ref="X21:X24" si="10">J21/J$18</f>
        <v>#DIV/0!</v>
      </c>
      <c r="Y21" s="5" t="e">
        <f t="shared" ref="Y21:Y24" si="11">K21/K$18</f>
        <v>#DIV/0!</v>
      </c>
      <c r="Z21" s="5" t="e">
        <f t="shared" ref="Z21:Z24" si="12">L21/L$18</f>
        <v>#DIV/0!</v>
      </c>
      <c r="AA21" s="5" t="e">
        <f t="shared" ref="AA21:AA24" si="13">M21/M$18</f>
        <v>#DIV/0!</v>
      </c>
      <c r="AB21" s="5" t="e">
        <f t="shared" ref="AB21:AB24" si="14">N21/N$18</f>
        <v>#DIV/0!</v>
      </c>
      <c r="AC21" s="49" t="e">
        <f t="shared" ref="AC21:AC24" si="15">O21/O$18</f>
        <v>#DIV/0!</v>
      </c>
    </row>
    <row r="22" spans="1:29" x14ac:dyDescent="0.25">
      <c r="A22" s="278">
        <v>51000003</v>
      </c>
      <c r="B22" s="2" t="s">
        <v>129</v>
      </c>
      <c r="C22" s="22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428">
        <f t="shared" si="1"/>
        <v>0</v>
      </c>
      <c r="P22" s="420"/>
      <c r="Q22" s="33" t="e">
        <f t="shared" si="3"/>
        <v>#DIV/0!</v>
      </c>
      <c r="R22" s="5" t="e">
        <f t="shared" si="4"/>
        <v>#DIV/0!</v>
      </c>
      <c r="S22" s="5" t="e">
        <f t="shared" si="5"/>
        <v>#DIV/0!</v>
      </c>
      <c r="T22" s="5" t="e">
        <f t="shared" si="6"/>
        <v>#DIV/0!</v>
      </c>
      <c r="U22" s="5" t="e">
        <f t="shared" si="7"/>
        <v>#DIV/0!</v>
      </c>
      <c r="V22" s="5" t="e">
        <f t="shared" si="8"/>
        <v>#DIV/0!</v>
      </c>
      <c r="W22" s="5" t="e">
        <f t="shared" si="9"/>
        <v>#DIV/0!</v>
      </c>
      <c r="X22" s="5" t="e">
        <f t="shared" si="10"/>
        <v>#DIV/0!</v>
      </c>
      <c r="Y22" s="5" t="e">
        <f t="shared" si="11"/>
        <v>#DIV/0!</v>
      </c>
      <c r="Z22" s="5" t="e">
        <f t="shared" si="12"/>
        <v>#DIV/0!</v>
      </c>
      <c r="AA22" s="5" t="e">
        <f t="shared" si="13"/>
        <v>#DIV/0!</v>
      </c>
      <c r="AB22" s="5" t="e">
        <f t="shared" si="14"/>
        <v>#DIV/0!</v>
      </c>
      <c r="AC22" s="49" t="e">
        <f t="shared" si="15"/>
        <v>#DIV/0!</v>
      </c>
    </row>
    <row r="23" spans="1:29" x14ac:dyDescent="0.25">
      <c r="A23" s="278">
        <v>51000004</v>
      </c>
      <c r="B23" s="2" t="s">
        <v>130</v>
      </c>
      <c r="C23" s="2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430">
        <f t="shared" si="1"/>
        <v>0</v>
      </c>
      <c r="P23" s="422"/>
      <c r="Q23" s="33" t="e">
        <f t="shared" si="3"/>
        <v>#DIV/0!</v>
      </c>
      <c r="R23" s="5" t="e">
        <f t="shared" si="4"/>
        <v>#DIV/0!</v>
      </c>
      <c r="S23" s="5" t="e">
        <f t="shared" si="5"/>
        <v>#DIV/0!</v>
      </c>
      <c r="T23" s="5" t="e">
        <f t="shared" si="6"/>
        <v>#DIV/0!</v>
      </c>
      <c r="U23" s="5" t="e">
        <f t="shared" si="7"/>
        <v>#DIV/0!</v>
      </c>
      <c r="V23" s="5" t="e">
        <f t="shared" si="8"/>
        <v>#DIV/0!</v>
      </c>
      <c r="W23" s="5" t="e">
        <f t="shared" si="9"/>
        <v>#DIV/0!</v>
      </c>
      <c r="X23" s="5" t="e">
        <f t="shared" si="10"/>
        <v>#DIV/0!</v>
      </c>
      <c r="Y23" s="5" t="e">
        <f t="shared" si="11"/>
        <v>#DIV/0!</v>
      </c>
      <c r="Z23" s="5" t="e">
        <f t="shared" si="12"/>
        <v>#DIV/0!</v>
      </c>
      <c r="AA23" s="5" t="e">
        <f t="shared" si="13"/>
        <v>#DIV/0!</v>
      </c>
      <c r="AB23" s="5" t="e">
        <f t="shared" si="14"/>
        <v>#DIV/0!</v>
      </c>
      <c r="AC23" s="49" t="e">
        <f t="shared" si="15"/>
        <v>#DIV/0!</v>
      </c>
    </row>
    <row r="24" spans="1:29" s="12" customFormat="1" x14ac:dyDescent="0.25">
      <c r="A24" s="278">
        <v>51000001</v>
      </c>
      <c r="B24" s="15" t="s">
        <v>131</v>
      </c>
      <c r="C24" s="44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31">
        <f t="shared" si="1"/>
        <v>0</v>
      </c>
      <c r="P24" s="422"/>
      <c r="Q24" s="34" t="e">
        <f t="shared" si="3"/>
        <v>#DIV/0!</v>
      </c>
      <c r="R24" s="14" t="e">
        <f t="shared" si="4"/>
        <v>#DIV/0!</v>
      </c>
      <c r="S24" s="14" t="e">
        <f t="shared" si="5"/>
        <v>#DIV/0!</v>
      </c>
      <c r="T24" s="14" t="e">
        <f t="shared" si="6"/>
        <v>#DIV/0!</v>
      </c>
      <c r="U24" s="14" t="e">
        <f t="shared" si="7"/>
        <v>#DIV/0!</v>
      </c>
      <c r="V24" s="14" t="e">
        <f t="shared" si="8"/>
        <v>#DIV/0!</v>
      </c>
      <c r="W24" s="14" t="e">
        <f t="shared" si="9"/>
        <v>#DIV/0!</v>
      </c>
      <c r="X24" s="14" t="e">
        <f t="shared" si="10"/>
        <v>#DIV/0!</v>
      </c>
      <c r="Y24" s="14" t="e">
        <f t="shared" si="11"/>
        <v>#DIV/0!</v>
      </c>
      <c r="Z24" s="14" t="e">
        <f t="shared" si="12"/>
        <v>#DIV/0!</v>
      </c>
      <c r="AA24" s="14" t="e">
        <f t="shared" si="13"/>
        <v>#DIV/0!</v>
      </c>
      <c r="AB24" s="14" t="e">
        <f t="shared" si="14"/>
        <v>#DIV/0!</v>
      </c>
      <c r="AC24" s="49" t="e">
        <f t="shared" si="15"/>
        <v>#DIV/0!</v>
      </c>
    </row>
    <row r="25" spans="1:29" x14ac:dyDescent="0.25">
      <c r="A25" s="278"/>
      <c r="B25" s="9" t="s">
        <v>132</v>
      </c>
      <c r="C25" s="22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428">
        <f t="shared" si="1"/>
        <v>0</v>
      </c>
      <c r="P25" s="420"/>
      <c r="Q25" s="30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47"/>
    </row>
    <row r="26" spans="1:29" x14ac:dyDescent="0.25">
      <c r="A26" s="278">
        <v>52000017</v>
      </c>
      <c r="B26" s="9" t="s">
        <v>133</v>
      </c>
      <c r="C26" s="22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428">
        <f t="shared" si="1"/>
        <v>0</v>
      </c>
      <c r="P26" s="420"/>
      <c r="Q26" s="30" t="e">
        <f t="shared" ref="Q26:Q38" si="16">C26/C$18</f>
        <v>#DIV/0!</v>
      </c>
      <c r="R26" s="31" t="e">
        <f t="shared" ref="R26:R38" si="17">D26/D$18</f>
        <v>#DIV/0!</v>
      </c>
      <c r="S26" s="31" t="e">
        <f t="shared" ref="S26:S38" si="18">E26/E$18</f>
        <v>#DIV/0!</v>
      </c>
      <c r="T26" s="31" t="e">
        <f t="shared" ref="T26:T38" si="19">F26/F$18</f>
        <v>#DIV/0!</v>
      </c>
      <c r="U26" s="31" t="e">
        <f t="shared" ref="U26:U38" si="20">G26/G$18</f>
        <v>#DIV/0!</v>
      </c>
      <c r="V26" s="31" t="e">
        <f t="shared" ref="V26:V38" si="21">H26/H$18</f>
        <v>#DIV/0!</v>
      </c>
      <c r="W26" s="31" t="e">
        <f t="shared" ref="W26:W38" si="22">I26/I$18</f>
        <v>#DIV/0!</v>
      </c>
      <c r="X26" s="31" t="e">
        <f t="shared" ref="X26:X38" si="23">J26/J$18</f>
        <v>#DIV/0!</v>
      </c>
      <c r="Y26" s="31" t="e">
        <f t="shared" ref="Y26:Y38" si="24">K26/K$18</f>
        <v>#DIV/0!</v>
      </c>
      <c r="Z26" s="31" t="e">
        <f t="shared" ref="Z26:Z38" si="25">L26/L$18</f>
        <v>#DIV/0!</v>
      </c>
      <c r="AA26" s="31" t="e">
        <f t="shared" ref="AA26:AA38" si="26">M26/M$18</f>
        <v>#DIV/0!</v>
      </c>
      <c r="AB26" s="31" t="e">
        <f t="shared" ref="AB26:AB38" si="27">N26/N$18</f>
        <v>#DIV/0!</v>
      </c>
      <c r="AC26" s="47" t="e">
        <f t="shared" ref="AC26:AC38" si="28">O26/O$18</f>
        <v>#DIV/0!</v>
      </c>
    </row>
    <row r="27" spans="1:29" x14ac:dyDescent="0.25">
      <c r="A27" s="278">
        <v>52000001</v>
      </c>
      <c r="B27" s="9" t="s">
        <v>134</v>
      </c>
      <c r="C27" s="22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428">
        <f t="shared" si="1"/>
        <v>0</v>
      </c>
      <c r="P27" s="420"/>
      <c r="Q27" s="30" t="e">
        <f t="shared" si="16"/>
        <v>#DIV/0!</v>
      </c>
      <c r="R27" s="31" t="e">
        <f t="shared" si="17"/>
        <v>#DIV/0!</v>
      </c>
      <c r="S27" s="31" t="e">
        <f t="shared" si="18"/>
        <v>#DIV/0!</v>
      </c>
      <c r="T27" s="31" t="e">
        <f t="shared" si="19"/>
        <v>#DIV/0!</v>
      </c>
      <c r="U27" s="31" t="e">
        <f t="shared" si="20"/>
        <v>#DIV/0!</v>
      </c>
      <c r="V27" s="31" t="e">
        <f t="shared" si="21"/>
        <v>#DIV/0!</v>
      </c>
      <c r="W27" s="31" t="e">
        <f t="shared" si="22"/>
        <v>#DIV/0!</v>
      </c>
      <c r="X27" s="31" t="e">
        <f t="shared" si="23"/>
        <v>#DIV/0!</v>
      </c>
      <c r="Y27" s="31" t="e">
        <f t="shared" si="24"/>
        <v>#DIV/0!</v>
      </c>
      <c r="Z27" s="31" t="e">
        <f t="shared" si="25"/>
        <v>#DIV/0!</v>
      </c>
      <c r="AA27" s="31" t="e">
        <f t="shared" si="26"/>
        <v>#DIV/0!</v>
      </c>
      <c r="AB27" s="31" t="e">
        <f t="shared" si="27"/>
        <v>#DIV/0!</v>
      </c>
      <c r="AC27" s="47" t="e">
        <f t="shared" si="28"/>
        <v>#DIV/0!</v>
      </c>
    </row>
    <row r="28" spans="1:29" x14ac:dyDescent="0.25">
      <c r="A28" s="278">
        <v>52000003</v>
      </c>
      <c r="B28" s="9" t="s">
        <v>135</v>
      </c>
      <c r="C28" s="22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428">
        <f t="shared" si="1"/>
        <v>0</v>
      </c>
      <c r="P28" s="420"/>
      <c r="Q28" s="30" t="e">
        <f t="shared" si="16"/>
        <v>#DIV/0!</v>
      </c>
      <c r="R28" s="31" t="e">
        <f t="shared" si="17"/>
        <v>#DIV/0!</v>
      </c>
      <c r="S28" s="31" t="e">
        <f t="shared" si="18"/>
        <v>#DIV/0!</v>
      </c>
      <c r="T28" s="31" t="e">
        <f t="shared" si="19"/>
        <v>#DIV/0!</v>
      </c>
      <c r="U28" s="31" t="e">
        <f t="shared" si="20"/>
        <v>#DIV/0!</v>
      </c>
      <c r="V28" s="31" t="e">
        <f t="shared" si="21"/>
        <v>#DIV/0!</v>
      </c>
      <c r="W28" s="31" t="e">
        <f t="shared" si="22"/>
        <v>#DIV/0!</v>
      </c>
      <c r="X28" s="31" t="e">
        <f t="shared" si="23"/>
        <v>#DIV/0!</v>
      </c>
      <c r="Y28" s="31" t="e">
        <f t="shared" si="24"/>
        <v>#DIV/0!</v>
      </c>
      <c r="Z28" s="31" t="e">
        <f t="shared" si="25"/>
        <v>#DIV/0!</v>
      </c>
      <c r="AA28" s="31" t="e">
        <f t="shared" si="26"/>
        <v>#DIV/0!</v>
      </c>
      <c r="AB28" s="31" t="e">
        <f t="shared" si="27"/>
        <v>#DIV/0!</v>
      </c>
      <c r="AC28" s="47" t="e">
        <f t="shared" si="28"/>
        <v>#DIV/0!</v>
      </c>
    </row>
    <row r="29" spans="1:29" x14ac:dyDescent="0.25">
      <c r="A29" s="278">
        <v>52000004</v>
      </c>
      <c r="B29" s="9" t="s">
        <v>136</v>
      </c>
      <c r="C29" s="2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428">
        <f t="shared" si="1"/>
        <v>0</v>
      </c>
      <c r="P29" s="420"/>
      <c r="Q29" s="30" t="e">
        <f t="shared" si="16"/>
        <v>#DIV/0!</v>
      </c>
      <c r="R29" s="31" t="e">
        <f t="shared" si="17"/>
        <v>#DIV/0!</v>
      </c>
      <c r="S29" s="31" t="e">
        <f t="shared" si="18"/>
        <v>#DIV/0!</v>
      </c>
      <c r="T29" s="31" t="e">
        <f t="shared" si="19"/>
        <v>#DIV/0!</v>
      </c>
      <c r="U29" s="31" t="e">
        <f t="shared" si="20"/>
        <v>#DIV/0!</v>
      </c>
      <c r="V29" s="31" t="e">
        <f t="shared" si="21"/>
        <v>#DIV/0!</v>
      </c>
      <c r="W29" s="31" t="e">
        <f t="shared" si="22"/>
        <v>#DIV/0!</v>
      </c>
      <c r="X29" s="31" t="e">
        <f t="shared" si="23"/>
        <v>#DIV/0!</v>
      </c>
      <c r="Y29" s="31" t="e">
        <f t="shared" si="24"/>
        <v>#DIV/0!</v>
      </c>
      <c r="Z29" s="31" t="e">
        <f t="shared" si="25"/>
        <v>#DIV/0!</v>
      </c>
      <c r="AA29" s="31" t="e">
        <f t="shared" si="26"/>
        <v>#DIV/0!</v>
      </c>
      <c r="AB29" s="31" t="e">
        <f t="shared" si="27"/>
        <v>#DIV/0!</v>
      </c>
      <c r="AC29" s="47" t="e">
        <f t="shared" si="28"/>
        <v>#DIV/0!</v>
      </c>
    </row>
    <row r="30" spans="1:29" x14ac:dyDescent="0.25">
      <c r="A30" s="278">
        <v>52000005</v>
      </c>
      <c r="B30" s="9" t="s">
        <v>137</v>
      </c>
      <c r="C30" s="22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428">
        <f t="shared" si="1"/>
        <v>0</v>
      </c>
      <c r="P30" s="420"/>
      <c r="Q30" s="30" t="e">
        <f t="shared" si="16"/>
        <v>#DIV/0!</v>
      </c>
      <c r="R30" s="31" t="e">
        <f t="shared" si="17"/>
        <v>#DIV/0!</v>
      </c>
      <c r="S30" s="31" t="e">
        <f t="shared" si="18"/>
        <v>#DIV/0!</v>
      </c>
      <c r="T30" s="31" t="e">
        <f t="shared" si="19"/>
        <v>#DIV/0!</v>
      </c>
      <c r="U30" s="31" t="e">
        <f t="shared" si="20"/>
        <v>#DIV/0!</v>
      </c>
      <c r="V30" s="31" t="e">
        <f t="shared" si="21"/>
        <v>#DIV/0!</v>
      </c>
      <c r="W30" s="31" t="e">
        <f t="shared" si="22"/>
        <v>#DIV/0!</v>
      </c>
      <c r="X30" s="31" t="e">
        <f t="shared" si="23"/>
        <v>#DIV/0!</v>
      </c>
      <c r="Y30" s="31" t="e">
        <f t="shared" si="24"/>
        <v>#DIV/0!</v>
      </c>
      <c r="Z30" s="31" t="e">
        <f t="shared" si="25"/>
        <v>#DIV/0!</v>
      </c>
      <c r="AA30" s="31" t="e">
        <f t="shared" si="26"/>
        <v>#DIV/0!</v>
      </c>
      <c r="AB30" s="31" t="e">
        <f t="shared" si="27"/>
        <v>#DIV/0!</v>
      </c>
      <c r="AC30" s="47" t="e">
        <f t="shared" si="28"/>
        <v>#DIV/0!</v>
      </c>
    </row>
    <row r="31" spans="1:29" x14ac:dyDescent="0.25">
      <c r="A31" s="278">
        <v>52000006</v>
      </c>
      <c r="B31" s="9" t="s">
        <v>138</v>
      </c>
      <c r="C31" s="2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428">
        <f t="shared" si="1"/>
        <v>0</v>
      </c>
      <c r="P31" s="420"/>
      <c r="Q31" s="30" t="e">
        <f t="shared" si="16"/>
        <v>#DIV/0!</v>
      </c>
      <c r="R31" s="31" t="e">
        <f t="shared" si="17"/>
        <v>#DIV/0!</v>
      </c>
      <c r="S31" s="31" t="e">
        <f t="shared" si="18"/>
        <v>#DIV/0!</v>
      </c>
      <c r="T31" s="31" t="e">
        <f t="shared" si="19"/>
        <v>#DIV/0!</v>
      </c>
      <c r="U31" s="31" t="e">
        <f t="shared" si="20"/>
        <v>#DIV/0!</v>
      </c>
      <c r="V31" s="31" t="e">
        <f t="shared" si="21"/>
        <v>#DIV/0!</v>
      </c>
      <c r="W31" s="31" t="e">
        <f t="shared" si="22"/>
        <v>#DIV/0!</v>
      </c>
      <c r="X31" s="31" t="e">
        <f t="shared" si="23"/>
        <v>#DIV/0!</v>
      </c>
      <c r="Y31" s="31" t="e">
        <f t="shared" si="24"/>
        <v>#DIV/0!</v>
      </c>
      <c r="Z31" s="31" t="e">
        <f t="shared" si="25"/>
        <v>#DIV/0!</v>
      </c>
      <c r="AA31" s="31" t="e">
        <f t="shared" si="26"/>
        <v>#DIV/0!</v>
      </c>
      <c r="AB31" s="31" t="e">
        <f t="shared" si="27"/>
        <v>#DIV/0!</v>
      </c>
      <c r="AC31" s="47" t="e">
        <f t="shared" si="28"/>
        <v>#DIV/0!</v>
      </c>
    </row>
    <row r="32" spans="1:29" x14ac:dyDescent="0.25">
      <c r="A32" s="278">
        <v>52000007</v>
      </c>
      <c r="B32" s="9" t="s">
        <v>139</v>
      </c>
      <c r="C32" s="22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428">
        <f t="shared" si="1"/>
        <v>0</v>
      </c>
      <c r="P32" s="420"/>
      <c r="Q32" s="30" t="e">
        <f t="shared" si="16"/>
        <v>#DIV/0!</v>
      </c>
      <c r="R32" s="31" t="e">
        <f t="shared" si="17"/>
        <v>#DIV/0!</v>
      </c>
      <c r="S32" s="31" t="e">
        <f t="shared" si="18"/>
        <v>#DIV/0!</v>
      </c>
      <c r="T32" s="31" t="e">
        <f t="shared" si="19"/>
        <v>#DIV/0!</v>
      </c>
      <c r="U32" s="31" t="e">
        <f t="shared" si="20"/>
        <v>#DIV/0!</v>
      </c>
      <c r="V32" s="31" t="e">
        <f t="shared" si="21"/>
        <v>#DIV/0!</v>
      </c>
      <c r="W32" s="31" t="e">
        <f t="shared" si="22"/>
        <v>#DIV/0!</v>
      </c>
      <c r="X32" s="31" t="e">
        <f t="shared" si="23"/>
        <v>#DIV/0!</v>
      </c>
      <c r="Y32" s="31" t="e">
        <f t="shared" si="24"/>
        <v>#DIV/0!</v>
      </c>
      <c r="Z32" s="31" t="e">
        <f t="shared" si="25"/>
        <v>#DIV/0!</v>
      </c>
      <c r="AA32" s="31" t="e">
        <f t="shared" si="26"/>
        <v>#DIV/0!</v>
      </c>
      <c r="AB32" s="31" t="e">
        <f t="shared" si="27"/>
        <v>#DIV/0!</v>
      </c>
      <c r="AC32" s="47" t="e">
        <f t="shared" si="28"/>
        <v>#DIV/0!</v>
      </c>
    </row>
    <row r="33" spans="1:29" x14ac:dyDescent="0.25">
      <c r="A33" s="278">
        <v>52000008</v>
      </c>
      <c r="B33" s="9" t="s">
        <v>140</v>
      </c>
      <c r="C33" s="22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428">
        <f t="shared" si="1"/>
        <v>0</v>
      </c>
      <c r="P33" s="420"/>
      <c r="Q33" s="30" t="e">
        <f t="shared" si="16"/>
        <v>#DIV/0!</v>
      </c>
      <c r="R33" s="31" t="e">
        <f t="shared" si="17"/>
        <v>#DIV/0!</v>
      </c>
      <c r="S33" s="31" t="e">
        <f t="shared" si="18"/>
        <v>#DIV/0!</v>
      </c>
      <c r="T33" s="31" t="e">
        <f t="shared" si="19"/>
        <v>#DIV/0!</v>
      </c>
      <c r="U33" s="31" t="e">
        <f t="shared" si="20"/>
        <v>#DIV/0!</v>
      </c>
      <c r="V33" s="31" t="e">
        <f t="shared" si="21"/>
        <v>#DIV/0!</v>
      </c>
      <c r="W33" s="31" t="e">
        <f t="shared" si="22"/>
        <v>#DIV/0!</v>
      </c>
      <c r="X33" s="31" t="e">
        <f t="shared" si="23"/>
        <v>#DIV/0!</v>
      </c>
      <c r="Y33" s="31" t="e">
        <f t="shared" si="24"/>
        <v>#DIV/0!</v>
      </c>
      <c r="Z33" s="31" t="e">
        <f t="shared" si="25"/>
        <v>#DIV/0!</v>
      </c>
      <c r="AA33" s="31" t="e">
        <f t="shared" si="26"/>
        <v>#DIV/0!</v>
      </c>
      <c r="AB33" s="31" t="e">
        <f t="shared" si="27"/>
        <v>#DIV/0!</v>
      </c>
      <c r="AC33" s="47" t="e">
        <f t="shared" si="28"/>
        <v>#DIV/0!</v>
      </c>
    </row>
    <row r="34" spans="1:29" x14ac:dyDescent="0.25">
      <c r="A34" s="278">
        <v>52000010</v>
      </c>
      <c r="B34" s="9" t="s">
        <v>141</v>
      </c>
      <c r="C34" s="2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428">
        <f t="shared" si="1"/>
        <v>0</v>
      </c>
      <c r="P34" s="420"/>
      <c r="Q34" s="30" t="e">
        <f t="shared" si="16"/>
        <v>#DIV/0!</v>
      </c>
      <c r="R34" s="31" t="e">
        <f t="shared" si="17"/>
        <v>#DIV/0!</v>
      </c>
      <c r="S34" s="31" t="e">
        <f t="shared" si="18"/>
        <v>#DIV/0!</v>
      </c>
      <c r="T34" s="31" t="e">
        <f t="shared" si="19"/>
        <v>#DIV/0!</v>
      </c>
      <c r="U34" s="31" t="e">
        <f t="shared" si="20"/>
        <v>#DIV/0!</v>
      </c>
      <c r="V34" s="31" t="e">
        <f t="shared" si="21"/>
        <v>#DIV/0!</v>
      </c>
      <c r="W34" s="31" t="e">
        <f t="shared" si="22"/>
        <v>#DIV/0!</v>
      </c>
      <c r="X34" s="31" t="e">
        <f t="shared" si="23"/>
        <v>#DIV/0!</v>
      </c>
      <c r="Y34" s="31" t="e">
        <f t="shared" si="24"/>
        <v>#DIV/0!</v>
      </c>
      <c r="Z34" s="31" t="e">
        <f t="shared" si="25"/>
        <v>#DIV/0!</v>
      </c>
      <c r="AA34" s="31" t="e">
        <f t="shared" si="26"/>
        <v>#DIV/0!</v>
      </c>
      <c r="AB34" s="31" t="e">
        <f t="shared" si="27"/>
        <v>#DIV/0!</v>
      </c>
      <c r="AC34" s="47" t="e">
        <f t="shared" si="28"/>
        <v>#DIV/0!</v>
      </c>
    </row>
    <row r="35" spans="1:29" x14ac:dyDescent="0.25">
      <c r="A35" s="278">
        <v>52000011</v>
      </c>
      <c r="B35" s="9" t="s">
        <v>142</v>
      </c>
      <c r="C35" s="22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428">
        <f t="shared" si="1"/>
        <v>0</v>
      </c>
      <c r="P35" s="420"/>
      <c r="Q35" s="30" t="e">
        <f t="shared" si="16"/>
        <v>#DIV/0!</v>
      </c>
      <c r="R35" s="31" t="e">
        <f t="shared" si="17"/>
        <v>#DIV/0!</v>
      </c>
      <c r="S35" s="31" t="e">
        <f t="shared" si="18"/>
        <v>#DIV/0!</v>
      </c>
      <c r="T35" s="31" t="e">
        <f t="shared" si="19"/>
        <v>#DIV/0!</v>
      </c>
      <c r="U35" s="31" t="e">
        <f t="shared" si="20"/>
        <v>#DIV/0!</v>
      </c>
      <c r="V35" s="31" t="e">
        <f t="shared" si="21"/>
        <v>#DIV/0!</v>
      </c>
      <c r="W35" s="31" t="e">
        <f t="shared" si="22"/>
        <v>#DIV/0!</v>
      </c>
      <c r="X35" s="31" t="e">
        <f t="shared" si="23"/>
        <v>#DIV/0!</v>
      </c>
      <c r="Y35" s="31" t="e">
        <f t="shared" si="24"/>
        <v>#DIV/0!</v>
      </c>
      <c r="Z35" s="31" t="e">
        <f t="shared" si="25"/>
        <v>#DIV/0!</v>
      </c>
      <c r="AA35" s="31" t="e">
        <f t="shared" si="26"/>
        <v>#DIV/0!</v>
      </c>
      <c r="AB35" s="31" t="e">
        <f t="shared" si="27"/>
        <v>#DIV/0!</v>
      </c>
      <c r="AC35" s="47" t="e">
        <f t="shared" si="28"/>
        <v>#DIV/0!</v>
      </c>
    </row>
    <row r="36" spans="1:29" x14ac:dyDescent="0.25">
      <c r="A36" s="278">
        <v>52000014</v>
      </c>
      <c r="B36" s="9" t="s">
        <v>652</v>
      </c>
      <c r="C36" s="22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428">
        <f t="shared" si="1"/>
        <v>0</v>
      </c>
      <c r="P36" s="420"/>
      <c r="Q36" s="30" t="e">
        <f t="shared" si="16"/>
        <v>#DIV/0!</v>
      </c>
      <c r="R36" s="31" t="e">
        <f t="shared" si="17"/>
        <v>#DIV/0!</v>
      </c>
      <c r="S36" s="31" t="e">
        <f t="shared" si="18"/>
        <v>#DIV/0!</v>
      </c>
      <c r="T36" s="31" t="e">
        <f t="shared" si="19"/>
        <v>#DIV/0!</v>
      </c>
      <c r="U36" s="31" t="e">
        <f t="shared" si="20"/>
        <v>#DIV/0!</v>
      </c>
      <c r="V36" s="31" t="e">
        <f t="shared" si="21"/>
        <v>#DIV/0!</v>
      </c>
      <c r="W36" s="31" t="e">
        <f t="shared" si="22"/>
        <v>#DIV/0!</v>
      </c>
      <c r="X36" s="31" t="e">
        <f t="shared" si="23"/>
        <v>#DIV/0!</v>
      </c>
      <c r="Y36" s="31" t="e">
        <f t="shared" si="24"/>
        <v>#DIV/0!</v>
      </c>
      <c r="Z36" s="31" t="e">
        <f t="shared" si="25"/>
        <v>#DIV/0!</v>
      </c>
      <c r="AA36" s="31" t="e">
        <f t="shared" si="26"/>
        <v>#DIV/0!</v>
      </c>
      <c r="AB36" s="31" t="e">
        <f t="shared" si="27"/>
        <v>#DIV/0!</v>
      </c>
      <c r="AC36" s="47" t="e">
        <f t="shared" si="28"/>
        <v>#DIV/0!</v>
      </c>
    </row>
    <row r="37" spans="1:29" x14ac:dyDescent="0.25">
      <c r="A37" s="278">
        <v>61300010</v>
      </c>
      <c r="B37" s="9" t="s">
        <v>143</v>
      </c>
      <c r="C37" s="22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428">
        <f t="shared" si="1"/>
        <v>0</v>
      </c>
      <c r="P37" s="420"/>
      <c r="Q37" s="30" t="e">
        <f t="shared" si="16"/>
        <v>#DIV/0!</v>
      </c>
      <c r="R37" s="31" t="e">
        <f t="shared" si="17"/>
        <v>#DIV/0!</v>
      </c>
      <c r="S37" s="31" t="e">
        <f t="shared" si="18"/>
        <v>#DIV/0!</v>
      </c>
      <c r="T37" s="31" t="e">
        <f t="shared" si="19"/>
        <v>#DIV/0!</v>
      </c>
      <c r="U37" s="31" t="e">
        <f t="shared" si="20"/>
        <v>#DIV/0!</v>
      </c>
      <c r="V37" s="31" t="e">
        <f t="shared" si="21"/>
        <v>#DIV/0!</v>
      </c>
      <c r="W37" s="31" t="e">
        <f t="shared" si="22"/>
        <v>#DIV/0!</v>
      </c>
      <c r="X37" s="31" t="e">
        <f t="shared" si="23"/>
        <v>#DIV/0!</v>
      </c>
      <c r="Y37" s="31" t="e">
        <f t="shared" si="24"/>
        <v>#DIV/0!</v>
      </c>
      <c r="Z37" s="31" t="e">
        <f t="shared" si="25"/>
        <v>#DIV/0!</v>
      </c>
      <c r="AA37" s="31" t="e">
        <f t="shared" si="26"/>
        <v>#DIV/0!</v>
      </c>
      <c r="AB37" s="31" t="e">
        <f t="shared" si="27"/>
        <v>#DIV/0!</v>
      </c>
      <c r="AC37" s="47" t="e">
        <f t="shared" si="28"/>
        <v>#DIV/0!</v>
      </c>
    </row>
    <row r="38" spans="1:29" s="12" customFormat="1" x14ac:dyDescent="0.25">
      <c r="A38" s="278"/>
      <c r="B38" s="15" t="s">
        <v>144</v>
      </c>
      <c r="C38" s="44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31">
        <f t="shared" si="1"/>
        <v>0</v>
      </c>
      <c r="P38" s="422"/>
      <c r="Q38" s="34" t="e">
        <f t="shared" si="16"/>
        <v>#DIV/0!</v>
      </c>
      <c r="R38" s="14" t="e">
        <f t="shared" si="17"/>
        <v>#DIV/0!</v>
      </c>
      <c r="S38" s="14" t="e">
        <f t="shared" si="18"/>
        <v>#DIV/0!</v>
      </c>
      <c r="T38" s="14" t="e">
        <f t="shared" si="19"/>
        <v>#DIV/0!</v>
      </c>
      <c r="U38" s="14" t="e">
        <f t="shared" si="20"/>
        <v>#DIV/0!</v>
      </c>
      <c r="V38" s="14" t="e">
        <f t="shared" si="21"/>
        <v>#DIV/0!</v>
      </c>
      <c r="W38" s="14" t="e">
        <f t="shared" si="22"/>
        <v>#DIV/0!</v>
      </c>
      <c r="X38" s="14" t="e">
        <f t="shared" si="23"/>
        <v>#DIV/0!</v>
      </c>
      <c r="Y38" s="14" t="e">
        <f t="shared" si="24"/>
        <v>#DIV/0!</v>
      </c>
      <c r="Z38" s="14" t="e">
        <f t="shared" si="25"/>
        <v>#DIV/0!</v>
      </c>
      <c r="AA38" s="14" t="e">
        <f t="shared" si="26"/>
        <v>#DIV/0!</v>
      </c>
      <c r="AB38" s="14" t="e">
        <f t="shared" si="27"/>
        <v>#DIV/0!</v>
      </c>
      <c r="AC38" s="49" t="e">
        <f t="shared" si="28"/>
        <v>#DIV/0!</v>
      </c>
    </row>
    <row r="39" spans="1:29" x14ac:dyDescent="0.25">
      <c r="A39" s="278"/>
      <c r="B39" s="9" t="s">
        <v>145</v>
      </c>
      <c r="C39" s="22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428">
        <f t="shared" si="1"/>
        <v>0</v>
      </c>
      <c r="P39" s="420"/>
      <c r="Q39" s="30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47"/>
    </row>
    <row r="40" spans="1:29" x14ac:dyDescent="0.25">
      <c r="A40" s="278">
        <v>52000015</v>
      </c>
      <c r="B40" s="9" t="s">
        <v>146</v>
      </c>
      <c r="C40" s="22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428">
        <f t="shared" si="1"/>
        <v>0</v>
      </c>
      <c r="P40" s="420"/>
      <c r="Q40" s="33" t="e">
        <f t="shared" ref="Q40:Q42" si="29">C40/C$18</f>
        <v>#DIV/0!</v>
      </c>
      <c r="R40" s="5" t="e">
        <f t="shared" ref="R40:R42" si="30">D40/D$18</f>
        <v>#DIV/0!</v>
      </c>
      <c r="S40" s="5" t="e">
        <f t="shared" ref="S40:S42" si="31">E40/E$18</f>
        <v>#DIV/0!</v>
      </c>
      <c r="T40" s="5" t="e">
        <f t="shared" ref="T40:T42" si="32">F40/F$18</f>
        <v>#DIV/0!</v>
      </c>
      <c r="U40" s="5" t="e">
        <f t="shared" ref="U40:U42" si="33">G40/G$18</f>
        <v>#DIV/0!</v>
      </c>
      <c r="V40" s="5" t="e">
        <f t="shared" ref="V40:V42" si="34">H40/H$18</f>
        <v>#DIV/0!</v>
      </c>
      <c r="W40" s="5" t="e">
        <f t="shared" ref="W40:W42" si="35">I40/I$18</f>
        <v>#DIV/0!</v>
      </c>
      <c r="X40" s="5" t="e">
        <f t="shared" ref="X40:X42" si="36">J40/J$18</f>
        <v>#DIV/0!</v>
      </c>
      <c r="Y40" s="5" t="e">
        <f t="shared" ref="Y40:Y42" si="37">K40/K$18</f>
        <v>#DIV/0!</v>
      </c>
      <c r="Z40" s="5" t="e">
        <f t="shared" ref="Z40:Z42" si="38">L40/L$18</f>
        <v>#DIV/0!</v>
      </c>
      <c r="AA40" s="5" t="e">
        <f t="shared" ref="AA40:AA42" si="39">M40/M$18</f>
        <v>#DIV/0!</v>
      </c>
      <c r="AB40" s="5" t="e">
        <f t="shared" ref="AB40:AB42" si="40">N40/N$18</f>
        <v>#DIV/0!</v>
      </c>
      <c r="AC40" s="49" t="e">
        <f t="shared" ref="AC40:AC42" si="41">O40/O$18</f>
        <v>#DIV/0!</v>
      </c>
    </row>
    <row r="41" spans="1:29" s="12" customFormat="1" x14ac:dyDescent="0.25">
      <c r="A41" s="278"/>
      <c r="B41" s="15" t="s">
        <v>147</v>
      </c>
      <c r="C41" s="113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432">
        <f t="shared" si="1"/>
        <v>0</v>
      </c>
      <c r="P41" s="423"/>
      <c r="Q41" s="34" t="e">
        <f t="shared" si="29"/>
        <v>#DIV/0!</v>
      </c>
      <c r="R41" s="14" t="e">
        <f t="shared" si="30"/>
        <v>#DIV/0!</v>
      </c>
      <c r="S41" s="14" t="e">
        <f t="shared" si="31"/>
        <v>#DIV/0!</v>
      </c>
      <c r="T41" s="14" t="e">
        <f t="shared" si="32"/>
        <v>#DIV/0!</v>
      </c>
      <c r="U41" s="14" t="e">
        <f t="shared" si="33"/>
        <v>#DIV/0!</v>
      </c>
      <c r="V41" s="14" t="e">
        <f t="shared" si="34"/>
        <v>#DIV/0!</v>
      </c>
      <c r="W41" s="14" t="e">
        <f t="shared" si="35"/>
        <v>#DIV/0!</v>
      </c>
      <c r="X41" s="14" t="e">
        <f t="shared" si="36"/>
        <v>#DIV/0!</v>
      </c>
      <c r="Y41" s="14" t="e">
        <f t="shared" si="37"/>
        <v>#DIV/0!</v>
      </c>
      <c r="Z41" s="14" t="e">
        <f t="shared" si="38"/>
        <v>#DIV/0!</v>
      </c>
      <c r="AA41" s="14" t="e">
        <f t="shared" si="39"/>
        <v>#DIV/0!</v>
      </c>
      <c r="AB41" s="14" t="e">
        <f t="shared" si="40"/>
        <v>#DIV/0!</v>
      </c>
      <c r="AC41" s="49" t="e">
        <f t="shared" si="41"/>
        <v>#DIV/0!</v>
      </c>
    </row>
    <row r="42" spans="1:29" x14ac:dyDescent="0.25">
      <c r="A42" s="278"/>
      <c r="B42" s="277" t="s">
        <v>148</v>
      </c>
      <c r="C42" s="44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31">
        <f t="shared" si="1"/>
        <v>0</v>
      </c>
      <c r="P42" s="422"/>
      <c r="Q42" s="33" t="e">
        <f t="shared" si="29"/>
        <v>#DIV/0!</v>
      </c>
      <c r="R42" s="5" t="e">
        <f t="shared" si="30"/>
        <v>#DIV/0!</v>
      </c>
      <c r="S42" s="5" t="e">
        <f t="shared" si="31"/>
        <v>#DIV/0!</v>
      </c>
      <c r="T42" s="5" t="e">
        <f t="shared" si="32"/>
        <v>#DIV/0!</v>
      </c>
      <c r="U42" s="5" t="e">
        <f t="shared" si="33"/>
        <v>#DIV/0!</v>
      </c>
      <c r="V42" s="5" t="e">
        <f t="shared" si="34"/>
        <v>#DIV/0!</v>
      </c>
      <c r="W42" s="5" t="e">
        <f t="shared" si="35"/>
        <v>#DIV/0!</v>
      </c>
      <c r="X42" s="5" t="e">
        <f t="shared" si="36"/>
        <v>#DIV/0!</v>
      </c>
      <c r="Y42" s="5" t="e">
        <f t="shared" si="37"/>
        <v>#DIV/0!</v>
      </c>
      <c r="Z42" s="5" t="e">
        <f t="shared" si="38"/>
        <v>#DIV/0!</v>
      </c>
      <c r="AA42" s="5" t="e">
        <f t="shared" si="39"/>
        <v>#DIV/0!</v>
      </c>
      <c r="AB42" s="5" t="e">
        <f t="shared" si="40"/>
        <v>#DIV/0!</v>
      </c>
      <c r="AC42" s="49" t="e">
        <f t="shared" si="41"/>
        <v>#DIV/0!</v>
      </c>
    </row>
    <row r="43" spans="1:29" x14ac:dyDescent="0.25">
      <c r="A43" s="278"/>
      <c r="B43" s="9" t="s">
        <v>9</v>
      </c>
      <c r="C43" s="22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428">
        <f t="shared" si="1"/>
        <v>0</v>
      </c>
      <c r="P43" s="420"/>
      <c r="Q43" s="30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47"/>
    </row>
    <row r="44" spans="1:29" x14ac:dyDescent="0.25">
      <c r="A44" s="278"/>
      <c r="B44" s="9" t="s">
        <v>149</v>
      </c>
      <c r="C44" s="2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428">
        <f t="shared" si="1"/>
        <v>0</v>
      </c>
      <c r="P44" s="420"/>
      <c r="Q44" s="30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47"/>
    </row>
    <row r="45" spans="1:29" x14ac:dyDescent="0.25">
      <c r="A45" s="278">
        <v>60100001</v>
      </c>
      <c r="B45" s="9" t="s">
        <v>150</v>
      </c>
      <c r="C45" s="22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428">
        <f t="shared" si="1"/>
        <v>0</v>
      </c>
      <c r="P45" s="420"/>
      <c r="Q45" s="30" t="e">
        <f t="shared" ref="Q45:Q63" si="42">C45/C$18</f>
        <v>#DIV/0!</v>
      </c>
      <c r="R45" s="31" t="e">
        <f t="shared" ref="R45:R63" si="43">D45/D$18</f>
        <v>#DIV/0!</v>
      </c>
      <c r="S45" s="31" t="e">
        <f t="shared" ref="S45:S63" si="44">E45/E$18</f>
        <v>#DIV/0!</v>
      </c>
      <c r="T45" s="31" t="e">
        <f t="shared" ref="T45:T63" si="45">F45/F$18</f>
        <v>#DIV/0!</v>
      </c>
      <c r="U45" s="31" t="e">
        <f t="shared" ref="U45:U63" si="46">G45/G$18</f>
        <v>#DIV/0!</v>
      </c>
      <c r="V45" s="31" t="e">
        <f t="shared" ref="V45:V63" si="47">H45/H$18</f>
        <v>#DIV/0!</v>
      </c>
      <c r="W45" s="31" t="e">
        <f t="shared" ref="W45:W63" si="48">I45/I$18</f>
        <v>#DIV/0!</v>
      </c>
      <c r="X45" s="31" t="e">
        <f t="shared" ref="X45:X63" si="49">J45/J$18</f>
        <v>#DIV/0!</v>
      </c>
      <c r="Y45" s="31" t="e">
        <f t="shared" ref="Y45:Y63" si="50">K45/K$18</f>
        <v>#DIV/0!</v>
      </c>
      <c r="Z45" s="31" t="e">
        <f t="shared" ref="Z45:Z63" si="51">L45/L$18</f>
        <v>#DIV/0!</v>
      </c>
      <c r="AA45" s="31" t="e">
        <f t="shared" ref="AA45:AA63" si="52">M45/M$18</f>
        <v>#DIV/0!</v>
      </c>
      <c r="AB45" s="31" t="e">
        <f t="shared" ref="AB45:AB63" si="53">N45/N$18</f>
        <v>#DIV/0!</v>
      </c>
      <c r="AC45" s="47" t="e">
        <f t="shared" ref="AC45:AC63" si="54">O45/O$18</f>
        <v>#DIV/0!</v>
      </c>
    </row>
    <row r="46" spans="1:29" x14ac:dyDescent="0.25">
      <c r="A46" s="278">
        <v>52000009</v>
      </c>
      <c r="B46" s="9" t="s">
        <v>151</v>
      </c>
      <c r="C46" s="22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428">
        <f t="shared" si="1"/>
        <v>0</v>
      </c>
      <c r="P46" s="420"/>
      <c r="Q46" s="30" t="e">
        <f t="shared" si="42"/>
        <v>#DIV/0!</v>
      </c>
      <c r="R46" s="31" t="e">
        <f t="shared" si="43"/>
        <v>#DIV/0!</v>
      </c>
      <c r="S46" s="31" t="e">
        <f t="shared" si="44"/>
        <v>#DIV/0!</v>
      </c>
      <c r="T46" s="31" t="e">
        <f t="shared" si="45"/>
        <v>#DIV/0!</v>
      </c>
      <c r="U46" s="31" t="e">
        <f t="shared" si="46"/>
        <v>#DIV/0!</v>
      </c>
      <c r="V46" s="31" t="e">
        <f t="shared" si="47"/>
        <v>#DIV/0!</v>
      </c>
      <c r="W46" s="31" t="e">
        <f t="shared" si="48"/>
        <v>#DIV/0!</v>
      </c>
      <c r="X46" s="31" t="e">
        <f t="shared" si="49"/>
        <v>#DIV/0!</v>
      </c>
      <c r="Y46" s="31" t="e">
        <f t="shared" si="50"/>
        <v>#DIV/0!</v>
      </c>
      <c r="Z46" s="31" t="e">
        <f t="shared" si="51"/>
        <v>#DIV/0!</v>
      </c>
      <c r="AA46" s="31" t="e">
        <f t="shared" si="52"/>
        <v>#DIV/0!</v>
      </c>
      <c r="AB46" s="31" t="e">
        <f t="shared" si="53"/>
        <v>#DIV/0!</v>
      </c>
      <c r="AC46" s="47" t="e">
        <f t="shared" si="54"/>
        <v>#DIV/0!</v>
      </c>
    </row>
    <row r="47" spans="1:29" x14ac:dyDescent="0.25">
      <c r="A47" s="278">
        <v>52000012</v>
      </c>
      <c r="B47" s="9" t="s">
        <v>152</v>
      </c>
      <c r="C47" s="22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428">
        <f t="shared" si="1"/>
        <v>0</v>
      </c>
      <c r="P47" s="420"/>
      <c r="Q47" s="30" t="e">
        <f t="shared" si="42"/>
        <v>#DIV/0!</v>
      </c>
      <c r="R47" s="31" t="e">
        <f t="shared" si="43"/>
        <v>#DIV/0!</v>
      </c>
      <c r="S47" s="31" t="e">
        <f t="shared" si="44"/>
        <v>#DIV/0!</v>
      </c>
      <c r="T47" s="31" t="e">
        <f t="shared" si="45"/>
        <v>#DIV/0!</v>
      </c>
      <c r="U47" s="31" t="e">
        <f t="shared" si="46"/>
        <v>#DIV/0!</v>
      </c>
      <c r="V47" s="31" t="e">
        <f t="shared" si="47"/>
        <v>#DIV/0!</v>
      </c>
      <c r="W47" s="31" t="e">
        <f t="shared" si="48"/>
        <v>#DIV/0!</v>
      </c>
      <c r="X47" s="31" t="e">
        <f t="shared" si="49"/>
        <v>#DIV/0!</v>
      </c>
      <c r="Y47" s="31" t="e">
        <f t="shared" si="50"/>
        <v>#DIV/0!</v>
      </c>
      <c r="Z47" s="31" t="e">
        <f t="shared" si="51"/>
        <v>#DIV/0!</v>
      </c>
      <c r="AA47" s="31" t="e">
        <f t="shared" si="52"/>
        <v>#DIV/0!</v>
      </c>
      <c r="AB47" s="31" t="e">
        <f t="shared" si="53"/>
        <v>#DIV/0!</v>
      </c>
      <c r="AC47" s="47" t="e">
        <f t="shared" si="54"/>
        <v>#DIV/0!</v>
      </c>
    </row>
    <row r="48" spans="1:29" x14ac:dyDescent="0.25">
      <c r="A48" s="278">
        <v>52000013</v>
      </c>
      <c r="B48" s="9" t="s">
        <v>153</v>
      </c>
      <c r="C48" s="22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428">
        <f t="shared" si="1"/>
        <v>0</v>
      </c>
      <c r="P48" s="420"/>
      <c r="Q48" s="30" t="e">
        <f t="shared" si="42"/>
        <v>#DIV/0!</v>
      </c>
      <c r="R48" s="31" t="e">
        <f t="shared" si="43"/>
        <v>#DIV/0!</v>
      </c>
      <c r="S48" s="31" t="e">
        <f t="shared" si="44"/>
        <v>#DIV/0!</v>
      </c>
      <c r="T48" s="31" t="e">
        <f t="shared" si="45"/>
        <v>#DIV/0!</v>
      </c>
      <c r="U48" s="31" t="e">
        <f t="shared" si="46"/>
        <v>#DIV/0!</v>
      </c>
      <c r="V48" s="31" t="e">
        <f t="shared" si="47"/>
        <v>#DIV/0!</v>
      </c>
      <c r="W48" s="31" t="e">
        <f t="shared" si="48"/>
        <v>#DIV/0!</v>
      </c>
      <c r="X48" s="31" t="e">
        <f t="shared" si="49"/>
        <v>#DIV/0!</v>
      </c>
      <c r="Y48" s="31" t="e">
        <f t="shared" si="50"/>
        <v>#DIV/0!</v>
      </c>
      <c r="Z48" s="31" t="e">
        <f t="shared" si="51"/>
        <v>#DIV/0!</v>
      </c>
      <c r="AA48" s="31" t="e">
        <f t="shared" si="52"/>
        <v>#DIV/0!</v>
      </c>
      <c r="AB48" s="31" t="e">
        <f t="shared" si="53"/>
        <v>#DIV/0!</v>
      </c>
      <c r="AC48" s="47" t="e">
        <f t="shared" si="54"/>
        <v>#DIV/0!</v>
      </c>
    </row>
    <row r="49" spans="1:29" x14ac:dyDescent="0.25">
      <c r="A49" s="278">
        <v>52000016</v>
      </c>
      <c r="B49" s="9" t="s">
        <v>154</v>
      </c>
      <c r="C49" s="22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428">
        <f t="shared" si="1"/>
        <v>0</v>
      </c>
      <c r="P49" s="420"/>
      <c r="Q49" s="30" t="e">
        <f t="shared" si="42"/>
        <v>#DIV/0!</v>
      </c>
      <c r="R49" s="31" t="e">
        <f t="shared" si="43"/>
        <v>#DIV/0!</v>
      </c>
      <c r="S49" s="31" t="e">
        <f t="shared" si="44"/>
        <v>#DIV/0!</v>
      </c>
      <c r="T49" s="31" t="e">
        <f t="shared" si="45"/>
        <v>#DIV/0!</v>
      </c>
      <c r="U49" s="31" t="e">
        <f t="shared" si="46"/>
        <v>#DIV/0!</v>
      </c>
      <c r="V49" s="31" t="e">
        <f t="shared" si="47"/>
        <v>#DIV/0!</v>
      </c>
      <c r="W49" s="31" t="e">
        <f t="shared" si="48"/>
        <v>#DIV/0!</v>
      </c>
      <c r="X49" s="31" t="e">
        <f t="shared" si="49"/>
        <v>#DIV/0!</v>
      </c>
      <c r="Y49" s="31" t="e">
        <f t="shared" si="50"/>
        <v>#DIV/0!</v>
      </c>
      <c r="Z49" s="31" t="e">
        <f t="shared" si="51"/>
        <v>#DIV/0!</v>
      </c>
      <c r="AA49" s="31" t="e">
        <f t="shared" si="52"/>
        <v>#DIV/0!</v>
      </c>
      <c r="AB49" s="31" t="e">
        <f t="shared" si="53"/>
        <v>#DIV/0!</v>
      </c>
      <c r="AC49" s="47" t="e">
        <f t="shared" si="54"/>
        <v>#DIV/0!</v>
      </c>
    </row>
    <row r="50" spans="1:29" x14ac:dyDescent="0.25">
      <c r="A50" s="278">
        <v>60100002</v>
      </c>
      <c r="B50" s="9" t="s">
        <v>155</v>
      </c>
      <c r="C50" s="22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428">
        <f t="shared" si="1"/>
        <v>0</v>
      </c>
      <c r="P50" s="420"/>
      <c r="Q50" s="30" t="e">
        <f t="shared" si="42"/>
        <v>#DIV/0!</v>
      </c>
      <c r="R50" s="31" t="e">
        <f t="shared" si="43"/>
        <v>#DIV/0!</v>
      </c>
      <c r="S50" s="31" t="e">
        <f t="shared" si="44"/>
        <v>#DIV/0!</v>
      </c>
      <c r="T50" s="31" t="e">
        <f t="shared" si="45"/>
        <v>#DIV/0!</v>
      </c>
      <c r="U50" s="31" t="e">
        <f t="shared" si="46"/>
        <v>#DIV/0!</v>
      </c>
      <c r="V50" s="31" t="e">
        <f t="shared" si="47"/>
        <v>#DIV/0!</v>
      </c>
      <c r="W50" s="31" t="e">
        <f t="shared" si="48"/>
        <v>#DIV/0!</v>
      </c>
      <c r="X50" s="31" t="e">
        <f t="shared" si="49"/>
        <v>#DIV/0!</v>
      </c>
      <c r="Y50" s="31" t="e">
        <f t="shared" si="50"/>
        <v>#DIV/0!</v>
      </c>
      <c r="Z50" s="31" t="e">
        <f t="shared" si="51"/>
        <v>#DIV/0!</v>
      </c>
      <c r="AA50" s="31" t="e">
        <f t="shared" si="52"/>
        <v>#DIV/0!</v>
      </c>
      <c r="AB50" s="31" t="e">
        <f t="shared" si="53"/>
        <v>#DIV/0!</v>
      </c>
      <c r="AC50" s="47" t="e">
        <f t="shared" si="54"/>
        <v>#DIV/0!</v>
      </c>
    </row>
    <row r="51" spans="1:29" x14ac:dyDescent="0.25">
      <c r="A51" s="278">
        <v>60100003</v>
      </c>
      <c r="B51" s="9" t="s">
        <v>156</v>
      </c>
      <c r="C51" s="22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428">
        <f t="shared" si="1"/>
        <v>0</v>
      </c>
      <c r="P51" s="420"/>
      <c r="Q51" s="30" t="e">
        <f t="shared" si="42"/>
        <v>#DIV/0!</v>
      </c>
      <c r="R51" s="31" t="e">
        <f t="shared" si="43"/>
        <v>#DIV/0!</v>
      </c>
      <c r="S51" s="31" t="e">
        <f t="shared" si="44"/>
        <v>#DIV/0!</v>
      </c>
      <c r="T51" s="31" t="e">
        <f t="shared" si="45"/>
        <v>#DIV/0!</v>
      </c>
      <c r="U51" s="31" t="e">
        <f t="shared" si="46"/>
        <v>#DIV/0!</v>
      </c>
      <c r="V51" s="31" t="e">
        <f t="shared" si="47"/>
        <v>#DIV/0!</v>
      </c>
      <c r="W51" s="31" t="e">
        <f t="shared" si="48"/>
        <v>#DIV/0!</v>
      </c>
      <c r="X51" s="31" t="e">
        <f t="shared" si="49"/>
        <v>#DIV/0!</v>
      </c>
      <c r="Y51" s="31" t="e">
        <f t="shared" si="50"/>
        <v>#DIV/0!</v>
      </c>
      <c r="Z51" s="31" t="e">
        <f t="shared" si="51"/>
        <v>#DIV/0!</v>
      </c>
      <c r="AA51" s="31" t="e">
        <f t="shared" si="52"/>
        <v>#DIV/0!</v>
      </c>
      <c r="AB51" s="31" t="e">
        <f t="shared" si="53"/>
        <v>#DIV/0!</v>
      </c>
      <c r="AC51" s="47" t="e">
        <f t="shared" si="54"/>
        <v>#DIV/0!</v>
      </c>
    </row>
    <row r="52" spans="1:29" x14ac:dyDescent="0.25">
      <c r="A52" s="278">
        <v>60100004</v>
      </c>
      <c r="B52" s="9" t="s">
        <v>157</v>
      </c>
      <c r="C52" s="22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428">
        <f t="shared" si="1"/>
        <v>0</v>
      </c>
      <c r="P52" s="420"/>
      <c r="Q52" s="30" t="e">
        <f t="shared" si="42"/>
        <v>#DIV/0!</v>
      </c>
      <c r="R52" s="31" t="e">
        <f t="shared" si="43"/>
        <v>#DIV/0!</v>
      </c>
      <c r="S52" s="31" t="e">
        <f t="shared" si="44"/>
        <v>#DIV/0!</v>
      </c>
      <c r="T52" s="31" t="e">
        <f t="shared" si="45"/>
        <v>#DIV/0!</v>
      </c>
      <c r="U52" s="31" t="e">
        <f t="shared" si="46"/>
        <v>#DIV/0!</v>
      </c>
      <c r="V52" s="31" t="e">
        <f t="shared" si="47"/>
        <v>#DIV/0!</v>
      </c>
      <c r="W52" s="31" t="e">
        <f t="shared" si="48"/>
        <v>#DIV/0!</v>
      </c>
      <c r="X52" s="31" t="e">
        <f t="shared" si="49"/>
        <v>#DIV/0!</v>
      </c>
      <c r="Y52" s="31" t="e">
        <f t="shared" si="50"/>
        <v>#DIV/0!</v>
      </c>
      <c r="Z52" s="31" t="e">
        <f t="shared" si="51"/>
        <v>#DIV/0!</v>
      </c>
      <c r="AA52" s="31" t="e">
        <f t="shared" si="52"/>
        <v>#DIV/0!</v>
      </c>
      <c r="AB52" s="31" t="e">
        <f t="shared" si="53"/>
        <v>#DIV/0!</v>
      </c>
      <c r="AC52" s="47" t="e">
        <f t="shared" si="54"/>
        <v>#DIV/0!</v>
      </c>
    </row>
    <row r="53" spans="1:29" x14ac:dyDescent="0.25">
      <c r="A53" s="278">
        <v>60100005</v>
      </c>
      <c r="B53" s="9" t="s">
        <v>158</v>
      </c>
      <c r="C53" s="22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428">
        <f t="shared" si="1"/>
        <v>0</v>
      </c>
      <c r="P53" s="420"/>
      <c r="Q53" s="30" t="e">
        <f t="shared" si="42"/>
        <v>#DIV/0!</v>
      </c>
      <c r="R53" s="31" t="e">
        <f t="shared" si="43"/>
        <v>#DIV/0!</v>
      </c>
      <c r="S53" s="31" t="e">
        <f t="shared" si="44"/>
        <v>#DIV/0!</v>
      </c>
      <c r="T53" s="31" t="e">
        <f t="shared" si="45"/>
        <v>#DIV/0!</v>
      </c>
      <c r="U53" s="31" t="e">
        <f t="shared" si="46"/>
        <v>#DIV/0!</v>
      </c>
      <c r="V53" s="31" t="e">
        <f t="shared" si="47"/>
        <v>#DIV/0!</v>
      </c>
      <c r="W53" s="31" t="e">
        <f t="shared" si="48"/>
        <v>#DIV/0!</v>
      </c>
      <c r="X53" s="31" t="e">
        <f t="shared" si="49"/>
        <v>#DIV/0!</v>
      </c>
      <c r="Y53" s="31" t="e">
        <f t="shared" si="50"/>
        <v>#DIV/0!</v>
      </c>
      <c r="Z53" s="31" t="e">
        <f t="shared" si="51"/>
        <v>#DIV/0!</v>
      </c>
      <c r="AA53" s="31" t="e">
        <f t="shared" si="52"/>
        <v>#DIV/0!</v>
      </c>
      <c r="AB53" s="31" t="e">
        <f t="shared" si="53"/>
        <v>#DIV/0!</v>
      </c>
      <c r="AC53" s="47" t="e">
        <f t="shared" si="54"/>
        <v>#DIV/0!</v>
      </c>
    </row>
    <row r="54" spans="1:29" x14ac:dyDescent="0.25">
      <c r="A54" s="278">
        <v>60100007</v>
      </c>
      <c r="B54" s="9" t="s">
        <v>159</v>
      </c>
      <c r="C54" s="22"/>
      <c r="D54" s="419"/>
      <c r="E54" s="8"/>
      <c r="F54" s="8"/>
      <c r="G54" s="8"/>
      <c r="H54" s="419"/>
      <c r="I54" s="8"/>
      <c r="J54" s="8"/>
      <c r="K54" s="8"/>
      <c r="L54" s="8"/>
      <c r="M54" s="8"/>
      <c r="N54" s="8"/>
      <c r="O54" s="428">
        <f t="shared" si="1"/>
        <v>0</v>
      </c>
      <c r="P54" s="420"/>
      <c r="Q54" s="30" t="e">
        <f t="shared" si="42"/>
        <v>#DIV/0!</v>
      </c>
      <c r="R54" s="31" t="e">
        <f t="shared" si="43"/>
        <v>#DIV/0!</v>
      </c>
      <c r="S54" s="31" t="e">
        <f t="shared" si="44"/>
        <v>#DIV/0!</v>
      </c>
      <c r="T54" s="31" t="e">
        <f t="shared" si="45"/>
        <v>#DIV/0!</v>
      </c>
      <c r="U54" s="31" t="e">
        <f t="shared" si="46"/>
        <v>#DIV/0!</v>
      </c>
      <c r="V54" s="31" t="e">
        <f t="shared" si="47"/>
        <v>#DIV/0!</v>
      </c>
      <c r="W54" s="31" t="e">
        <f t="shared" si="48"/>
        <v>#DIV/0!</v>
      </c>
      <c r="X54" s="31" t="e">
        <f t="shared" si="49"/>
        <v>#DIV/0!</v>
      </c>
      <c r="Y54" s="31" t="e">
        <f t="shared" si="50"/>
        <v>#DIV/0!</v>
      </c>
      <c r="Z54" s="31" t="e">
        <f t="shared" si="51"/>
        <v>#DIV/0!</v>
      </c>
      <c r="AA54" s="31" t="e">
        <f t="shared" si="52"/>
        <v>#DIV/0!</v>
      </c>
      <c r="AB54" s="31" t="e">
        <f t="shared" si="53"/>
        <v>#DIV/0!</v>
      </c>
      <c r="AC54" s="47" t="e">
        <f t="shared" si="54"/>
        <v>#DIV/0!</v>
      </c>
    </row>
    <row r="55" spans="1:29" x14ac:dyDescent="0.25">
      <c r="A55" s="278">
        <v>60100008</v>
      </c>
      <c r="B55" s="9" t="s">
        <v>160</v>
      </c>
      <c r="C55" s="22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428">
        <f t="shared" si="1"/>
        <v>0</v>
      </c>
      <c r="P55" s="420"/>
      <c r="Q55" s="30" t="e">
        <f t="shared" si="42"/>
        <v>#DIV/0!</v>
      </c>
      <c r="R55" s="31" t="e">
        <f t="shared" si="43"/>
        <v>#DIV/0!</v>
      </c>
      <c r="S55" s="31" t="e">
        <f t="shared" si="44"/>
        <v>#DIV/0!</v>
      </c>
      <c r="T55" s="31" t="e">
        <f t="shared" si="45"/>
        <v>#DIV/0!</v>
      </c>
      <c r="U55" s="31" t="e">
        <f t="shared" si="46"/>
        <v>#DIV/0!</v>
      </c>
      <c r="V55" s="31" t="e">
        <f t="shared" si="47"/>
        <v>#DIV/0!</v>
      </c>
      <c r="W55" s="31" t="e">
        <f t="shared" si="48"/>
        <v>#DIV/0!</v>
      </c>
      <c r="X55" s="31" t="e">
        <f t="shared" si="49"/>
        <v>#DIV/0!</v>
      </c>
      <c r="Y55" s="31" t="e">
        <f t="shared" si="50"/>
        <v>#DIV/0!</v>
      </c>
      <c r="Z55" s="31" t="e">
        <f t="shared" si="51"/>
        <v>#DIV/0!</v>
      </c>
      <c r="AA55" s="31" t="e">
        <f t="shared" si="52"/>
        <v>#DIV/0!</v>
      </c>
      <c r="AB55" s="31" t="e">
        <f t="shared" si="53"/>
        <v>#DIV/0!</v>
      </c>
      <c r="AC55" s="47" t="e">
        <f t="shared" si="54"/>
        <v>#DIV/0!</v>
      </c>
    </row>
    <row r="56" spans="1:29" x14ac:dyDescent="0.25">
      <c r="A56" s="278">
        <v>60100009</v>
      </c>
      <c r="B56" s="9" t="s">
        <v>161</v>
      </c>
      <c r="C56" s="22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428">
        <f t="shared" si="1"/>
        <v>0</v>
      </c>
      <c r="P56" s="420"/>
      <c r="Q56" s="30" t="e">
        <f t="shared" si="42"/>
        <v>#DIV/0!</v>
      </c>
      <c r="R56" s="31" t="e">
        <f t="shared" si="43"/>
        <v>#DIV/0!</v>
      </c>
      <c r="S56" s="31" t="e">
        <f t="shared" si="44"/>
        <v>#DIV/0!</v>
      </c>
      <c r="T56" s="31" t="e">
        <f t="shared" si="45"/>
        <v>#DIV/0!</v>
      </c>
      <c r="U56" s="31" t="e">
        <f t="shared" si="46"/>
        <v>#DIV/0!</v>
      </c>
      <c r="V56" s="31" t="e">
        <f t="shared" si="47"/>
        <v>#DIV/0!</v>
      </c>
      <c r="W56" s="31" t="e">
        <f t="shared" si="48"/>
        <v>#DIV/0!</v>
      </c>
      <c r="X56" s="31" t="e">
        <f t="shared" si="49"/>
        <v>#DIV/0!</v>
      </c>
      <c r="Y56" s="31" t="e">
        <f t="shared" si="50"/>
        <v>#DIV/0!</v>
      </c>
      <c r="Z56" s="31" t="e">
        <f t="shared" si="51"/>
        <v>#DIV/0!</v>
      </c>
      <c r="AA56" s="31" t="e">
        <f t="shared" si="52"/>
        <v>#DIV/0!</v>
      </c>
      <c r="AB56" s="31" t="e">
        <f t="shared" si="53"/>
        <v>#DIV/0!</v>
      </c>
      <c r="AC56" s="47" t="e">
        <f t="shared" si="54"/>
        <v>#DIV/0!</v>
      </c>
    </row>
    <row r="57" spans="1:29" x14ac:dyDescent="0.25">
      <c r="A57" s="278">
        <v>60100010</v>
      </c>
      <c r="B57" s="9" t="s">
        <v>646</v>
      </c>
      <c r="C57" s="22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428">
        <f t="shared" si="1"/>
        <v>0</v>
      </c>
      <c r="P57" s="420"/>
      <c r="Q57" s="30" t="e">
        <f t="shared" si="42"/>
        <v>#DIV/0!</v>
      </c>
      <c r="R57" s="31" t="e">
        <f t="shared" si="43"/>
        <v>#DIV/0!</v>
      </c>
      <c r="S57" s="31" t="e">
        <f t="shared" si="44"/>
        <v>#DIV/0!</v>
      </c>
      <c r="T57" s="31" t="e">
        <f t="shared" si="45"/>
        <v>#DIV/0!</v>
      </c>
      <c r="U57" s="31" t="e">
        <f t="shared" si="46"/>
        <v>#DIV/0!</v>
      </c>
      <c r="V57" s="31" t="e">
        <f t="shared" si="47"/>
        <v>#DIV/0!</v>
      </c>
      <c r="W57" s="31" t="e">
        <f t="shared" si="48"/>
        <v>#DIV/0!</v>
      </c>
      <c r="X57" s="31" t="e">
        <f t="shared" si="49"/>
        <v>#DIV/0!</v>
      </c>
      <c r="Y57" s="31" t="e">
        <f t="shared" si="50"/>
        <v>#DIV/0!</v>
      </c>
      <c r="Z57" s="31" t="e">
        <f t="shared" si="51"/>
        <v>#DIV/0!</v>
      </c>
      <c r="AA57" s="31" t="e">
        <f t="shared" si="52"/>
        <v>#DIV/0!</v>
      </c>
      <c r="AB57" s="31" t="e">
        <f t="shared" si="53"/>
        <v>#DIV/0!</v>
      </c>
      <c r="AC57" s="47" t="e">
        <f t="shared" si="54"/>
        <v>#DIV/0!</v>
      </c>
    </row>
    <row r="58" spans="1:29" x14ac:dyDescent="0.25">
      <c r="A58" s="278">
        <v>60100011</v>
      </c>
      <c r="B58" s="9" t="s">
        <v>162</v>
      </c>
      <c r="C58" s="22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428">
        <f t="shared" si="1"/>
        <v>0</v>
      </c>
      <c r="P58" s="420"/>
      <c r="Q58" s="30" t="e">
        <f t="shared" si="42"/>
        <v>#DIV/0!</v>
      </c>
      <c r="R58" s="31" t="e">
        <f t="shared" si="43"/>
        <v>#DIV/0!</v>
      </c>
      <c r="S58" s="31" t="e">
        <f t="shared" si="44"/>
        <v>#DIV/0!</v>
      </c>
      <c r="T58" s="31" t="e">
        <f t="shared" si="45"/>
        <v>#DIV/0!</v>
      </c>
      <c r="U58" s="31" t="e">
        <f t="shared" si="46"/>
        <v>#DIV/0!</v>
      </c>
      <c r="V58" s="31" t="e">
        <f t="shared" si="47"/>
        <v>#DIV/0!</v>
      </c>
      <c r="W58" s="31" t="e">
        <f t="shared" si="48"/>
        <v>#DIV/0!</v>
      </c>
      <c r="X58" s="31" t="e">
        <f t="shared" si="49"/>
        <v>#DIV/0!</v>
      </c>
      <c r="Y58" s="31" t="e">
        <f t="shared" si="50"/>
        <v>#DIV/0!</v>
      </c>
      <c r="Z58" s="31" t="e">
        <f t="shared" si="51"/>
        <v>#DIV/0!</v>
      </c>
      <c r="AA58" s="31" t="e">
        <f t="shared" si="52"/>
        <v>#DIV/0!</v>
      </c>
      <c r="AB58" s="31" t="e">
        <f t="shared" si="53"/>
        <v>#DIV/0!</v>
      </c>
      <c r="AC58" s="47" t="e">
        <f t="shared" si="54"/>
        <v>#DIV/0!</v>
      </c>
    </row>
    <row r="59" spans="1:29" x14ac:dyDescent="0.25">
      <c r="A59" s="278">
        <v>60100012</v>
      </c>
      <c r="B59" s="9" t="s">
        <v>163</v>
      </c>
      <c r="C59" s="22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428">
        <f t="shared" si="1"/>
        <v>0</v>
      </c>
      <c r="P59" s="420"/>
      <c r="Q59" s="30" t="e">
        <f t="shared" si="42"/>
        <v>#DIV/0!</v>
      </c>
      <c r="R59" s="31" t="e">
        <f t="shared" si="43"/>
        <v>#DIV/0!</v>
      </c>
      <c r="S59" s="31" t="e">
        <f t="shared" si="44"/>
        <v>#DIV/0!</v>
      </c>
      <c r="T59" s="31" t="e">
        <f t="shared" si="45"/>
        <v>#DIV/0!</v>
      </c>
      <c r="U59" s="31" t="e">
        <f t="shared" si="46"/>
        <v>#DIV/0!</v>
      </c>
      <c r="V59" s="31" t="e">
        <f t="shared" si="47"/>
        <v>#DIV/0!</v>
      </c>
      <c r="W59" s="31" t="e">
        <f t="shared" si="48"/>
        <v>#DIV/0!</v>
      </c>
      <c r="X59" s="31" t="e">
        <f t="shared" si="49"/>
        <v>#DIV/0!</v>
      </c>
      <c r="Y59" s="31" t="e">
        <f t="shared" si="50"/>
        <v>#DIV/0!</v>
      </c>
      <c r="Z59" s="31" t="e">
        <f t="shared" si="51"/>
        <v>#DIV/0!</v>
      </c>
      <c r="AA59" s="31" t="e">
        <f t="shared" si="52"/>
        <v>#DIV/0!</v>
      </c>
      <c r="AB59" s="31" t="e">
        <f t="shared" si="53"/>
        <v>#DIV/0!</v>
      </c>
      <c r="AC59" s="47" t="e">
        <f t="shared" si="54"/>
        <v>#DIV/0!</v>
      </c>
    </row>
    <row r="60" spans="1:29" x14ac:dyDescent="0.25">
      <c r="A60" s="278">
        <v>60100013</v>
      </c>
      <c r="B60" s="9" t="s">
        <v>164</v>
      </c>
      <c r="C60" s="22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428">
        <f t="shared" si="1"/>
        <v>0</v>
      </c>
      <c r="P60" s="420"/>
      <c r="Q60" s="30" t="e">
        <f t="shared" si="42"/>
        <v>#DIV/0!</v>
      </c>
      <c r="R60" s="31" t="e">
        <f t="shared" si="43"/>
        <v>#DIV/0!</v>
      </c>
      <c r="S60" s="31" t="e">
        <f t="shared" si="44"/>
        <v>#DIV/0!</v>
      </c>
      <c r="T60" s="31" t="e">
        <f t="shared" si="45"/>
        <v>#DIV/0!</v>
      </c>
      <c r="U60" s="31" t="e">
        <f t="shared" si="46"/>
        <v>#DIV/0!</v>
      </c>
      <c r="V60" s="31" t="e">
        <f t="shared" si="47"/>
        <v>#DIV/0!</v>
      </c>
      <c r="W60" s="31" t="e">
        <f t="shared" si="48"/>
        <v>#DIV/0!</v>
      </c>
      <c r="X60" s="31" t="e">
        <f t="shared" si="49"/>
        <v>#DIV/0!</v>
      </c>
      <c r="Y60" s="31" t="e">
        <f t="shared" si="50"/>
        <v>#DIV/0!</v>
      </c>
      <c r="Z60" s="31" t="e">
        <f t="shared" si="51"/>
        <v>#DIV/0!</v>
      </c>
      <c r="AA60" s="31" t="e">
        <f t="shared" si="52"/>
        <v>#DIV/0!</v>
      </c>
      <c r="AB60" s="31" t="e">
        <f t="shared" si="53"/>
        <v>#DIV/0!</v>
      </c>
      <c r="AC60" s="47" t="e">
        <f t="shared" si="54"/>
        <v>#DIV/0!</v>
      </c>
    </row>
    <row r="61" spans="1:29" x14ac:dyDescent="0.25">
      <c r="A61" s="278">
        <v>60100014</v>
      </c>
      <c r="B61" s="9" t="s">
        <v>647</v>
      </c>
      <c r="C61" s="22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428">
        <f t="shared" si="1"/>
        <v>0</v>
      </c>
      <c r="P61" s="420"/>
      <c r="Q61" s="30" t="e">
        <f t="shared" si="42"/>
        <v>#DIV/0!</v>
      </c>
      <c r="R61" s="31" t="e">
        <f t="shared" si="43"/>
        <v>#DIV/0!</v>
      </c>
      <c r="S61" s="31" t="e">
        <f t="shared" si="44"/>
        <v>#DIV/0!</v>
      </c>
      <c r="T61" s="31" t="e">
        <f t="shared" si="45"/>
        <v>#DIV/0!</v>
      </c>
      <c r="U61" s="31" t="e">
        <f t="shared" si="46"/>
        <v>#DIV/0!</v>
      </c>
      <c r="V61" s="31" t="e">
        <f t="shared" si="47"/>
        <v>#DIV/0!</v>
      </c>
      <c r="W61" s="31" t="e">
        <f t="shared" si="48"/>
        <v>#DIV/0!</v>
      </c>
      <c r="X61" s="31" t="e">
        <f t="shared" si="49"/>
        <v>#DIV/0!</v>
      </c>
      <c r="Y61" s="31" t="e">
        <f t="shared" si="50"/>
        <v>#DIV/0!</v>
      </c>
      <c r="Z61" s="31" t="e">
        <f t="shared" si="51"/>
        <v>#DIV/0!</v>
      </c>
      <c r="AA61" s="31" t="e">
        <f t="shared" si="52"/>
        <v>#DIV/0!</v>
      </c>
      <c r="AB61" s="31" t="e">
        <f t="shared" si="53"/>
        <v>#DIV/0!</v>
      </c>
      <c r="AC61" s="47" t="e">
        <f t="shared" si="54"/>
        <v>#DIV/0!</v>
      </c>
    </row>
    <row r="62" spans="1:29" x14ac:dyDescent="0.25">
      <c r="A62" s="278">
        <v>60100015</v>
      </c>
      <c r="B62" s="9" t="s">
        <v>165</v>
      </c>
      <c r="C62" s="22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428">
        <f t="shared" si="1"/>
        <v>0</v>
      </c>
      <c r="P62" s="420"/>
      <c r="Q62" s="30" t="e">
        <f t="shared" si="42"/>
        <v>#DIV/0!</v>
      </c>
      <c r="R62" s="31" t="e">
        <f t="shared" si="43"/>
        <v>#DIV/0!</v>
      </c>
      <c r="S62" s="31" t="e">
        <f t="shared" si="44"/>
        <v>#DIV/0!</v>
      </c>
      <c r="T62" s="31" t="e">
        <f t="shared" si="45"/>
        <v>#DIV/0!</v>
      </c>
      <c r="U62" s="31" t="e">
        <f t="shared" si="46"/>
        <v>#DIV/0!</v>
      </c>
      <c r="V62" s="31" t="e">
        <f t="shared" si="47"/>
        <v>#DIV/0!</v>
      </c>
      <c r="W62" s="31" t="e">
        <f t="shared" si="48"/>
        <v>#DIV/0!</v>
      </c>
      <c r="X62" s="31" t="e">
        <f t="shared" si="49"/>
        <v>#DIV/0!</v>
      </c>
      <c r="Y62" s="31" t="e">
        <f t="shared" si="50"/>
        <v>#DIV/0!</v>
      </c>
      <c r="Z62" s="31" t="e">
        <f t="shared" si="51"/>
        <v>#DIV/0!</v>
      </c>
      <c r="AA62" s="31" t="e">
        <f t="shared" si="52"/>
        <v>#DIV/0!</v>
      </c>
      <c r="AB62" s="31" t="e">
        <f t="shared" si="53"/>
        <v>#DIV/0!</v>
      </c>
      <c r="AC62" s="47" t="e">
        <f t="shared" si="54"/>
        <v>#DIV/0!</v>
      </c>
    </row>
    <row r="63" spans="1:29" s="12" customFormat="1" x14ac:dyDescent="0.25">
      <c r="A63" s="278"/>
      <c r="B63" s="15" t="s">
        <v>166</v>
      </c>
      <c r="C63" s="113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432">
        <f t="shared" si="1"/>
        <v>0</v>
      </c>
      <c r="P63" s="423"/>
      <c r="Q63" s="34" t="e">
        <f t="shared" si="42"/>
        <v>#DIV/0!</v>
      </c>
      <c r="R63" s="14" t="e">
        <f t="shared" si="43"/>
        <v>#DIV/0!</v>
      </c>
      <c r="S63" s="14" t="e">
        <f t="shared" si="44"/>
        <v>#DIV/0!</v>
      </c>
      <c r="T63" s="14" t="e">
        <f t="shared" si="45"/>
        <v>#DIV/0!</v>
      </c>
      <c r="U63" s="14" t="e">
        <f t="shared" si="46"/>
        <v>#DIV/0!</v>
      </c>
      <c r="V63" s="14" t="e">
        <f t="shared" si="47"/>
        <v>#DIV/0!</v>
      </c>
      <c r="W63" s="14" t="e">
        <f t="shared" si="48"/>
        <v>#DIV/0!</v>
      </c>
      <c r="X63" s="14" t="e">
        <f t="shared" si="49"/>
        <v>#DIV/0!</v>
      </c>
      <c r="Y63" s="14" t="e">
        <f t="shared" si="50"/>
        <v>#DIV/0!</v>
      </c>
      <c r="Z63" s="14" t="e">
        <f t="shared" si="51"/>
        <v>#DIV/0!</v>
      </c>
      <c r="AA63" s="14" t="e">
        <f t="shared" si="52"/>
        <v>#DIV/0!</v>
      </c>
      <c r="AB63" s="14" t="e">
        <f t="shared" si="53"/>
        <v>#DIV/0!</v>
      </c>
      <c r="AC63" s="49" t="e">
        <f t="shared" si="54"/>
        <v>#DIV/0!</v>
      </c>
    </row>
    <row r="64" spans="1:29" x14ac:dyDescent="0.25">
      <c r="A64" s="278"/>
      <c r="B64" s="9" t="s">
        <v>167</v>
      </c>
      <c r="C64" s="22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428">
        <f t="shared" si="1"/>
        <v>0</v>
      </c>
      <c r="P64" s="420"/>
      <c r="Q64" s="30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47"/>
    </row>
    <row r="65" spans="1:29" x14ac:dyDescent="0.25">
      <c r="A65" s="278">
        <v>60100017</v>
      </c>
      <c r="B65" s="9" t="s">
        <v>168</v>
      </c>
      <c r="C65" s="22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428">
        <f t="shared" si="1"/>
        <v>0</v>
      </c>
      <c r="P65" s="420"/>
      <c r="Q65" s="30" t="e">
        <f t="shared" ref="Q65:Q68" si="55">C65/C$18</f>
        <v>#DIV/0!</v>
      </c>
      <c r="R65" s="31" t="e">
        <f t="shared" ref="R65:R68" si="56">D65/D$18</f>
        <v>#DIV/0!</v>
      </c>
      <c r="S65" s="31" t="e">
        <f t="shared" ref="S65:S68" si="57">E65/E$18</f>
        <v>#DIV/0!</v>
      </c>
      <c r="T65" s="31" t="e">
        <f t="shared" ref="T65:T68" si="58">F65/F$18</f>
        <v>#DIV/0!</v>
      </c>
      <c r="U65" s="31" t="e">
        <f t="shared" ref="U65:U68" si="59">G65/G$18</f>
        <v>#DIV/0!</v>
      </c>
      <c r="V65" s="31" t="e">
        <f t="shared" ref="V65:V68" si="60">H65/H$18</f>
        <v>#DIV/0!</v>
      </c>
      <c r="W65" s="31" t="e">
        <f t="shared" ref="W65:W68" si="61">I65/I$18</f>
        <v>#DIV/0!</v>
      </c>
      <c r="X65" s="31" t="e">
        <f t="shared" ref="X65:X68" si="62">J65/J$18</f>
        <v>#DIV/0!</v>
      </c>
      <c r="Y65" s="31" t="e">
        <f t="shared" ref="Y65:Y68" si="63">K65/K$18</f>
        <v>#DIV/0!</v>
      </c>
      <c r="Z65" s="31" t="e">
        <f t="shared" ref="Z65:Z68" si="64">L65/L$18</f>
        <v>#DIV/0!</v>
      </c>
      <c r="AA65" s="31" t="e">
        <f t="shared" ref="AA65:AA68" si="65">M65/M$18</f>
        <v>#DIV/0!</v>
      </c>
      <c r="AB65" s="31" t="e">
        <f t="shared" ref="AB65:AB68" si="66">N65/N$18</f>
        <v>#DIV/0!</v>
      </c>
      <c r="AC65" s="47" t="e">
        <f t="shared" ref="AC65:AC68" si="67">O65/O$18</f>
        <v>#DIV/0!</v>
      </c>
    </row>
    <row r="66" spans="1:29" x14ac:dyDescent="0.25">
      <c r="A66" s="278">
        <v>60100018</v>
      </c>
      <c r="B66" s="9" t="s">
        <v>169</v>
      </c>
      <c r="C66" s="22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428">
        <f t="shared" si="1"/>
        <v>0</v>
      </c>
      <c r="P66" s="420"/>
      <c r="Q66" s="30" t="e">
        <f t="shared" si="55"/>
        <v>#DIV/0!</v>
      </c>
      <c r="R66" s="31" t="e">
        <f t="shared" si="56"/>
        <v>#DIV/0!</v>
      </c>
      <c r="S66" s="31" t="e">
        <f t="shared" si="57"/>
        <v>#DIV/0!</v>
      </c>
      <c r="T66" s="31" t="e">
        <f t="shared" si="58"/>
        <v>#DIV/0!</v>
      </c>
      <c r="U66" s="31" t="e">
        <f t="shared" si="59"/>
        <v>#DIV/0!</v>
      </c>
      <c r="V66" s="31" t="e">
        <f t="shared" si="60"/>
        <v>#DIV/0!</v>
      </c>
      <c r="W66" s="31" t="e">
        <f t="shared" si="61"/>
        <v>#DIV/0!</v>
      </c>
      <c r="X66" s="31" t="e">
        <f t="shared" si="62"/>
        <v>#DIV/0!</v>
      </c>
      <c r="Y66" s="31" t="e">
        <f t="shared" si="63"/>
        <v>#DIV/0!</v>
      </c>
      <c r="Z66" s="31" t="e">
        <f t="shared" si="64"/>
        <v>#DIV/0!</v>
      </c>
      <c r="AA66" s="31" t="e">
        <f t="shared" si="65"/>
        <v>#DIV/0!</v>
      </c>
      <c r="AB66" s="31" t="e">
        <f t="shared" si="66"/>
        <v>#DIV/0!</v>
      </c>
      <c r="AC66" s="47" t="e">
        <f t="shared" si="67"/>
        <v>#DIV/0!</v>
      </c>
    </row>
    <row r="67" spans="1:29" x14ac:dyDescent="0.25">
      <c r="A67" s="278">
        <v>60100019</v>
      </c>
      <c r="B67" s="9" t="s">
        <v>170</v>
      </c>
      <c r="C67" s="22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428">
        <f t="shared" si="1"/>
        <v>0</v>
      </c>
      <c r="P67" s="420"/>
      <c r="Q67" s="30" t="e">
        <f t="shared" si="55"/>
        <v>#DIV/0!</v>
      </c>
      <c r="R67" s="31" t="e">
        <f t="shared" si="56"/>
        <v>#DIV/0!</v>
      </c>
      <c r="S67" s="31" t="e">
        <f t="shared" si="57"/>
        <v>#DIV/0!</v>
      </c>
      <c r="T67" s="31" t="e">
        <f t="shared" si="58"/>
        <v>#DIV/0!</v>
      </c>
      <c r="U67" s="31" t="e">
        <f t="shared" si="59"/>
        <v>#DIV/0!</v>
      </c>
      <c r="V67" s="31" t="e">
        <f t="shared" si="60"/>
        <v>#DIV/0!</v>
      </c>
      <c r="W67" s="31" t="e">
        <f t="shared" si="61"/>
        <v>#DIV/0!</v>
      </c>
      <c r="X67" s="31" t="e">
        <f t="shared" si="62"/>
        <v>#DIV/0!</v>
      </c>
      <c r="Y67" s="31" t="e">
        <f t="shared" si="63"/>
        <v>#DIV/0!</v>
      </c>
      <c r="Z67" s="31" t="e">
        <f t="shared" si="64"/>
        <v>#DIV/0!</v>
      </c>
      <c r="AA67" s="31" t="e">
        <f t="shared" si="65"/>
        <v>#DIV/0!</v>
      </c>
      <c r="AB67" s="31" t="e">
        <f t="shared" si="66"/>
        <v>#DIV/0!</v>
      </c>
      <c r="AC67" s="47" t="e">
        <f t="shared" si="67"/>
        <v>#DIV/0!</v>
      </c>
    </row>
    <row r="68" spans="1:29" s="12" customFormat="1" x14ac:dyDescent="0.25">
      <c r="A68" s="278"/>
      <c r="B68" s="15" t="s">
        <v>171</v>
      </c>
      <c r="C68" s="44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31">
        <f t="shared" si="1"/>
        <v>0</v>
      </c>
      <c r="P68" s="422"/>
      <c r="Q68" s="34" t="e">
        <f t="shared" si="55"/>
        <v>#DIV/0!</v>
      </c>
      <c r="R68" s="14" t="e">
        <f t="shared" si="56"/>
        <v>#DIV/0!</v>
      </c>
      <c r="S68" s="14" t="e">
        <f t="shared" si="57"/>
        <v>#DIV/0!</v>
      </c>
      <c r="T68" s="14" t="e">
        <f t="shared" si="58"/>
        <v>#DIV/0!</v>
      </c>
      <c r="U68" s="14" t="e">
        <f t="shared" si="59"/>
        <v>#DIV/0!</v>
      </c>
      <c r="V68" s="14" t="e">
        <f t="shared" si="60"/>
        <v>#DIV/0!</v>
      </c>
      <c r="W68" s="14" t="e">
        <f t="shared" si="61"/>
        <v>#DIV/0!</v>
      </c>
      <c r="X68" s="14" t="e">
        <f t="shared" si="62"/>
        <v>#DIV/0!</v>
      </c>
      <c r="Y68" s="14" t="e">
        <f t="shared" si="63"/>
        <v>#DIV/0!</v>
      </c>
      <c r="Z68" s="14" t="e">
        <f t="shared" si="64"/>
        <v>#DIV/0!</v>
      </c>
      <c r="AA68" s="14" t="e">
        <f t="shared" si="65"/>
        <v>#DIV/0!</v>
      </c>
      <c r="AB68" s="14" t="e">
        <f t="shared" si="66"/>
        <v>#DIV/0!</v>
      </c>
      <c r="AC68" s="49" t="e">
        <f t="shared" si="67"/>
        <v>#DIV/0!</v>
      </c>
    </row>
    <row r="69" spans="1:29" x14ac:dyDescent="0.25">
      <c r="A69" s="278"/>
      <c r="B69" s="9" t="s">
        <v>12</v>
      </c>
      <c r="C69" s="22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428">
        <f t="shared" si="1"/>
        <v>0</v>
      </c>
      <c r="P69" s="420"/>
      <c r="Q69" s="30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47"/>
    </row>
    <row r="70" spans="1:29" x14ac:dyDescent="0.25">
      <c r="A70" s="278">
        <v>60200004</v>
      </c>
      <c r="B70" s="9" t="s">
        <v>172</v>
      </c>
      <c r="C70" s="22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428">
        <f t="shared" si="1"/>
        <v>0</v>
      </c>
      <c r="P70" s="420"/>
      <c r="Q70" s="30" t="e">
        <f t="shared" ref="Q70:Q74" si="68">C70/C$18</f>
        <v>#DIV/0!</v>
      </c>
      <c r="R70" s="31" t="e">
        <f t="shared" ref="R70:R74" si="69">D70/D$18</f>
        <v>#DIV/0!</v>
      </c>
      <c r="S70" s="31" t="e">
        <f t="shared" ref="S70:S74" si="70">E70/E$18</f>
        <v>#DIV/0!</v>
      </c>
      <c r="T70" s="31" t="e">
        <f t="shared" ref="T70:T74" si="71">F70/F$18</f>
        <v>#DIV/0!</v>
      </c>
      <c r="U70" s="31" t="e">
        <f t="shared" ref="U70:U74" si="72">G70/G$18</f>
        <v>#DIV/0!</v>
      </c>
      <c r="V70" s="31" t="e">
        <f t="shared" ref="V70:V74" si="73">H70/H$18</f>
        <v>#DIV/0!</v>
      </c>
      <c r="W70" s="31" t="e">
        <f t="shared" ref="W70:W74" si="74">I70/I$18</f>
        <v>#DIV/0!</v>
      </c>
      <c r="X70" s="31" t="e">
        <f t="shared" ref="X70:X74" si="75">J70/J$18</f>
        <v>#DIV/0!</v>
      </c>
      <c r="Y70" s="31" t="e">
        <f t="shared" ref="Y70:Y74" si="76">K70/K$18</f>
        <v>#DIV/0!</v>
      </c>
      <c r="Z70" s="31" t="e">
        <f t="shared" ref="Z70:Z74" si="77">L70/L$18</f>
        <v>#DIV/0!</v>
      </c>
      <c r="AA70" s="31" t="e">
        <f t="shared" ref="AA70:AA74" si="78">M70/M$18</f>
        <v>#DIV/0!</v>
      </c>
      <c r="AB70" s="31" t="e">
        <f t="shared" ref="AB70:AB74" si="79">N70/N$18</f>
        <v>#DIV/0!</v>
      </c>
      <c r="AC70" s="47" t="e">
        <f t="shared" ref="AC70:AC74" si="80">O70/O$18</f>
        <v>#DIV/0!</v>
      </c>
    </row>
    <row r="71" spans="1:29" x14ac:dyDescent="0.25">
      <c r="A71" s="278">
        <v>60100020</v>
      </c>
      <c r="B71" s="9" t="s">
        <v>173</v>
      </c>
      <c r="C71" s="22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428">
        <f t="shared" si="1"/>
        <v>0</v>
      </c>
      <c r="P71" s="420"/>
      <c r="Q71" s="30" t="e">
        <f t="shared" si="68"/>
        <v>#DIV/0!</v>
      </c>
      <c r="R71" s="31" t="e">
        <f t="shared" si="69"/>
        <v>#DIV/0!</v>
      </c>
      <c r="S71" s="31" t="e">
        <f t="shared" si="70"/>
        <v>#DIV/0!</v>
      </c>
      <c r="T71" s="31" t="e">
        <f t="shared" si="71"/>
        <v>#DIV/0!</v>
      </c>
      <c r="U71" s="31" t="e">
        <f t="shared" si="72"/>
        <v>#DIV/0!</v>
      </c>
      <c r="V71" s="31" t="e">
        <f t="shared" si="73"/>
        <v>#DIV/0!</v>
      </c>
      <c r="W71" s="31" t="e">
        <f t="shared" si="74"/>
        <v>#DIV/0!</v>
      </c>
      <c r="X71" s="31" t="e">
        <f t="shared" si="75"/>
        <v>#DIV/0!</v>
      </c>
      <c r="Y71" s="31" t="e">
        <f t="shared" si="76"/>
        <v>#DIV/0!</v>
      </c>
      <c r="Z71" s="31" t="e">
        <f t="shared" si="77"/>
        <v>#DIV/0!</v>
      </c>
      <c r="AA71" s="31" t="e">
        <f t="shared" si="78"/>
        <v>#DIV/0!</v>
      </c>
      <c r="AB71" s="31" t="e">
        <f t="shared" si="79"/>
        <v>#DIV/0!</v>
      </c>
      <c r="AC71" s="47" t="e">
        <f t="shared" si="80"/>
        <v>#DIV/0!</v>
      </c>
    </row>
    <row r="72" spans="1:29" x14ac:dyDescent="0.25">
      <c r="A72" s="278">
        <v>60100021</v>
      </c>
      <c r="B72" s="9" t="s">
        <v>174</v>
      </c>
      <c r="C72" s="22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428">
        <f t="shared" si="1"/>
        <v>0</v>
      </c>
      <c r="P72" s="420"/>
      <c r="Q72" s="30" t="e">
        <f t="shared" si="68"/>
        <v>#DIV/0!</v>
      </c>
      <c r="R72" s="31" t="e">
        <f t="shared" si="69"/>
        <v>#DIV/0!</v>
      </c>
      <c r="S72" s="31" t="e">
        <f t="shared" si="70"/>
        <v>#DIV/0!</v>
      </c>
      <c r="T72" s="31" t="e">
        <f t="shared" si="71"/>
        <v>#DIV/0!</v>
      </c>
      <c r="U72" s="31" t="e">
        <f t="shared" si="72"/>
        <v>#DIV/0!</v>
      </c>
      <c r="V72" s="31" t="e">
        <f t="shared" si="73"/>
        <v>#DIV/0!</v>
      </c>
      <c r="W72" s="31" t="e">
        <f t="shared" si="74"/>
        <v>#DIV/0!</v>
      </c>
      <c r="X72" s="31" t="e">
        <f t="shared" si="75"/>
        <v>#DIV/0!</v>
      </c>
      <c r="Y72" s="31" t="e">
        <f t="shared" si="76"/>
        <v>#DIV/0!</v>
      </c>
      <c r="Z72" s="31" t="e">
        <f t="shared" si="77"/>
        <v>#DIV/0!</v>
      </c>
      <c r="AA72" s="31" t="e">
        <f t="shared" si="78"/>
        <v>#DIV/0!</v>
      </c>
      <c r="AB72" s="31" t="e">
        <f t="shared" si="79"/>
        <v>#DIV/0!</v>
      </c>
      <c r="AC72" s="47" t="e">
        <f t="shared" si="80"/>
        <v>#DIV/0!</v>
      </c>
    </row>
    <row r="73" spans="1:29" x14ac:dyDescent="0.25">
      <c r="A73" s="278">
        <v>60100022</v>
      </c>
      <c r="B73" s="9" t="s">
        <v>175</v>
      </c>
      <c r="C73" s="22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428">
        <f t="shared" si="1"/>
        <v>0</v>
      </c>
      <c r="P73" s="420"/>
      <c r="Q73" s="30" t="e">
        <f t="shared" si="68"/>
        <v>#DIV/0!</v>
      </c>
      <c r="R73" s="31" t="e">
        <f t="shared" si="69"/>
        <v>#DIV/0!</v>
      </c>
      <c r="S73" s="31" t="e">
        <f t="shared" si="70"/>
        <v>#DIV/0!</v>
      </c>
      <c r="T73" s="31" t="e">
        <f t="shared" si="71"/>
        <v>#DIV/0!</v>
      </c>
      <c r="U73" s="31" t="e">
        <f t="shared" si="72"/>
        <v>#DIV/0!</v>
      </c>
      <c r="V73" s="31" t="e">
        <f t="shared" si="73"/>
        <v>#DIV/0!</v>
      </c>
      <c r="W73" s="31" t="e">
        <f t="shared" si="74"/>
        <v>#DIV/0!</v>
      </c>
      <c r="X73" s="31" t="e">
        <f t="shared" si="75"/>
        <v>#DIV/0!</v>
      </c>
      <c r="Y73" s="31" t="e">
        <f t="shared" si="76"/>
        <v>#DIV/0!</v>
      </c>
      <c r="Z73" s="31" t="e">
        <f t="shared" si="77"/>
        <v>#DIV/0!</v>
      </c>
      <c r="AA73" s="31" t="e">
        <f t="shared" si="78"/>
        <v>#DIV/0!</v>
      </c>
      <c r="AB73" s="31" t="e">
        <f t="shared" si="79"/>
        <v>#DIV/0!</v>
      </c>
      <c r="AC73" s="47" t="e">
        <f t="shared" si="80"/>
        <v>#DIV/0!</v>
      </c>
    </row>
    <row r="74" spans="1:29" s="12" customFormat="1" x14ac:dyDescent="0.25">
      <c r="A74" s="278"/>
      <c r="B74" s="15" t="s">
        <v>176</v>
      </c>
      <c r="C74" s="44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31">
        <f t="shared" ref="O74:O137" si="81">SUM(C74:N74)</f>
        <v>0</v>
      </c>
      <c r="P74" s="422"/>
      <c r="Q74" s="34" t="e">
        <f t="shared" si="68"/>
        <v>#DIV/0!</v>
      </c>
      <c r="R74" s="14" t="e">
        <f t="shared" si="69"/>
        <v>#DIV/0!</v>
      </c>
      <c r="S74" s="14" t="e">
        <f t="shared" si="70"/>
        <v>#DIV/0!</v>
      </c>
      <c r="T74" s="14" t="e">
        <f t="shared" si="71"/>
        <v>#DIV/0!</v>
      </c>
      <c r="U74" s="14" t="e">
        <f t="shared" si="72"/>
        <v>#DIV/0!</v>
      </c>
      <c r="V74" s="14" t="e">
        <f t="shared" si="73"/>
        <v>#DIV/0!</v>
      </c>
      <c r="W74" s="14" t="e">
        <f t="shared" si="74"/>
        <v>#DIV/0!</v>
      </c>
      <c r="X74" s="14" t="e">
        <f t="shared" si="75"/>
        <v>#DIV/0!</v>
      </c>
      <c r="Y74" s="14" t="e">
        <f t="shared" si="76"/>
        <v>#DIV/0!</v>
      </c>
      <c r="Z74" s="14" t="e">
        <f t="shared" si="77"/>
        <v>#DIV/0!</v>
      </c>
      <c r="AA74" s="14" t="e">
        <f t="shared" si="78"/>
        <v>#DIV/0!</v>
      </c>
      <c r="AB74" s="14" t="e">
        <f t="shared" si="79"/>
        <v>#DIV/0!</v>
      </c>
      <c r="AC74" s="49" t="e">
        <f t="shared" si="80"/>
        <v>#DIV/0!</v>
      </c>
    </row>
    <row r="75" spans="1:29" x14ac:dyDescent="0.25">
      <c r="A75" s="278"/>
      <c r="B75" s="9" t="s">
        <v>177</v>
      </c>
      <c r="C75" s="22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428">
        <f t="shared" si="81"/>
        <v>0</v>
      </c>
      <c r="P75" s="420"/>
      <c r="Q75" s="30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47"/>
    </row>
    <row r="76" spans="1:29" x14ac:dyDescent="0.25">
      <c r="A76" s="278">
        <v>60200001</v>
      </c>
      <c r="B76" s="9" t="s">
        <v>178</v>
      </c>
      <c r="C76" s="22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428">
        <f t="shared" si="81"/>
        <v>0</v>
      </c>
      <c r="P76" s="420"/>
      <c r="Q76" s="30" t="e">
        <f t="shared" ref="Q76:Q79" si="82">C76/C$18</f>
        <v>#DIV/0!</v>
      </c>
      <c r="R76" s="31" t="e">
        <f t="shared" ref="R76:R79" si="83">D76/D$18</f>
        <v>#DIV/0!</v>
      </c>
      <c r="S76" s="31" t="e">
        <f t="shared" ref="S76:S79" si="84">E76/E$18</f>
        <v>#DIV/0!</v>
      </c>
      <c r="T76" s="31" t="e">
        <f t="shared" ref="T76:T79" si="85">F76/F$18</f>
        <v>#DIV/0!</v>
      </c>
      <c r="U76" s="31" t="e">
        <f t="shared" ref="U76:U79" si="86">G76/G$18</f>
        <v>#DIV/0!</v>
      </c>
      <c r="V76" s="31" t="e">
        <f t="shared" ref="V76:V79" si="87">H76/H$18</f>
        <v>#DIV/0!</v>
      </c>
      <c r="W76" s="31" t="e">
        <f t="shared" ref="W76:W79" si="88">I76/I$18</f>
        <v>#DIV/0!</v>
      </c>
      <c r="X76" s="31" t="e">
        <f t="shared" ref="X76:X79" si="89">J76/J$18</f>
        <v>#DIV/0!</v>
      </c>
      <c r="Y76" s="31" t="e">
        <f t="shared" ref="Y76:Y79" si="90">K76/K$18</f>
        <v>#DIV/0!</v>
      </c>
      <c r="Z76" s="31" t="e">
        <f t="shared" ref="Z76:Z79" si="91">L76/L$18</f>
        <v>#DIV/0!</v>
      </c>
      <c r="AA76" s="31" t="e">
        <f t="shared" ref="AA76:AA79" si="92">M76/M$18</f>
        <v>#DIV/0!</v>
      </c>
      <c r="AB76" s="31" t="e">
        <f t="shared" ref="AB76:AB79" si="93">N76/N$18</f>
        <v>#DIV/0!</v>
      </c>
      <c r="AC76" s="47" t="e">
        <f t="shared" ref="AC76:AC79" si="94">O76/O$18</f>
        <v>#DIV/0!</v>
      </c>
    </row>
    <row r="77" spans="1:29" x14ac:dyDescent="0.25">
      <c r="A77" s="278">
        <v>60200003</v>
      </c>
      <c r="B77" s="9" t="s">
        <v>179</v>
      </c>
      <c r="C77" s="22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428">
        <f t="shared" si="81"/>
        <v>0</v>
      </c>
      <c r="P77" s="420"/>
      <c r="Q77" s="30" t="e">
        <f t="shared" si="82"/>
        <v>#DIV/0!</v>
      </c>
      <c r="R77" s="31" t="e">
        <f t="shared" si="83"/>
        <v>#DIV/0!</v>
      </c>
      <c r="S77" s="31" t="e">
        <f t="shared" si="84"/>
        <v>#DIV/0!</v>
      </c>
      <c r="T77" s="31" t="e">
        <f t="shared" si="85"/>
        <v>#DIV/0!</v>
      </c>
      <c r="U77" s="31" t="e">
        <f t="shared" si="86"/>
        <v>#DIV/0!</v>
      </c>
      <c r="V77" s="31" t="e">
        <f t="shared" si="87"/>
        <v>#DIV/0!</v>
      </c>
      <c r="W77" s="31" t="e">
        <f t="shared" si="88"/>
        <v>#DIV/0!</v>
      </c>
      <c r="X77" s="31" t="e">
        <f t="shared" si="89"/>
        <v>#DIV/0!</v>
      </c>
      <c r="Y77" s="31" t="e">
        <f t="shared" si="90"/>
        <v>#DIV/0!</v>
      </c>
      <c r="Z77" s="31" t="e">
        <f t="shared" si="91"/>
        <v>#DIV/0!</v>
      </c>
      <c r="AA77" s="31" t="e">
        <f t="shared" si="92"/>
        <v>#DIV/0!</v>
      </c>
      <c r="AB77" s="31" t="e">
        <f t="shared" si="93"/>
        <v>#DIV/0!</v>
      </c>
      <c r="AC77" s="47" t="e">
        <f t="shared" si="94"/>
        <v>#DIV/0!</v>
      </c>
    </row>
    <row r="78" spans="1:29" x14ac:dyDescent="0.25">
      <c r="A78" s="278">
        <v>60200002</v>
      </c>
      <c r="B78" s="9" t="s">
        <v>180</v>
      </c>
      <c r="C78" s="22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428">
        <f t="shared" si="81"/>
        <v>0</v>
      </c>
      <c r="P78" s="420"/>
      <c r="Q78" s="30" t="e">
        <f t="shared" si="82"/>
        <v>#DIV/0!</v>
      </c>
      <c r="R78" s="31" t="e">
        <f t="shared" si="83"/>
        <v>#DIV/0!</v>
      </c>
      <c r="S78" s="31" t="e">
        <f t="shared" si="84"/>
        <v>#DIV/0!</v>
      </c>
      <c r="T78" s="31" t="e">
        <f t="shared" si="85"/>
        <v>#DIV/0!</v>
      </c>
      <c r="U78" s="31" t="e">
        <f t="shared" si="86"/>
        <v>#DIV/0!</v>
      </c>
      <c r="V78" s="31" t="e">
        <f t="shared" si="87"/>
        <v>#DIV/0!</v>
      </c>
      <c r="W78" s="31" t="e">
        <f t="shared" si="88"/>
        <v>#DIV/0!</v>
      </c>
      <c r="X78" s="31" t="e">
        <f t="shared" si="89"/>
        <v>#DIV/0!</v>
      </c>
      <c r="Y78" s="31" t="e">
        <f t="shared" si="90"/>
        <v>#DIV/0!</v>
      </c>
      <c r="Z78" s="31" t="e">
        <f t="shared" si="91"/>
        <v>#DIV/0!</v>
      </c>
      <c r="AA78" s="31" t="e">
        <f t="shared" si="92"/>
        <v>#DIV/0!</v>
      </c>
      <c r="AB78" s="31" t="e">
        <f t="shared" si="93"/>
        <v>#DIV/0!</v>
      </c>
      <c r="AC78" s="47" t="e">
        <f t="shared" si="94"/>
        <v>#DIV/0!</v>
      </c>
    </row>
    <row r="79" spans="1:29" s="12" customFormat="1" x14ac:dyDescent="0.25">
      <c r="A79" s="278"/>
      <c r="B79" s="15" t="s">
        <v>181</v>
      </c>
      <c r="C79" s="44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31">
        <f t="shared" si="81"/>
        <v>0</v>
      </c>
      <c r="P79" s="422"/>
      <c r="Q79" s="34" t="e">
        <f t="shared" si="82"/>
        <v>#DIV/0!</v>
      </c>
      <c r="R79" s="14" t="e">
        <f t="shared" si="83"/>
        <v>#DIV/0!</v>
      </c>
      <c r="S79" s="14" t="e">
        <f t="shared" si="84"/>
        <v>#DIV/0!</v>
      </c>
      <c r="T79" s="14" t="e">
        <f t="shared" si="85"/>
        <v>#DIV/0!</v>
      </c>
      <c r="U79" s="14" t="e">
        <f t="shared" si="86"/>
        <v>#DIV/0!</v>
      </c>
      <c r="V79" s="14" t="e">
        <f t="shared" si="87"/>
        <v>#DIV/0!</v>
      </c>
      <c r="W79" s="14" t="e">
        <f t="shared" si="88"/>
        <v>#DIV/0!</v>
      </c>
      <c r="X79" s="14" t="e">
        <f t="shared" si="89"/>
        <v>#DIV/0!</v>
      </c>
      <c r="Y79" s="14" t="e">
        <f t="shared" si="90"/>
        <v>#DIV/0!</v>
      </c>
      <c r="Z79" s="14" t="e">
        <f t="shared" si="91"/>
        <v>#DIV/0!</v>
      </c>
      <c r="AA79" s="14" t="e">
        <f t="shared" si="92"/>
        <v>#DIV/0!</v>
      </c>
      <c r="AB79" s="14" t="e">
        <f t="shared" si="93"/>
        <v>#DIV/0!</v>
      </c>
      <c r="AC79" s="49" t="e">
        <f t="shared" si="94"/>
        <v>#DIV/0!</v>
      </c>
    </row>
    <row r="80" spans="1:29" x14ac:dyDescent="0.25">
      <c r="A80" s="278"/>
      <c r="B80" s="9" t="s">
        <v>182</v>
      </c>
      <c r="C80" s="22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428">
        <f t="shared" si="81"/>
        <v>0</v>
      </c>
      <c r="P80" s="420"/>
      <c r="Q80" s="30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47"/>
    </row>
    <row r="81" spans="1:29" x14ac:dyDescent="0.25">
      <c r="A81" s="278">
        <v>60300001</v>
      </c>
      <c r="B81" s="9" t="s">
        <v>183</v>
      </c>
      <c r="C81" s="22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428">
        <f t="shared" si="81"/>
        <v>0</v>
      </c>
      <c r="P81" s="420"/>
      <c r="Q81" s="30" t="e">
        <f t="shared" ref="Q81:Q84" si="95">C81/C$18</f>
        <v>#DIV/0!</v>
      </c>
      <c r="R81" s="31" t="e">
        <f t="shared" ref="R81:R84" si="96">D81/D$18</f>
        <v>#DIV/0!</v>
      </c>
      <c r="S81" s="31" t="e">
        <f t="shared" ref="S81:S84" si="97">E81/E$18</f>
        <v>#DIV/0!</v>
      </c>
      <c r="T81" s="31" t="e">
        <f t="shared" ref="T81:T84" si="98">F81/F$18</f>
        <v>#DIV/0!</v>
      </c>
      <c r="U81" s="31" t="e">
        <f t="shared" ref="U81:U84" si="99">G81/G$18</f>
        <v>#DIV/0!</v>
      </c>
      <c r="V81" s="31" t="e">
        <f t="shared" ref="V81:V84" si="100">H81/H$18</f>
        <v>#DIV/0!</v>
      </c>
      <c r="W81" s="31" t="e">
        <f t="shared" ref="W81:W84" si="101">I81/I$18</f>
        <v>#DIV/0!</v>
      </c>
      <c r="X81" s="31" t="e">
        <f t="shared" ref="X81:X84" si="102">J81/J$18</f>
        <v>#DIV/0!</v>
      </c>
      <c r="Y81" s="31" t="e">
        <f t="shared" ref="Y81:Y84" si="103">K81/K$18</f>
        <v>#DIV/0!</v>
      </c>
      <c r="Z81" s="31" t="e">
        <f t="shared" ref="Z81:Z84" si="104">L81/L$18</f>
        <v>#DIV/0!</v>
      </c>
      <c r="AA81" s="31" t="e">
        <f t="shared" ref="AA81:AA84" si="105">M81/M$18</f>
        <v>#DIV/0!</v>
      </c>
      <c r="AB81" s="31" t="e">
        <f t="shared" ref="AB81:AB84" si="106">N81/N$18</f>
        <v>#DIV/0!</v>
      </c>
      <c r="AC81" s="47" t="e">
        <f t="shared" ref="AC81:AC84" si="107">O81/O$18</f>
        <v>#DIV/0!</v>
      </c>
    </row>
    <row r="82" spans="1:29" x14ac:dyDescent="0.25">
      <c r="A82" s="278">
        <v>60300002</v>
      </c>
      <c r="B82" s="9" t="s">
        <v>184</v>
      </c>
      <c r="C82" s="22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428">
        <f t="shared" si="81"/>
        <v>0</v>
      </c>
      <c r="P82" s="420"/>
      <c r="Q82" s="30" t="e">
        <f t="shared" si="95"/>
        <v>#DIV/0!</v>
      </c>
      <c r="R82" s="31" t="e">
        <f t="shared" si="96"/>
        <v>#DIV/0!</v>
      </c>
      <c r="S82" s="31" t="e">
        <f t="shared" si="97"/>
        <v>#DIV/0!</v>
      </c>
      <c r="T82" s="31" t="e">
        <f t="shared" si="98"/>
        <v>#DIV/0!</v>
      </c>
      <c r="U82" s="31" t="e">
        <f t="shared" si="99"/>
        <v>#DIV/0!</v>
      </c>
      <c r="V82" s="31" t="e">
        <f t="shared" si="100"/>
        <v>#DIV/0!</v>
      </c>
      <c r="W82" s="31" t="e">
        <f t="shared" si="101"/>
        <v>#DIV/0!</v>
      </c>
      <c r="X82" s="31" t="e">
        <f t="shared" si="102"/>
        <v>#DIV/0!</v>
      </c>
      <c r="Y82" s="31" t="e">
        <f t="shared" si="103"/>
        <v>#DIV/0!</v>
      </c>
      <c r="Z82" s="31" t="e">
        <f t="shared" si="104"/>
        <v>#DIV/0!</v>
      </c>
      <c r="AA82" s="31" t="e">
        <f t="shared" si="105"/>
        <v>#DIV/0!</v>
      </c>
      <c r="AB82" s="31" t="e">
        <f t="shared" si="106"/>
        <v>#DIV/0!</v>
      </c>
      <c r="AC82" s="47" t="e">
        <f t="shared" si="107"/>
        <v>#DIV/0!</v>
      </c>
    </row>
    <row r="83" spans="1:29" x14ac:dyDescent="0.25">
      <c r="A83" s="278">
        <v>60300005</v>
      </c>
      <c r="B83" s="9" t="s">
        <v>185</v>
      </c>
      <c r="C83" s="22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428">
        <f t="shared" si="81"/>
        <v>0</v>
      </c>
      <c r="P83" s="420"/>
      <c r="Q83" s="30" t="e">
        <f t="shared" si="95"/>
        <v>#DIV/0!</v>
      </c>
      <c r="R83" s="31" t="e">
        <f t="shared" si="96"/>
        <v>#DIV/0!</v>
      </c>
      <c r="S83" s="31" t="e">
        <f t="shared" si="97"/>
        <v>#DIV/0!</v>
      </c>
      <c r="T83" s="31" t="e">
        <f t="shared" si="98"/>
        <v>#DIV/0!</v>
      </c>
      <c r="U83" s="31" t="e">
        <f t="shared" si="99"/>
        <v>#DIV/0!</v>
      </c>
      <c r="V83" s="31" t="e">
        <f t="shared" si="100"/>
        <v>#DIV/0!</v>
      </c>
      <c r="W83" s="31" t="e">
        <f t="shared" si="101"/>
        <v>#DIV/0!</v>
      </c>
      <c r="X83" s="31" t="e">
        <f t="shared" si="102"/>
        <v>#DIV/0!</v>
      </c>
      <c r="Y83" s="31" t="e">
        <f t="shared" si="103"/>
        <v>#DIV/0!</v>
      </c>
      <c r="Z83" s="31" t="e">
        <f t="shared" si="104"/>
        <v>#DIV/0!</v>
      </c>
      <c r="AA83" s="31" t="e">
        <f t="shared" si="105"/>
        <v>#DIV/0!</v>
      </c>
      <c r="AB83" s="31" t="e">
        <f t="shared" si="106"/>
        <v>#DIV/0!</v>
      </c>
      <c r="AC83" s="47" t="e">
        <f t="shared" si="107"/>
        <v>#DIV/0!</v>
      </c>
    </row>
    <row r="84" spans="1:29" s="12" customFormat="1" x14ac:dyDescent="0.25">
      <c r="A84" s="278"/>
      <c r="B84" s="15" t="s">
        <v>186</v>
      </c>
      <c r="C84" s="44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31">
        <f t="shared" si="81"/>
        <v>0</v>
      </c>
      <c r="P84" s="422"/>
      <c r="Q84" s="34" t="e">
        <f t="shared" si="95"/>
        <v>#DIV/0!</v>
      </c>
      <c r="R84" s="14" t="e">
        <f t="shared" si="96"/>
        <v>#DIV/0!</v>
      </c>
      <c r="S84" s="14" t="e">
        <f t="shared" si="97"/>
        <v>#DIV/0!</v>
      </c>
      <c r="T84" s="14" t="e">
        <f t="shared" si="98"/>
        <v>#DIV/0!</v>
      </c>
      <c r="U84" s="14" t="e">
        <f t="shared" si="99"/>
        <v>#DIV/0!</v>
      </c>
      <c r="V84" s="14" t="e">
        <f t="shared" si="100"/>
        <v>#DIV/0!</v>
      </c>
      <c r="W84" s="14" t="e">
        <f t="shared" si="101"/>
        <v>#DIV/0!</v>
      </c>
      <c r="X84" s="14" t="e">
        <f t="shared" si="102"/>
        <v>#DIV/0!</v>
      </c>
      <c r="Y84" s="14" t="e">
        <f t="shared" si="103"/>
        <v>#DIV/0!</v>
      </c>
      <c r="Z84" s="14" t="e">
        <f t="shared" si="104"/>
        <v>#DIV/0!</v>
      </c>
      <c r="AA84" s="14" t="e">
        <f t="shared" si="105"/>
        <v>#DIV/0!</v>
      </c>
      <c r="AB84" s="14" t="e">
        <f t="shared" si="106"/>
        <v>#DIV/0!</v>
      </c>
      <c r="AC84" s="49" t="e">
        <f t="shared" si="107"/>
        <v>#DIV/0!</v>
      </c>
    </row>
    <row r="85" spans="1:29" x14ac:dyDescent="0.25">
      <c r="A85" s="278"/>
      <c r="B85" s="9" t="s">
        <v>187</v>
      </c>
      <c r="C85" s="22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428">
        <f t="shared" si="81"/>
        <v>0</v>
      </c>
      <c r="P85" s="420"/>
      <c r="Q85" s="30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47"/>
    </row>
    <row r="86" spans="1:29" x14ac:dyDescent="0.25">
      <c r="A86" s="278">
        <v>60400001</v>
      </c>
      <c r="B86" s="9" t="s">
        <v>188</v>
      </c>
      <c r="C86" s="22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428">
        <f t="shared" si="81"/>
        <v>0</v>
      </c>
      <c r="P86" s="420"/>
      <c r="Q86" s="30" t="e">
        <f t="shared" ref="Q86:Q89" si="108">C86/C$18</f>
        <v>#DIV/0!</v>
      </c>
      <c r="R86" s="31" t="e">
        <f t="shared" ref="R86:R89" si="109">D86/D$18</f>
        <v>#DIV/0!</v>
      </c>
      <c r="S86" s="31" t="e">
        <f t="shared" ref="S86:S89" si="110">E86/E$18</f>
        <v>#DIV/0!</v>
      </c>
      <c r="T86" s="31" t="e">
        <f t="shared" ref="T86:T89" si="111">F86/F$18</f>
        <v>#DIV/0!</v>
      </c>
      <c r="U86" s="31" t="e">
        <f t="shared" ref="U86:U89" si="112">G86/G$18</f>
        <v>#DIV/0!</v>
      </c>
      <c r="V86" s="31" t="e">
        <f t="shared" ref="V86:V89" si="113">H86/H$18</f>
        <v>#DIV/0!</v>
      </c>
      <c r="W86" s="31" t="e">
        <f t="shared" ref="W86:W89" si="114">I86/I$18</f>
        <v>#DIV/0!</v>
      </c>
      <c r="X86" s="31" t="e">
        <f t="shared" ref="X86:X89" si="115">J86/J$18</f>
        <v>#DIV/0!</v>
      </c>
      <c r="Y86" s="31" t="e">
        <f t="shared" ref="Y86:Y89" si="116">K86/K$18</f>
        <v>#DIV/0!</v>
      </c>
      <c r="Z86" s="31" t="e">
        <f t="shared" ref="Z86:Z89" si="117">L86/L$18</f>
        <v>#DIV/0!</v>
      </c>
      <c r="AA86" s="31" t="e">
        <f t="shared" ref="AA86:AA89" si="118">M86/M$18</f>
        <v>#DIV/0!</v>
      </c>
      <c r="AB86" s="31" t="e">
        <f t="shared" ref="AB86:AB89" si="119">N86/N$18</f>
        <v>#DIV/0!</v>
      </c>
      <c r="AC86" s="47" t="e">
        <f t="shared" ref="AC86:AC89" si="120">O86/O$18</f>
        <v>#DIV/0!</v>
      </c>
    </row>
    <row r="87" spans="1:29" x14ac:dyDescent="0.25">
      <c r="A87" s="278">
        <v>60400003</v>
      </c>
      <c r="B87" s="9" t="s">
        <v>189</v>
      </c>
      <c r="C87" s="22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428">
        <f t="shared" si="81"/>
        <v>0</v>
      </c>
      <c r="P87" s="420"/>
      <c r="Q87" s="30" t="e">
        <f t="shared" si="108"/>
        <v>#DIV/0!</v>
      </c>
      <c r="R87" s="31" t="e">
        <f t="shared" si="109"/>
        <v>#DIV/0!</v>
      </c>
      <c r="S87" s="31" t="e">
        <f t="shared" si="110"/>
        <v>#DIV/0!</v>
      </c>
      <c r="T87" s="31" t="e">
        <f t="shared" si="111"/>
        <v>#DIV/0!</v>
      </c>
      <c r="U87" s="31" t="e">
        <f t="shared" si="112"/>
        <v>#DIV/0!</v>
      </c>
      <c r="V87" s="31" t="e">
        <f t="shared" si="113"/>
        <v>#DIV/0!</v>
      </c>
      <c r="W87" s="31" t="e">
        <f t="shared" si="114"/>
        <v>#DIV/0!</v>
      </c>
      <c r="X87" s="31" t="e">
        <f t="shared" si="115"/>
        <v>#DIV/0!</v>
      </c>
      <c r="Y87" s="31" t="e">
        <f t="shared" si="116"/>
        <v>#DIV/0!</v>
      </c>
      <c r="Z87" s="31" t="e">
        <f t="shared" si="117"/>
        <v>#DIV/0!</v>
      </c>
      <c r="AA87" s="31" t="e">
        <f t="shared" si="118"/>
        <v>#DIV/0!</v>
      </c>
      <c r="AB87" s="31" t="e">
        <f t="shared" si="119"/>
        <v>#DIV/0!</v>
      </c>
      <c r="AC87" s="47" t="e">
        <f t="shared" si="120"/>
        <v>#DIV/0!</v>
      </c>
    </row>
    <row r="88" spans="1:29" x14ac:dyDescent="0.25">
      <c r="A88" s="278">
        <v>60400002</v>
      </c>
      <c r="B88" s="9" t="s">
        <v>190</v>
      </c>
      <c r="C88" s="22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428">
        <f t="shared" si="81"/>
        <v>0</v>
      </c>
      <c r="P88" s="420"/>
      <c r="Q88" s="30" t="e">
        <f t="shared" si="108"/>
        <v>#DIV/0!</v>
      </c>
      <c r="R88" s="31" t="e">
        <f t="shared" si="109"/>
        <v>#DIV/0!</v>
      </c>
      <c r="S88" s="31" t="e">
        <f t="shared" si="110"/>
        <v>#DIV/0!</v>
      </c>
      <c r="T88" s="31" t="e">
        <f t="shared" si="111"/>
        <v>#DIV/0!</v>
      </c>
      <c r="U88" s="31" t="e">
        <f t="shared" si="112"/>
        <v>#DIV/0!</v>
      </c>
      <c r="V88" s="31" t="e">
        <f t="shared" si="113"/>
        <v>#DIV/0!</v>
      </c>
      <c r="W88" s="31" t="e">
        <f t="shared" si="114"/>
        <v>#DIV/0!</v>
      </c>
      <c r="X88" s="31" t="e">
        <f t="shared" si="115"/>
        <v>#DIV/0!</v>
      </c>
      <c r="Y88" s="31" t="e">
        <f t="shared" si="116"/>
        <v>#DIV/0!</v>
      </c>
      <c r="Z88" s="31" t="e">
        <f t="shared" si="117"/>
        <v>#DIV/0!</v>
      </c>
      <c r="AA88" s="31" t="e">
        <f t="shared" si="118"/>
        <v>#DIV/0!</v>
      </c>
      <c r="AB88" s="31" t="e">
        <f t="shared" si="119"/>
        <v>#DIV/0!</v>
      </c>
      <c r="AC88" s="47" t="e">
        <f t="shared" si="120"/>
        <v>#DIV/0!</v>
      </c>
    </row>
    <row r="89" spans="1:29" s="12" customFormat="1" x14ac:dyDescent="0.25">
      <c r="A89" s="278"/>
      <c r="B89" s="15" t="s">
        <v>191</v>
      </c>
      <c r="C89" s="44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31">
        <f t="shared" si="81"/>
        <v>0</v>
      </c>
      <c r="P89" s="422"/>
      <c r="Q89" s="34" t="e">
        <f t="shared" si="108"/>
        <v>#DIV/0!</v>
      </c>
      <c r="R89" s="14" t="e">
        <f t="shared" si="109"/>
        <v>#DIV/0!</v>
      </c>
      <c r="S89" s="14" t="e">
        <f t="shared" si="110"/>
        <v>#DIV/0!</v>
      </c>
      <c r="T89" s="14" t="e">
        <f t="shared" si="111"/>
        <v>#DIV/0!</v>
      </c>
      <c r="U89" s="14" t="e">
        <f t="shared" si="112"/>
        <v>#DIV/0!</v>
      </c>
      <c r="V89" s="14" t="e">
        <f t="shared" si="113"/>
        <v>#DIV/0!</v>
      </c>
      <c r="W89" s="14" t="e">
        <f t="shared" si="114"/>
        <v>#DIV/0!</v>
      </c>
      <c r="X89" s="14" t="e">
        <f t="shared" si="115"/>
        <v>#DIV/0!</v>
      </c>
      <c r="Y89" s="14" t="e">
        <f t="shared" si="116"/>
        <v>#DIV/0!</v>
      </c>
      <c r="Z89" s="14" t="e">
        <f t="shared" si="117"/>
        <v>#DIV/0!</v>
      </c>
      <c r="AA89" s="14" t="e">
        <f t="shared" si="118"/>
        <v>#DIV/0!</v>
      </c>
      <c r="AB89" s="14" t="e">
        <f t="shared" si="119"/>
        <v>#DIV/0!</v>
      </c>
      <c r="AC89" s="49" t="e">
        <f t="shared" si="120"/>
        <v>#DIV/0!</v>
      </c>
    </row>
    <row r="90" spans="1:29" x14ac:dyDescent="0.25">
      <c r="A90" s="278"/>
      <c r="B90" s="9" t="s">
        <v>192</v>
      </c>
      <c r="C90" s="22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428">
        <f t="shared" si="81"/>
        <v>0</v>
      </c>
      <c r="P90" s="420"/>
      <c r="Q90" s="30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47"/>
    </row>
    <row r="91" spans="1:29" x14ac:dyDescent="0.25">
      <c r="A91" s="278">
        <v>60600001</v>
      </c>
      <c r="B91" s="9" t="s">
        <v>193</v>
      </c>
      <c r="C91" s="22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428">
        <f t="shared" si="81"/>
        <v>0</v>
      </c>
      <c r="P91" s="420"/>
      <c r="Q91" s="30" t="e">
        <f t="shared" ref="Q91:Q98" si="121">C91/C$18</f>
        <v>#DIV/0!</v>
      </c>
      <c r="R91" s="31" t="e">
        <f t="shared" ref="R91:R98" si="122">D91/D$18</f>
        <v>#DIV/0!</v>
      </c>
      <c r="S91" s="31" t="e">
        <f t="shared" ref="S91:S98" si="123">E91/E$18</f>
        <v>#DIV/0!</v>
      </c>
      <c r="T91" s="31" t="e">
        <f t="shared" ref="T91:T98" si="124">F91/F$18</f>
        <v>#DIV/0!</v>
      </c>
      <c r="U91" s="31" t="e">
        <f t="shared" ref="U91:U98" si="125">G91/G$18</f>
        <v>#DIV/0!</v>
      </c>
      <c r="V91" s="31" t="e">
        <f t="shared" ref="V91:V98" si="126">H91/H$18</f>
        <v>#DIV/0!</v>
      </c>
      <c r="W91" s="31" t="e">
        <f t="shared" ref="W91:W98" si="127">I91/I$18</f>
        <v>#DIV/0!</v>
      </c>
      <c r="X91" s="31" t="e">
        <f t="shared" ref="X91:X98" si="128">J91/J$18</f>
        <v>#DIV/0!</v>
      </c>
      <c r="Y91" s="31" t="e">
        <f t="shared" ref="Y91:Y98" si="129">K91/K$18</f>
        <v>#DIV/0!</v>
      </c>
      <c r="Z91" s="31" t="e">
        <f t="shared" ref="Z91:Z98" si="130">L91/L$18</f>
        <v>#DIV/0!</v>
      </c>
      <c r="AA91" s="31" t="e">
        <f t="shared" ref="AA91:AA98" si="131">M91/M$18</f>
        <v>#DIV/0!</v>
      </c>
      <c r="AB91" s="31" t="e">
        <f t="shared" ref="AB91:AB98" si="132">N91/N$18</f>
        <v>#DIV/0!</v>
      </c>
      <c r="AC91" s="47" t="e">
        <f t="shared" ref="AC91:AC98" si="133">O91/O$18</f>
        <v>#DIV/0!</v>
      </c>
    </row>
    <row r="92" spans="1:29" x14ac:dyDescent="0.25">
      <c r="A92" s="278">
        <v>60600002</v>
      </c>
      <c r="B92" s="9" t="s">
        <v>194</v>
      </c>
      <c r="C92" s="22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428">
        <f t="shared" si="81"/>
        <v>0</v>
      </c>
      <c r="P92" s="420"/>
      <c r="Q92" s="30" t="e">
        <f t="shared" si="121"/>
        <v>#DIV/0!</v>
      </c>
      <c r="R92" s="31" t="e">
        <f t="shared" si="122"/>
        <v>#DIV/0!</v>
      </c>
      <c r="S92" s="31" t="e">
        <f t="shared" si="123"/>
        <v>#DIV/0!</v>
      </c>
      <c r="T92" s="31" t="e">
        <f t="shared" si="124"/>
        <v>#DIV/0!</v>
      </c>
      <c r="U92" s="31" t="e">
        <f t="shared" si="125"/>
        <v>#DIV/0!</v>
      </c>
      <c r="V92" s="31" t="e">
        <f t="shared" si="126"/>
        <v>#DIV/0!</v>
      </c>
      <c r="W92" s="31" t="e">
        <f t="shared" si="127"/>
        <v>#DIV/0!</v>
      </c>
      <c r="X92" s="31" t="e">
        <f t="shared" si="128"/>
        <v>#DIV/0!</v>
      </c>
      <c r="Y92" s="31" t="e">
        <f t="shared" si="129"/>
        <v>#DIV/0!</v>
      </c>
      <c r="Z92" s="31" t="e">
        <f t="shared" si="130"/>
        <v>#DIV/0!</v>
      </c>
      <c r="AA92" s="31" t="e">
        <f t="shared" si="131"/>
        <v>#DIV/0!</v>
      </c>
      <c r="AB92" s="31" t="e">
        <f t="shared" si="132"/>
        <v>#DIV/0!</v>
      </c>
      <c r="AC92" s="47" t="e">
        <f t="shared" si="133"/>
        <v>#DIV/0!</v>
      </c>
    </row>
    <row r="93" spans="1:29" x14ac:dyDescent="0.25">
      <c r="A93" s="278">
        <v>60600003</v>
      </c>
      <c r="B93" s="9" t="s">
        <v>195</v>
      </c>
      <c r="C93" s="2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428">
        <f t="shared" si="81"/>
        <v>0</v>
      </c>
      <c r="P93" s="420"/>
      <c r="Q93" s="30" t="e">
        <f t="shared" si="121"/>
        <v>#DIV/0!</v>
      </c>
      <c r="R93" s="31" t="e">
        <f t="shared" si="122"/>
        <v>#DIV/0!</v>
      </c>
      <c r="S93" s="31" t="e">
        <f t="shared" si="123"/>
        <v>#DIV/0!</v>
      </c>
      <c r="T93" s="31" t="e">
        <f t="shared" si="124"/>
        <v>#DIV/0!</v>
      </c>
      <c r="U93" s="31" t="e">
        <f t="shared" si="125"/>
        <v>#DIV/0!</v>
      </c>
      <c r="V93" s="31" t="e">
        <f t="shared" si="126"/>
        <v>#DIV/0!</v>
      </c>
      <c r="W93" s="31" t="e">
        <f t="shared" si="127"/>
        <v>#DIV/0!</v>
      </c>
      <c r="X93" s="31" t="e">
        <f t="shared" si="128"/>
        <v>#DIV/0!</v>
      </c>
      <c r="Y93" s="31" t="e">
        <f t="shared" si="129"/>
        <v>#DIV/0!</v>
      </c>
      <c r="Z93" s="31" t="e">
        <f t="shared" si="130"/>
        <v>#DIV/0!</v>
      </c>
      <c r="AA93" s="31" t="e">
        <f t="shared" si="131"/>
        <v>#DIV/0!</v>
      </c>
      <c r="AB93" s="31" t="e">
        <f t="shared" si="132"/>
        <v>#DIV/0!</v>
      </c>
      <c r="AC93" s="47" t="e">
        <f t="shared" si="133"/>
        <v>#DIV/0!</v>
      </c>
    </row>
    <row r="94" spans="1:29" x14ac:dyDescent="0.25">
      <c r="A94" s="278">
        <v>60600004</v>
      </c>
      <c r="B94" s="9" t="s">
        <v>196</v>
      </c>
      <c r="C94" s="22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428">
        <f t="shared" si="81"/>
        <v>0</v>
      </c>
      <c r="P94" s="420"/>
      <c r="Q94" s="30" t="e">
        <f t="shared" si="121"/>
        <v>#DIV/0!</v>
      </c>
      <c r="R94" s="31" t="e">
        <f t="shared" si="122"/>
        <v>#DIV/0!</v>
      </c>
      <c r="S94" s="31" t="e">
        <f t="shared" si="123"/>
        <v>#DIV/0!</v>
      </c>
      <c r="T94" s="31" t="e">
        <f t="shared" si="124"/>
        <v>#DIV/0!</v>
      </c>
      <c r="U94" s="31" t="e">
        <f t="shared" si="125"/>
        <v>#DIV/0!</v>
      </c>
      <c r="V94" s="31" t="e">
        <f t="shared" si="126"/>
        <v>#DIV/0!</v>
      </c>
      <c r="W94" s="31" t="e">
        <f t="shared" si="127"/>
        <v>#DIV/0!</v>
      </c>
      <c r="X94" s="31" t="e">
        <f t="shared" si="128"/>
        <v>#DIV/0!</v>
      </c>
      <c r="Y94" s="31" t="e">
        <f t="shared" si="129"/>
        <v>#DIV/0!</v>
      </c>
      <c r="Z94" s="31" t="e">
        <f t="shared" si="130"/>
        <v>#DIV/0!</v>
      </c>
      <c r="AA94" s="31" t="e">
        <f t="shared" si="131"/>
        <v>#DIV/0!</v>
      </c>
      <c r="AB94" s="31" t="e">
        <f t="shared" si="132"/>
        <v>#DIV/0!</v>
      </c>
      <c r="AC94" s="47" t="e">
        <f t="shared" si="133"/>
        <v>#DIV/0!</v>
      </c>
    </row>
    <row r="95" spans="1:29" x14ac:dyDescent="0.25">
      <c r="A95" s="278">
        <v>60600005</v>
      </c>
      <c r="B95" s="9" t="s">
        <v>197</v>
      </c>
      <c r="C95" s="2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428">
        <f t="shared" si="81"/>
        <v>0</v>
      </c>
      <c r="P95" s="420"/>
      <c r="Q95" s="30" t="e">
        <f t="shared" si="121"/>
        <v>#DIV/0!</v>
      </c>
      <c r="R95" s="31" t="e">
        <f t="shared" si="122"/>
        <v>#DIV/0!</v>
      </c>
      <c r="S95" s="31" t="e">
        <f t="shared" si="123"/>
        <v>#DIV/0!</v>
      </c>
      <c r="T95" s="31" t="e">
        <f t="shared" si="124"/>
        <v>#DIV/0!</v>
      </c>
      <c r="U95" s="31" t="e">
        <f t="shared" si="125"/>
        <v>#DIV/0!</v>
      </c>
      <c r="V95" s="31" t="e">
        <f t="shared" si="126"/>
        <v>#DIV/0!</v>
      </c>
      <c r="W95" s="31" t="e">
        <f t="shared" si="127"/>
        <v>#DIV/0!</v>
      </c>
      <c r="X95" s="31" t="e">
        <f t="shared" si="128"/>
        <v>#DIV/0!</v>
      </c>
      <c r="Y95" s="31" t="e">
        <f t="shared" si="129"/>
        <v>#DIV/0!</v>
      </c>
      <c r="Z95" s="31" t="e">
        <f t="shared" si="130"/>
        <v>#DIV/0!</v>
      </c>
      <c r="AA95" s="31" t="e">
        <f t="shared" si="131"/>
        <v>#DIV/0!</v>
      </c>
      <c r="AB95" s="31" t="e">
        <f t="shared" si="132"/>
        <v>#DIV/0!</v>
      </c>
      <c r="AC95" s="47" t="e">
        <f t="shared" si="133"/>
        <v>#DIV/0!</v>
      </c>
    </row>
    <row r="96" spans="1:29" x14ac:dyDescent="0.25">
      <c r="A96" s="278">
        <v>60600006</v>
      </c>
      <c r="B96" s="9" t="s">
        <v>198</v>
      </c>
      <c r="C96" s="2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428">
        <f t="shared" si="81"/>
        <v>0</v>
      </c>
      <c r="P96" s="420"/>
      <c r="Q96" s="30" t="e">
        <f t="shared" si="121"/>
        <v>#DIV/0!</v>
      </c>
      <c r="R96" s="31" t="e">
        <f t="shared" si="122"/>
        <v>#DIV/0!</v>
      </c>
      <c r="S96" s="31" t="e">
        <f t="shared" si="123"/>
        <v>#DIV/0!</v>
      </c>
      <c r="T96" s="31" t="e">
        <f t="shared" si="124"/>
        <v>#DIV/0!</v>
      </c>
      <c r="U96" s="31" t="e">
        <f t="shared" si="125"/>
        <v>#DIV/0!</v>
      </c>
      <c r="V96" s="31" t="e">
        <f t="shared" si="126"/>
        <v>#DIV/0!</v>
      </c>
      <c r="W96" s="31" t="e">
        <f t="shared" si="127"/>
        <v>#DIV/0!</v>
      </c>
      <c r="X96" s="31" t="e">
        <f t="shared" si="128"/>
        <v>#DIV/0!</v>
      </c>
      <c r="Y96" s="31" t="e">
        <f t="shared" si="129"/>
        <v>#DIV/0!</v>
      </c>
      <c r="Z96" s="31" t="e">
        <f t="shared" si="130"/>
        <v>#DIV/0!</v>
      </c>
      <c r="AA96" s="31" t="e">
        <f t="shared" si="131"/>
        <v>#DIV/0!</v>
      </c>
      <c r="AB96" s="31" t="e">
        <f t="shared" si="132"/>
        <v>#DIV/0!</v>
      </c>
      <c r="AC96" s="47" t="e">
        <f t="shared" si="133"/>
        <v>#DIV/0!</v>
      </c>
    </row>
    <row r="97" spans="1:29" x14ac:dyDescent="0.25">
      <c r="A97" s="278">
        <v>60600007</v>
      </c>
      <c r="B97" s="9" t="s">
        <v>199</v>
      </c>
      <c r="C97" s="2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428">
        <f t="shared" si="81"/>
        <v>0</v>
      </c>
      <c r="P97" s="420"/>
      <c r="Q97" s="30" t="e">
        <f t="shared" si="121"/>
        <v>#DIV/0!</v>
      </c>
      <c r="R97" s="31" t="e">
        <f t="shared" si="122"/>
        <v>#DIV/0!</v>
      </c>
      <c r="S97" s="31" t="e">
        <f t="shared" si="123"/>
        <v>#DIV/0!</v>
      </c>
      <c r="T97" s="31" t="e">
        <f t="shared" si="124"/>
        <v>#DIV/0!</v>
      </c>
      <c r="U97" s="31" t="e">
        <f t="shared" si="125"/>
        <v>#DIV/0!</v>
      </c>
      <c r="V97" s="31" t="e">
        <f t="shared" si="126"/>
        <v>#DIV/0!</v>
      </c>
      <c r="W97" s="31" t="e">
        <f t="shared" si="127"/>
        <v>#DIV/0!</v>
      </c>
      <c r="X97" s="31" t="e">
        <f t="shared" si="128"/>
        <v>#DIV/0!</v>
      </c>
      <c r="Y97" s="31" t="e">
        <f t="shared" si="129"/>
        <v>#DIV/0!</v>
      </c>
      <c r="Z97" s="31" t="e">
        <f t="shared" si="130"/>
        <v>#DIV/0!</v>
      </c>
      <c r="AA97" s="31" t="e">
        <f t="shared" si="131"/>
        <v>#DIV/0!</v>
      </c>
      <c r="AB97" s="31" t="e">
        <f t="shared" si="132"/>
        <v>#DIV/0!</v>
      </c>
      <c r="AC97" s="47" t="e">
        <f t="shared" si="133"/>
        <v>#DIV/0!</v>
      </c>
    </row>
    <row r="98" spans="1:29" s="12" customFormat="1" x14ac:dyDescent="0.25">
      <c r="A98" s="278"/>
      <c r="B98" s="15" t="s">
        <v>200</v>
      </c>
      <c r="C98" s="44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31">
        <f t="shared" si="81"/>
        <v>0</v>
      </c>
      <c r="P98" s="422"/>
      <c r="Q98" s="34" t="e">
        <f t="shared" si="121"/>
        <v>#DIV/0!</v>
      </c>
      <c r="R98" s="14" t="e">
        <f t="shared" si="122"/>
        <v>#DIV/0!</v>
      </c>
      <c r="S98" s="14" t="e">
        <f t="shared" si="123"/>
        <v>#DIV/0!</v>
      </c>
      <c r="T98" s="14" t="e">
        <f t="shared" si="124"/>
        <v>#DIV/0!</v>
      </c>
      <c r="U98" s="14" t="e">
        <f t="shared" si="125"/>
        <v>#DIV/0!</v>
      </c>
      <c r="V98" s="14" t="e">
        <f t="shared" si="126"/>
        <v>#DIV/0!</v>
      </c>
      <c r="W98" s="14" t="e">
        <f t="shared" si="127"/>
        <v>#DIV/0!</v>
      </c>
      <c r="X98" s="14" t="e">
        <f t="shared" si="128"/>
        <v>#DIV/0!</v>
      </c>
      <c r="Y98" s="14" t="e">
        <f t="shared" si="129"/>
        <v>#DIV/0!</v>
      </c>
      <c r="Z98" s="14" t="e">
        <f t="shared" si="130"/>
        <v>#DIV/0!</v>
      </c>
      <c r="AA98" s="14" t="e">
        <f t="shared" si="131"/>
        <v>#DIV/0!</v>
      </c>
      <c r="AB98" s="14" t="e">
        <f t="shared" si="132"/>
        <v>#DIV/0!</v>
      </c>
      <c r="AC98" s="49" t="e">
        <f t="shared" si="133"/>
        <v>#DIV/0!</v>
      </c>
    </row>
    <row r="99" spans="1:29" x14ac:dyDescent="0.25">
      <c r="A99" s="278"/>
      <c r="B99" s="9" t="s">
        <v>201</v>
      </c>
      <c r="C99" s="2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428">
        <f t="shared" si="81"/>
        <v>0</v>
      </c>
      <c r="P99" s="420"/>
      <c r="Q99" s="30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47"/>
    </row>
    <row r="100" spans="1:29" x14ac:dyDescent="0.25">
      <c r="A100" s="278">
        <v>60700001</v>
      </c>
      <c r="B100" s="9" t="s">
        <v>202</v>
      </c>
      <c r="C100" s="2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428">
        <f t="shared" si="81"/>
        <v>0</v>
      </c>
      <c r="P100" s="420"/>
      <c r="Q100" s="30" t="e">
        <f t="shared" ref="Q100:Q111" si="134">C100/C$18</f>
        <v>#DIV/0!</v>
      </c>
      <c r="R100" s="31" t="e">
        <f t="shared" ref="R100:R111" si="135">D100/D$18</f>
        <v>#DIV/0!</v>
      </c>
      <c r="S100" s="31" t="e">
        <f t="shared" ref="S100:S111" si="136">E100/E$18</f>
        <v>#DIV/0!</v>
      </c>
      <c r="T100" s="31" t="e">
        <f t="shared" ref="T100:T111" si="137">F100/F$18</f>
        <v>#DIV/0!</v>
      </c>
      <c r="U100" s="31" t="e">
        <f t="shared" ref="U100:U111" si="138">G100/G$18</f>
        <v>#DIV/0!</v>
      </c>
      <c r="V100" s="31" t="e">
        <f t="shared" ref="V100:V111" si="139">H100/H$18</f>
        <v>#DIV/0!</v>
      </c>
      <c r="W100" s="31" t="e">
        <f t="shared" ref="W100:W111" si="140">I100/I$18</f>
        <v>#DIV/0!</v>
      </c>
      <c r="X100" s="31" t="e">
        <f t="shared" ref="X100:X111" si="141">J100/J$18</f>
        <v>#DIV/0!</v>
      </c>
      <c r="Y100" s="31" t="e">
        <f t="shared" ref="Y100:Y111" si="142">K100/K$18</f>
        <v>#DIV/0!</v>
      </c>
      <c r="Z100" s="31" t="e">
        <f t="shared" ref="Z100:Z111" si="143">L100/L$18</f>
        <v>#DIV/0!</v>
      </c>
      <c r="AA100" s="31" t="e">
        <f t="shared" ref="AA100:AA111" si="144">M100/M$18</f>
        <v>#DIV/0!</v>
      </c>
      <c r="AB100" s="31" t="e">
        <f t="shared" ref="AB100:AB111" si="145">N100/N$18</f>
        <v>#DIV/0!</v>
      </c>
      <c r="AC100" s="47" t="e">
        <f t="shared" ref="AC100:AC111" si="146">O100/O$18</f>
        <v>#DIV/0!</v>
      </c>
    </row>
    <row r="101" spans="1:29" x14ac:dyDescent="0.25">
      <c r="A101" s="278">
        <v>60700002</v>
      </c>
      <c r="B101" s="9" t="s">
        <v>203</v>
      </c>
      <c r="C101" s="2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428">
        <f t="shared" si="81"/>
        <v>0</v>
      </c>
      <c r="P101" s="420"/>
      <c r="Q101" s="30" t="e">
        <f t="shared" si="134"/>
        <v>#DIV/0!</v>
      </c>
      <c r="R101" s="31" t="e">
        <f t="shared" si="135"/>
        <v>#DIV/0!</v>
      </c>
      <c r="S101" s="31" t="e">
        <f t="shared" si="136"/>
        <v>#DIV/0!</v>
      </c>
      <c r="T101" s="31" t="e">
        <f t="shared" si="137"/>
        <v>#DIV/0!</v>
      </c>
      <c r="U101" s="31" t="e">
        <f t="shared" si="138"/>
        <v>#DIV/0!</v>
      </c>
      <c r="V101" s="31" t="e">
        <f t="shared" si="139"/>
        <v>#DIV/0!</v>
      </c>
      <c r="W101" s="31" t="e">
        <f t="shared" si="140"/>
        <v>#DIV/0!</v>
      </c>
      <c r="X101" s="31" t="e">
        <f t="shared" si="141"/>
        <v>#DIV/0!</v>
      </c>
      <c r="Y101" s="31" t="e">
        <f t="shared" si="142"/>
        <v>#DIV/0!</v>
      </c>
      <c r="Z101" s="31" t="e">
        <f t="shared" si="143"/>
        <v>#DIV/0!</v>
      </c>
      <c r="AA101" s="31" t="e">
        <f t="shared" si="144"/>
        <v>#DIV/0!</v>
      </c>
      <c r="AB101" s="31" t="e">
        <f t="shared" si="145"/>
        <v>#DIV/0!</v>
      </c>
      <c r="AC101" s="47" t="e">
        <f t="shared" si="146"/>
        <v>#DIV/0!</v>
      </c>
    </row>
    <row r="102" spans="1:29" x14ac:dyDescent="0.25">
      <c r="A102" s="278">
        <v>60700003</v>
      </c>
      <c r="B102" s="9" t="s">
        <v>204</v>
      </c>
      <c r="C102" s="2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428">
        <f t="shared" si="81"/>
        <v>0</v>
      </c>
      <c r="P102" s="420"/>
      <c r="Q102" s="30" t="e">
        <f t="shared" si="134"/>
        <v>#DIV/0!</v>
      </c>
      <c r="R102" s="31" t="e">
        <f t="shared" si="135"/>
        <v>#DIV/0!</v>
      </c>
      <c r="S102" s="31" t="e">
        <f t="shared" si="136"/>
        <v>#DIV/0!</v>
      </c>
      <c r="T102" s="31" t="e">
        <f t="shared" si="137"/>
        <v>#DIV/0!</v>
      </c>
      <c r="U102" s="31" t="e">
        <f t="shared" si="138"/>
        <v>#DIV/0!</v>
      </c>
      <c r="V102" s="31" t="e">
        <f t="shared" si="139"/>
        <v>#DIV/0!</v>
      </c>
      <c r="W102" s="31" t="e">
        <f t="shared" si="140"/>
        <v>#DIV/0!</v>
      </c>
      <c r="X102" s="31" t="e">
        <f t="shared" si="141"/>
        <v>#DIV/0!</v>
      </c>
      <c r="Y102" s="31" t="e">
        <f t="shared" si="142"/>
        <v>#DIV/0!</v>
      </c>
      <c r="Z102" s="31" t="e">
        <f t="shared" si="143"/>
        <v>#DIV/0!</v>
      </c>
      <c r="AA102" s="31" t="e">
        <f t="shared" si="144"/>
        <v>#DIV/0!</v>
      </c>
      <c r="AB102" s="31" t="e">
        <f t="shared" si="145"/>
        <v>#DIV/0!</v>
      </c>
      <c r="AC102" s="47" t="e">
        <f t="shared" si="146"/>
        <v>#DIV/0!</v>
      </c>
    </row>
    <row r="103" spans="1:29" x14ac:dyDescent="0.25">
      <c r="A103" s="278">
        <v>60700005</v>
      </c>
      <c r="B103" s="9" t="s">
        <v>205</v>
      </c>
      <c r="C103" s="2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428">
        <f t="shared" si="81"/>
        <v>0</v>
      </c>
      <c r="P103" s="420"/>
      <c r="Q103" s="30" t="e">
        <f t="shared" si="134"/>
        <v>#DIV/0!</v>
      </c>
      <c r="R103" s="31" t="e">
        <f t="shared" si="135"/>
        <v>#DIV/0!</v>
      </c>
      <c r="S103" s="31" t="e">
        <f t="shared" si="136"/>
        <v>#DIV/0!</v>
      </c>
      <c r="T103" s="31" t="e">
        <f t="shared" si="137"/>
        <v>#DIV/0!</v>
      </c>
      <c r="U103" s="31" t="e">
        <f t="shared" si="138"/>
        <v>#DIV/0!</v>
      </c>
      <c r="V103" s="31" t="e">
        <f t="shared" si="139"/>
        <v>#DIV/0!</v>
      </c>
      <c r="W103" s="31" t="e">
        <f t="shared" si="140"/>
        <v>#DIV/0!</v>
      </c>
      <c r="X103" s="31" t="e">
        <f t="shared" si="141"/>
        <v>#DIV/0!</v>
      </c>
      <c r="Y103" s="31" t="e">
        <f t="shared" si="142"/>
        <v>#DIV/0!</v>
      </c>
      <c r="Z103" s="31" t="e">
        <f t="shared" si="143"/>
        <v>#DIV/0!</v>
      </c>
      <c r="AA103" s="31" t="e">
        <f t="shared" si="144"/>
        <v>#DIV/0!</v>
      </c>
      <c r="AB103" s="31" t="e">
        <f t="shared" si="145"/>
        <v>#DIV/0!</v>
      </c>
      <c r="AC103" s="47" t="e">
        <f t="shared" si="146"/>
        <v>#DIV/0!</v>
      </c>
    </row>
    <row r="104" spans="1:29" x14ac:dyDescent="0.25">
      <c r="A104" s="278">
        <v>60700006</v>
      </c>
      <c r="B104" s="9" t="s">
        <v>206</v>
      </c>
      <c r="C104" s="2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428">
        <f t="shared" si="81"/>
        <v>0</v>
      </c>
      <c r="P104" s="420"/>
      <c r="Q104" s="30" t="e">
        <f t="shared" si="134"/>
        <v>#DIV/0!</v>
      </c>
      <c r="R104" s="31" t="e">
        <f t="shared" si="135"/>
        <v>#DIV/0!</v>
      </c>
      <c r="S104" s="31" t="e">
        <f t="shared" si="136"/>
        <v>#DIV/0!</v>
      </c>
      <c r="T104" s="31" t="e">
        <f t="shared" si="137"/>
        <v>#DIV/0!</v>
      </c>
      <c r="U104" s="31" t="e">
        <f t="shared" si="138"/>
        <v>#DIV/0!</v>
      </c>
      <c r="V104" s="31" t="e">
        <f t="shared" si="139"/>
        <v>#DIV/0!</v>
      </c>
      <c r="W104" s="31" t="e">
        <f t="shared" si="140"/>
        <v>#DIV/0!</v>
      </c>
      <c r="X104" s="31" t="e">
        <f t="shared" si="141"/>
        <v>#DIV/0!</v>
      </c>
      <c r="Y104" s="31" t="e">
        <f t="shared" si="142"/>
        <v>#DIV/0!</v>
      </c>
      <c r="Z104" s="31" t="e">
        <f t="shared" si="143"/>
        <v>#DIV/0!</v>
      </c>
      <c r="AA104" s="31" t="e">
        <f t="shared" si="144"/>
        <v>#DIV/0!</v>
      </c>
      <c r="AB104" s="31" t="e">
        <f t="shared" si="145"/>
        <v>#DIV/0!</v>
      </c>
      <c r="AC104" s="47" t="e">
        <f t="shared" si="146"/>
        <v>#DIV/0!</v>
      </c>
    </row>
    <row r="105" spans="1:29" x14ac:dyDescent="0.25">
      <c r="A105" s="278">
        <v>60700009</v>
      </c>
      <c r="B105" s="9" t="s">
        <v>207</v>
      </c>
      <c r="C105" s="2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428">
        <f t="shared" si="81"/>
        <v>0</v>
      </c>
      <c r="P105" s="420"/>
      <c r="Q105" s="30" t="e">
        <f t="shared" si="134"/>
        <v>#DIV/0!</v>
      </c>
      <c r="R105" s="31" t="e">
        <f t="shared" si="135"/>
        <v>#DIV/0!</v>
      </c>
      <c r="S105" s="31" t="e">
        <f t="shared" si="136"/>
        <v>#DIV/0!</v>
      </c>
      <c r="T105" s="31" t="e">
        <f t="shared" si="137"/>
        <v>#DIV/0!</v>
      </c>
      <c r="U105" s="31" t="e">
        <f t="shared" si="138"/>
        <v>#DIV/0!</v>
      </c>
      <c r="V105" s="31" t="e">
        <f t="shared" si="139"/>
        <v>#DIV/0!</v>
      </c>
      <c r="W105" s="31" t="e">
        <f t="shared" si="140"/>
        <v>#DIV/0!</v>
      </c>
      <c r="X105" s="31" t="e">
        <f t="shared" si="141"/>
        <v>#DIV/0!</v>
      </c>
      <c r="Y105" s="31" t="e">
        <f t="shared" si="142"/>
        <v>#DIV/0!</v>
      </c>
      <c r="Z105" s="31" t="e">
        <f t="shared" si="143"/>
        <v>#DIV/0!</v>
      </c>
      <c r="AA105" s="31" t="e">
        <f t="shared" si="144"/>
        <v>#DIV/0!</v>
      </c>
      <c r="AB105" s="31" t="e">
        <f t="shared" si="145"/>
        <v>#DIV/0!</v>
      </c>
      <c r="AC105" s="47" t="e">
        <f t="shared" si="146"/>
        <v>#DIV/0!</v>
      </c>
    </row>
    <row r="106" spans="1:29" x14ac:dyDescent="0.25">
      <c r="A106" s="278">
        <v>60700010</v>
      </c>
      <c r="B106" s="9" t="s">
        <v>208</v>
      </c>
      <c r="C106" s="2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428">
        <f t="shared" si="81"/>
        <v>0</v>
      </c>
      <c r="P106" s="420"/>
      <c r="Q106" s="30" t="e">
        <f t="shared" si="134"/>
        <v>#DIV/0!</v>
      </c>
      <c r="R106" s="31" t="e">
        <f t="shared" si="135"/>
        <v>#DIV/0!</v>
      </c>
      <c r="S106" s="31" t="e">
        <f t="shared" si="136"/>
        <v>#DIV/0!</v>
      </c>
      <c r="T106" s="31" t="e">
        <f t="shared" si="137"/>
        <v>#DIV/0!</v>
      </c>
      <c r="U106" s="31" t="e">
        <f t="shared" si="138"/>
        <v>#DIV/0!</v>
      </c>
      <c r="V106" s="31" t="e">
        <f t="shared" si="139"/>
        <v>#DIV/0!</v>
      </c>
      <c r="W106" s="31" t="e">
        <f t="shared" si="140"/>
        <v>#DIV/0!</v>
      </c>
      <c r="X106" s="31" t="e">
        <f t="shared" si="141"/>
        <v>#DIV/0!</v>
      </c>
      <c r="Y106" s="31" t="e">
        <f t="shared" si="142"/>
        <v>#DIV/0!</v>
      </c>
      <c r="Z106" s="31" t="e">
        <f t="shared" si="143"/>
        <v>#DIV/0!</v>
      </c>
      <c r="AA106" s="31" t="e">
        <f t="shared" si="144"/>
        <v>#DIV/0!</v>
      </c>
      <c r="AB106" s="31" t="e">
        <f t="shared" si="145"/>
        <v>#DIV/0!</v>
      </c>
      <c r="AC106" s="47" t="e">
        <f t="shared" si="146"/>
        <v>#DIV/0!</v>
      </c>
    </row>
    <row r="107" spans="1:29" x14ac:dyDescent="0.25">
      <c r="A107" s="278">
        <v>60700013</v>
      </c>
      <c r="B107" s="9" t="s">
        <v>209</v>
      </c>
      <c r="C107" s="2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428">
        <f t="shared" si="81"/>
        <v>0</v>
      </c>
      <c r="P107" s="420"/>
      <c r="Q107" s="30" t="e">
        <f t="shared" si="134"/>
        <v>#DIV/0!</v>
      </c>
      <c r="R107" s="31" t="e">
        <f t="shared" si="135"/>
        <v>#DIV/0!</v>
      </c>
      <c r="S107" s="31" t="e">
        <f t="shared" si="136"/>
        <v>#DIV/0!</v>
      </c>
      <c r="T107" s="31" t="e">
        <f t="shared" si="137"/>
        <v>#DIV/0!</v>
      </c>
      <c r="U107" s="31" t="e">
        <f t="shared" si="138"/>
        <v>#DIV/0!</v>
      </c>
      <c r="V107" s="31" t="e">
        <f t="shared" si="139"/>
        <v>#DIV/0!</v>
      </c>
      <c r="W107" s="31" t="e">
        <f t="shared" si="140"/>
        <v>#DIV/0!</v>
      </c>
      <c r="X107" s="31" t="e">
        <f t="shared" si="141"/>
        <v>#DIV/0!</v>
      </c>
      <c r="Y107" s="31" t="e">
        <f t="shared" si="142"/>
        <v>#DIV/0!</v>
      </c>
      <c r="Z107" s="31" t="e">
        <f t="shared" si="143"/>
        <v>#DIV/0!</v>
      </c>
      <c r="AA107" s="31" t="e">
        <f t="shared" si="144"/>
        <v>#DIV/0!</v>
      </c>
      <c r="AB107" s="31" t="e">
        <f t="shared" si="145"/>
        <v>#DIV/0!</v>
      </c>
      <c r="AC107" s="47" t="e">
        <f t="shared" si="146"/>
        <v>#DIV/0!</v>
      </c>
    </row>
    <row r="108" spans="1:29" x14ac:dyDescent="0.25">
      <c r="A108" s="278">
        <v>60700016</v>
      </c>
      <c r="B108" s="9" t="s">
        <v>210</v>
      </c>
      <c r="C108" s="2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428">
        <f t="shared" si="81"/>
        <v>0</v>
      </c>
      <c r="P108" s="420"/>
      <c r="Q108" s="30" t="e">
        <f t="shared" si="134"/>
        <v>#DIV/0!</v>
      </c>
      <c r="R108" s="31" t="e">
        <f t="shared" si="135"/>
        <v>#DIV/0!</v>
      </c>
      <c r="S108" s="31" t="e">
        <f t="shared" si="136"/>
        <v>#DIV/0!</v>
      </c>
      <c r="T108" s="31" t="e">
        <f t="shared" si="137"/>
        <v>#DIV/0!</v>
      </c>
      <c r="U108" s="31" t="e">
        <f t="shared" si="138"/>
        <v>#DIV/0!</v>
      </c>
      <c r="V108" s="31" t="e">
        <f t="shared" si="139"/>
        <v>#DIV/0!</v>
      </c>
      <c r="W108" s="31" t="e">
        <f t="shared" si="140"/>
        <v>#DIV/0!</v>
      </c>
      <c r="X108" s="31" t="e">
        <f t="shared" si="141"/>
        <v>#DIV/0!</v>
      </c>
      <c r="Y108" s="31" t="e">
        <f t="shared" si="142"/>
        <v>#DIV/0!</v>
      </c>
      <c r="Z108" s="31" t="e">
        <f t="shared" si="143"/>
        <v>#DIV/0!</v>
      </c>
      <c r="AA108" s="31" t="e">
        <f t="shared" si="144"/>
        <v>#DIV/0!</v>
      </c>
      <c r="AB108" s="31" t="e">
        <f t="shared" si="145"/>
        <v>#DIV/0!</v>
      </c>
      <c r="AC108" s="47" t="e">
        <f t="shared" si="146"/>
        <v>#DIV/0!</v>
      </c>
    </row>
    <row r="109" spans="1:29" x14ac:dyDescent="0.25">
      <c r="A109" s="278">
        <v>60700014</v>
      </c>
      <c r="B109" s="9" t="s">
        <v>211</v>
      </c>
      <c r="C109" s="2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428">
        <f t="shared" si="81"/>
        <v>0</v>
      </c>
      <c r="P109" s="420"/>
      <c r="Q109" s="30" t="e">
        <f t="shared" si="134"/>
        <v>#DIV/0!</v>
      </c>
      <c r="R109" s="31" t="e">
        <f t="shared" si="135"/>
        <v>#DIV/0!</v>
      </c>
      <c r="S109" s="31" t="e">
        <f t="shared" si="136"/>
        <v>#DIV/0!</v>
      </c>
      <c r="T109" s="31" t="e">
        <f t="shared" si="137"/>
        <v>#DIV/0!</v>
      </c>
      <c r="U109" s="31" t="e">
        <f t="shared" si="138"/>
        <v>#DIV/0!</v>
      </c>
      <c r="V109" s="31" t="e">
        <f t="shared" si="139"/>
        <v>#DIV/0!</v>
      </c>
      <c r="W109" s="31" t="e">
        <f t="shared" si="140"/>
        <v>#DIV/0!</v>
      </c>
      <c r="X109" s="31" t="e">
        <f t="shared" si="141"/>
        <v>#DIV/0!</v>
      </c>
      <c r="Y109" s="31" t="e">
        <f t="shared" si="142"/>
        <v>#DIV/0!</v>
      </c>
      <c r="Z109" s="31" t="e">
        <f t="shared" si="143"/>
        <v>#DIV/0!</v>
      </c>
      <c r="AA109" s="31" t="e">
        <f t="shared" si="144"/>
        <v>#DIV/0!</v>
      </c>
      <c r="AB109" s="31" t="e">
        <f t="shared" si="145"/>
        <v>#DIV/0!</v>
      </c>
      <c r="AC109" s="47" t="e">
        <f t="shared" si="146"/>
        <v>#DIV/0!</v>
      </c>
    </row>
    <row r="110" spans="1:29" x14ac:dyDescent="0.25">
      <c r="A110" s="278">
        <v>60700015</v>
      </c>
      <c r="B110" s="9" t="s">
        <v>212</v>
      </c>
      <c r="C110" s="2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428">
        <f t="shared" si="81"/>
        <v>0</v>
      </c>
      <c r="P110" s="420"/>
      <c r="Q110" s="30" t="e">
        <f t="shared" si="134"/>
        <v>#DIV/0!</v>
      </c>
      <c r="R110" s="31" t="e">
        <f t="shared" si="135"/>
        <v>#DIV/0!</v>
      </c>
      <c r="S110" s="31" t="e">
        <f t="shared" si="136"/>
        <v>#DIV/0!</v>
      </c>
      <c r="T110" s="31" t="e">
        <f t="shared" si="137"/>
        <v>#DIV/0!</v>
      </c>
      <c r="U110" s="31" t="e">
        <f t="shared" si="138"/>
        <v>#DIV/0!</v>
      </c>
      <c r="V110" s="31" t="e">
        <f t="shared" si="139"/>
        <v>#DIV/0!</v>
      </c>
      <c r="W110" s="31" t="e">
        <f t="shared" si="140"/>
        <v>#DIV/0!</v>
      </c>
      <c r="X110" s="31" t="e">
        <f t="shared" si="141"/>
        <v>#DIV/0!</v>
      </c>
      <c r="Y110" s="31" t="e">
        <f t="shared" si="142"/>
        <v>#DIV/0!</v>
      </c>
      <c r="Z110" s="31" t="e">
        <f t="shared" si="143"/>
        <v>#DIV/0!</v>
      </c>
      <c r="AA110" s="31" t="e">
        <f t="shared" si="144"/>
        <v>#DIV/0!</v>
      </c>
      <c r="AB110" s="31" t="e">
        <f t="shared" si="145"/>
        <v>#DIV/0!</v>
      </c>
      <c r="AC110" s="47" t="e">
        <f t="shared" si="146"/>
        <v>#DIV/0!</v>
      </c>
    </row>
    <row r="111" spans="1:29" s="12" customFormat="1" x14ac:dyDescent="0.25">
      <c r="A111" s="278"/>
      <c r="B111" s="15" t="s">
        <v>213</v>
      </c>
      <c r="C111" s="44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31">
        <f t="shared" si="81"/>
        <v>0</v>
      </c>
      <c r="P111" s="422"/>
      <c r="Q111" s="34" t="e">
        <f t="shared" si="134"/>
        <v>#DIV/0!</v>
      </c>
      <c r="R111" s="14" t="e">
        <f t="shared" si="135"/>
        <v>#DIV/0!</v>
      </c>
      <c r="S111" s="14" t="e">
        <f t="shared" si="136"/>
        <v>#DIV/0!</v>
      </c>
      <c r="T111" s="14" t="e">
        <f t="shared" si="137"/>
        <v>#DIV/0!</v>
      </c>
      <c r="U111" s="14" t="e">
        <f t="shared" si="138"/>
        <v>#DIV/0!</v>
      </c>
      <c r="V111" s="14" t="e">
        <f t="shared" si="139"/>
        <v>#DIV/0!</v>
      </c>
      <c r="W111" s="14" t="e">
        <f t="shared" si="140"/>
        <v>#DIV/0!</v>
      </c>
      <c r="X111" s="14" t="e">
        <f t="shared" si="141"/>
        <v>#DIV/0!</v>
      </c>
      <c r="Y111" s="14" t="e">
        <f t="shared" si="142"/>
        <v>#DIV/0!</v>
      </c>
      <c r="Z111" s="14" t="e">
        <f t="shared" si="143"/>
        <v>#DIV/0!</v>
      </c>
      <c r="AA111" s="14" t="e">
        <f t="shared" si="144"/>
        <v>#DIV/0!</v>
      </c>
      <c r="AB111" s="14" t="e">
        <f t="shared" si="145"/>
        <v>#DIV/0!</v>
      </c>
      <c r="AC111" s="49" t="e">
        <f t="shared" si="146"/>
        <v>#DIV/0!</v>
      </c>
    </row>
    <row r="112" spans="1:29" x14ac:dyDescent="0.25">
      <c r="A112" s="278"/>
      <c r="B112" s="9" t="s">
        <v>214</v>
      </c>
      <c r="C112" s="2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428">
        <f t="shared" si="81"/>
        <v>0</v>
      </c>
      <c r="P112" s="420"/>
      <c r="Q112" s="30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47"/>
    </row>
    <row r="113" spans="1:29" x14ac:dyDescent="0.25">
      <c r="A113" s="278">
        <v>60700004</v>
      </c>
      <c r="B113" s="9" t="s">
        <v>215</v>
      </c>
      <c r="C113" s="2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428">
        <f t="shared" si="81"/>
        <v>0</v>
      </c>
      <c r="P113" s="420"/>
      <c r="Q113" s="30" t="e">
        <f t="shared" ref="Q113:Q116" si="147">C113/C$18</f>
        <v>#DIV/0!</v>
      </c>
      <c r="R113" s="31" t="e">
        <f t="shared" ref="R113:R116" si="148">D113/D$18</f>
        <v>#DIV/0!</v>
      </c>
      <c r="S113" s="31" t="e">
        <f t="shared" ref="S113:S116" si="149">E113/E$18</f>
        <v>#DIV/0!</v>
      </c>
      <c r="T113" s="31" t="e">
        <f t="shared" ref="T113:T116" si="150">F113/F$18</f>
        <v>#DIV/0!</v>
      </c>
      <c r="U113" s="31" t="e">
        <f t="shared" ref="U113:U116" si="151">G113/G$18</f>
        <v>#DIV/0!</v>
      </c>
      <c r="V113" s="31" t="e">
        <f t="shared" ref="V113:V116" si="152">H113/H$18</f>
        <v>#DIV/0!</v>
      </c>
      <c r="W113" s="31" t="e">
        <f t="shared" ref="W113:W116" si="153">I113/I$18</f>
        <v>#DIV/0!</v>
      </c>
      <c r="X113" s="31" t="e">
        <f t="shared" ref="X113:X116" si="154">J113/J$18</f>
        <v>#DIV/0!</v>
      </c>
      <c r="Y113" s="31" t="e">
        <f t="shared" ref="Y113:Y116" si="155">K113/K$18</f>
        <v>#DIV/0!</v>
      </c>
      <c r="Z113" s="31" t="e">
        <f t="shared" ref="Z113:Z116" si="156">L113/L$18</f>
        <v>#DIV/0!</v>
      </c>
      <c r="AA113" s="31" t="e">
        <f t="shared" ref="AA113:AA116" si="157">M113/M$18</f>
        <v>#DIV/0!</v>
      </c>
      <c r="AB113" s="31" t="e">
        <f t="shared" ref="AB113:AB116" si="158">N113/N$18</f>
        <v>#DIV/0!</v>
      </c>
      <c r="AC113" s="47" t="e">
        <f t="shared" ref="AC113:AC116" si="159">O113/O$18</f>
        <v>#DIV/0!</v>
      </c>
    </row>
    <row r="114" spans="1:29" x14ac:dyDescent="0.25">
      <c r="A114" s="278">
        <v>60700007</v>
      </c>
      <c r="B114" s="9" t="s">
        <v>216</v>
      </c>
      <c r="C114" s="2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428">
        <f t="shared" si="81"/>
        <v>0</v>
      </c>
      <c r="P114" s="420"/>
      <c r="Q114" s="30" t="e">
        <f t="shared" si="147"/>
        <v>#DIV/0!</v>
      </c>
      <c r="R114" s="31" t="e">
        <f t="shared" si="148"/>
        <v>#DIV/0!</v>
      </c>
      <c r="S114" s="31" t="e">
        <f t="shared" si="149"/>
        <v>#DIV/0!</v>
      </c>
      <c r="T114" s="31" t="e">
        <f t="shared" si="150"/>
        <v>#DIV/0!</v>
      </c>
      <c r="U114" s="31" t="e">
        <f t="shared" si="151"/>
        <v>#DIV/0!</v>
      </c>
      <c r="V114" s="31" t="e">
        <f t="shared" si="152"/>
        <v>#DIV/0!</v>
      </c>
      <c r="W114" s="31" t="e">
        <f t="shared" si="153"/>
        <v>#DIV/0!</v>
      </c>
      <c r="X114" s="31" t="e">
        <f t="shared" si="154"/>
        <v>#DIV/0!</v>
      </c>
      <c r="Y114" s="31" t="e">
        <f t="shared" si="155"/>
        <v>#DIV/0!</v>
      </c>
      <c r="Z114" s="31" t="e">
        <f t="shared" si="156"/>
        <v>#DIV/0!</v>
      </c>
      <c r="AA114" s="31" t="e">
        <f t="shared" si="157"/>
        <v>#DIV/0!</v>
      </c>
      <c r="AB114" s="31" t="e">
        <f t="shared" si="158"/>
        <v>#DIV/0!</v>
      </c>
      <c r="AC114" s="47" t="e">
        <f t="shared" si="159"/>
        <v>#DIV/0!</v>
      </c>
    </row>
    <row r="115" spans="1:29" x14ac:dyDescent="0.25">
      <c r="A115" s="278">
        <v>60700008</v>
      </c>
      <c r="B115" s="9" t="s">
        <v>217</v>
      </c>
      <c r="C115" s="2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428">
        <f t="shared" si="81"/>
        <v>0</v>
      </c>
      <c r="P115" s="420"/>
      <c r="Q115" s="30" t="e">
        <f t="shared" si="147"/>
        <v>#DIV/0!</v>
      </c>
      <c r="R115" s="31" t="e">
        <f t="shared" si="148"/>
        <v>#DIV/0!</v>
      </c>
      <c r="S115" s="31" t="e">
        <f t="shared" si="149"/>
        <v>#DIV/0!</v>
      </c>
      <c r="T115" s="31" t="e">
        <f t="shared" si="150"/>
        <v>#DIV/0!</v>
      </c>
      <c r="U115" s="31" t="e">
        <f t="shared" si="151"/>
        <v>#DIV/0!</v>
      </c>
      <c r="V115" s="31" t="e">
        <f t="shared" si="152"/>
        <v>#DIV/0!</v>
      </c>
      <c r="W115" s="31" t="e">
        <f t="shared" si="153"/>
        <v>#DIV/0!</v>
      </c>
      <c r="X115" s="31" t="e">
        <f t="shared" si="154"/>
        <v>#DIV/0!</v>
      </c>
      <c r="Y115" s="31" t="e">
        <f t="shared" si="155"/>
        <v>#DIV/0!</v>
      </c>
      <c r="Z115" s="31" t="e">
        <f t="shared" si="156"/>
        <v>#DIV/0!</v>
      </c>
      <c r="AA115" s="31" t="e">
        <f t="shared" si="157"/>
        <v>#DIV/0!</v>
      </c>
      <c r="AB115" s="31" t="e">
        <f t="shared" si="158"/>
        <v>#DIV/0!</v>
      </c>
      <c r="AC115" s="47" t="e">
        <f t="shared" si="159"/>
        <v>#DIV/0!</v>
      </c>
    </row>
    <row r="116" spans="1:29" s="12" customFormat="1" x14ac:dyDescent="0.25">
      <c r="A116" s="278"/>
      <c r="B116" s="15" t="s">
        <v>218</v>
      </c>
      <c r="C116" s="44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31">
        <f t="shared" si="81"/>
        <v>0</v>
      </c>
      <c r="P116" s="422"/>
      <c r="Q116" s="34" t="e">
        <f t="shared" si="147"/>
        <v>#DIV/0!</v>
      </c>
      <c r="R116" s="14" t="e">
        <f t="shared" si="148"/>
        <v>#DIV/0!</v>
      </c>
      <c r="S116" s="14" t="e">
        <f t="shared" si="149"/>
        <v>#DIV/0!</v>
      </c>
      <c r="T116" s="14" t="e">
        <f t="shared" si="150"/>
        <v>#DIV/0!</v>
      </c>
      <c r="U116" s="14" t="e">
        <f t="shared" si="151"/>
        <v>#DIV/0!</v>
      </c>
      <c r="V116" s="14" t="e">
        <f t="shared" si="152"/>
        <v>#DIV/0!</v>
      </c>
      <c r="W116" s="14" t="e">
        <f t="shared" si="153"/>
        <v>#DIV/0!</v>
      </c>
      <c r="X116" s="14" t="e">
        <f t="shared" si="154"/>
        <v>#DIV/0!</v>
      </c>
      <c r="Y116" s="14" t="e">
        <f t="shared" si="155"/>
        <v>#DIV/0!</v>
      </c>
      <c r="Z116" s="14" t="e">
        <f t="shared" si="156"/>
        <v>#DIV/0!</v>
      </c>
      <c r="AA116" s="14" t="e">
        <f t="shared" si="157"/>
        <v>#DIV/0!</v>
      </c>
      <c r="AB116" s="14" t="e">
        <f t="shared" si="158"/>
        <v>#DIV/0!</v>
      </c>
      <c r="AC116" s="49" t="e">
        <f t="shared" si="159"/>
        <v>#DIV/0!</v>
      </c>
    </row>
    <row r="117" spans="1:29" x14ac:dyDescent="0.25">
      <c r="A117" s="278"/>
      <c r="B117" s="9" t="s">
        <v>219</v>
      </c>
      <c r="C117" s="2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428">
        <f t="shared" si="81"/>
        <v>0</v>
      </c>
      <c r="P117" s="420"/>
      <c r="Q117" s="30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47"/>
    </row>
    <row r="118" spans="1:29" x14ac:dyDescent="0.25">
      <c r="A118" s="278">
        <v>60800001</v>
      </c>
      <c r="B118" s="9" t="s">
        <v>220</v>
      </c>
      <c r="C118" s="22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428">
        <f t="shared" si="81"/>
        <v>0</v>
      </c>
      <c r="P118" s="420"/>
      <c r="Q118" s="30" t="e">
        <f t="shared" ref="Q118:Q121" si="160">C118/C$18</f>
        <v>#DIV/0!</v>
      </c>
      <c r="R118" s="31" t="e">
        <f t="shared" ref="R118:R121" si="161">D118/D$18</f>
        <v>#DIV/0!</v>
      </c>
      <c r="S118" s="31" t="e">
        <f t="shared" ref="S118:S121" si="162">E118/E$18</f>
        <v>#DIV/0!</v>
      </c>
      <c r="T118" s="31" t="e">
        <f t="shared" ref="T118:T121" si="163">F118/F$18</f>
        <v>#DIV/0!</v>
      </c>
      <c r="U118" s="31" t="e">
        <f t="shared" ref="U118:U121" si="164">G118/G$18</f>
        <v>#DIV/0!</v>
      </c>
      <c r="V118" s="31" t="e">
        <f t="shared" ref="V118:V121" si="165">H118/H$18</f>
        <v>#DIV/0!</v>
      </c>
      <c r="W118" s="31" t="e">
        <f t="shared" ref="W118:W121" si="166">I118/I$18</f>
        <v>#DIV/0!</v>
      </c>
      <c r="X118" s="31" t="e">
        <f t="shared" ref="X118:X121" si="167">J118/J$18</f>
        <v>#DIV/0!</v>
      </c>
      <c r="Y118" s="31" t="e">
        <f t="shared" ref="Y118:Y121" si="168">K118/K$18</f>
        <v>#DIV/0!</v>
      </c>
      <c r="Z118" s="31" t="e">
        <f t="shared" ref="Z118:Z121" si="169">L118/L$18</f>
        <v>#DIV/0!</v>
      </c>
      <c r="AA118" s="31" t="e">
        <f t="shared" ref="AA118:AA121" si="170">M118/M$18</f>
        <v>#DIV/0!</v>
      </c>
      <c r="AB118" s="31" t="e">
        <f t="shared" ref="AB118:AB121" si="171">N118/N$18</f>
        <v>#DIV/0!</v>
      </c>
      <c r="AC118" s="47" t="e">
        <f t="shared" ref="AC118:AC121" si="172">O118/O$18</f>
        <v>#DIV/0!</v>
      </c>
    </row>
    <row r="119" spans="1:29" x14ac:dyDescent="0.25">
      <c r="A119" s="278">
        <v>60800002</v>
      </c>
      <c r="B119" s="9" t="s">
        <v>221</v>
      </c>
      <c r="C119" s="2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428">
        <f t="shared" si="81"/>
        <v>0</v>
      </c>
      <c r="P119" s="420"/>
      <c r="Q119" s="30" t="e">
        <f t="shared" si="160"/>
        <v>#DIV/0!</v>
      </c>
      <c r="R119" s="31" t="e">
        <f t="shared" si="161"/>
        <v>#DIV/0!</v>
      </c>
      <c r="S119" s="31" t="e">
        <f t="shared" si="162"/>
        <v>#DIV/0!</v>
      </c>
      <c r="T119" s="31" t="e">
        <f t="shared" si="163"/>
        <v>#DIV/0!</v>
      </c>
      <c r="U119" s="31" t="e">
        <f t="shared" si="164"/>
        <v>#DIV/0!</v>
      </c>
      <c r="V119" s="31" t="e">
        <f t="shared" si="165"/>
        <v>#DIV/0!</v>
      </c>
      <c r="W119" s="31" t="e">
        <f t="shared" si="166"/>
        <v>#DIV/0!</v>
      </c>
      <c r="X119" s="31" t="e">
        <f t="shared" si="167"/>
        <v>#DIV/0!</v>
      </c>
      <c r="Y119" s="31" t="e">
        <f t="shared" si="168"/>
        <v>#DIV/0!</v>
      </c>
      <c r="Z119" s="31" t="e">
        <f t="shared" si="169"/>
        <v>#DIV/0!</v>
      </c>
      <c r="AA119" s="31" t="e">
        <f t="shared" si="170"/>
        <v>#DIV/0!</v>
      </c>
      <c r="AB119" s="31" t="e">
        <f t="shared" si="171"/>
        <v>#DIV/0!</v>
      </c>
      <c r="AC119" s="47" t="e">
        <f t="shared" si="172"/>
        <v>#DIV/0!</v>
      </c>
    </row>
    <row r="120" spans="1:29" x14ac:dyDescent="0.25">
      <c r="A120" s="278">
        <v>60800003</v>
      </c>
      <c r="B120" s="9" t="s">
        <v>222</v>
      </c>
      <c r="C120" s="2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428">
        <f t="shared" si="81"/>
        <v>0</v>
      </c>
      <c r="P120" s="420"/>
      <c r="Q120" s="30" t="e">
        <f t="shared" si="160"/>
        <v>#DIV/0!</v>
      </c>
      <c r="R120" s="31" t="e">
        <f t="shared" si="161"/>
        <v>#DIV/0!</v>
      </c>
      <c r="S120" s="31" t="e">
        <f t="shared" si="162"/>
        <v>#DIV/0!</v>
      </c>
      <c r="T120" s="31" t="e">
        <f t="shared" si="163"/>
        <v>#DIV/0!</v>
      </c>
      <c r="U120" s="31" t="e">
        <f t="shared" si="164"/>
        <v>#DIV/0!</v>
      </c>
      <c r="V120" s="31" t="e">
        <f t="shared" si="165"/>
        <v>#DIV/0!</v>
      </c>
      <c r="W120" s="31" t="e">
        <f t="shared" si="166"/>
        <v>#DIV/0!</v>
      </c>
      <c r="X120" s="31" t="e">
        <f t="shared" si="167"/>
        <v>#DIV/0!</v>
      </c>
      <c r="Y120" s="31" t="e">
        <f t="shared" si="168"/>
        <v>#DIV/0!</v>
      </c>
      <c r="Z120" s="31" t="e">
        <f t="shared" si="169"/>
        <v>#DIV/0!</v>
      </c>
      <c r="AA120" s="31" t="e">
        <f t="shared" si="170"/>
        <v>#DIV/0!</v>
      </c>
      <c r="AB120" s="31" t="e">
        <f t="shared" si="171"/>
        <v>#DIV/0!</v>
      </c>
      <c r="AC120" s="47" t="e">
        <f t="shared" si="172"/>
        <v>#DIV/0!</v>
      </c>
    </row>
    <row r="121" spans="1:29" s="12" customFormat="1" x14ac:dyDescent="0.25">
      <c r="A121" s="278"/>
      <c r="B121" s="15" t="s">
        <v>223</v>
      </c>
      <c r="C121" s="44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31">
        <f t="shared" si="81"/>
        <v>0</v>
      </c>
      <c r="P121" s="422"/>
      <c r="Q121" s="34" t="e">
        <f t="shared" si="160"/>
        <v>#DIV/0!</v>
      </c>
      <c r="R121" s="14" t="e">
        <f t="shared" si="161"/>
        <v>#DIV/0!</v>
      </c>
      <c r="S121" s="14" t="e">
        <f t="shared" si="162"/>
        <v>#DIV/0!</v>
      </c>
      <c r="T121" s="14" t="e">
        <f t="shared" si="163"/>
        <v>#DIV/0!</v>
      </c>
      <c r="U121" s="14" t="e">
        <f t="shared" si="164"/>
        <v>#DIV/0!</v>
      </c>
      <c r="V121" s="14" t="e">
        <f t="shared" si="165"/>
        <v>#DIV/0!</v>
      </c>
      <c r="W121" s="14" t="e">
        <f t="shared" si="166"/>
        <v>#DIV/0!</v>
      </c>
      <c r="X121" s="14" t="e">
        <f t="shared" si="167"/>
        <v>#DIV/0!</v>
      </c>
      <c r="Y121" s="14" t="e">
        <f t="shared" si="168"/>
        <v>#DIV/0!</v>
      </c>
      <c r="Z121" s="14" t="e">
        <f t="shared" si="169"/>
        <v>#DIV/0!</v>
      </c>
      <c r="AA121" s="14" t="e">
        <f t="shared" si="170"/>
        <v>#DIV/0!</v>
      </c>
      <c r="AB121" s="14" t="e">
        <f t="shared" si="171"/>
        <v>#DIV/0!</v>
      </c>
      <c r="AC121" s="49" t="e">
        <f t="shared" si="172"/>
        <v>#DIV/0!</v>
      </c>
    </row>
    <row r="122" spans="1:29" x14ac:dyDescent="0.25">
      <c r="A122" s="278"/>
      <c r="B122" s="9" t="s">
        <v>224</v>
      </c>
      <c r="C122" s="2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428">
        <f t="shared" si="81"/>
        <v>0</v>
      </c>
      <c r="P122" s="420"/>
      <c r="Q122" s="30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47"/>
    </row>
    <row r="123" spans="1:29" x14ac:dyDescent="0.25">
      <c r="A123" s="278">
        <v>60900001</v>
      </c>
      <c r="B123" s="9" t="s">
        <v>225</v>
      </c>
      <c r="C123" s="2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428">
        <f t="shared" si="81"/>
        <v>0</v>
      </c>
      <c r="P123" s="420"/>
      <c r="Q123" s="30" t="e">
        <f t="shared" ref="Q123:Q132" si="173">C123/C$18</f>
        <v>#DIV/0!</v>
      </c>
      <c r="R123" s="31" t="e">
        <f t="shared" ref="R123:R132" si="174">D123/D$18</f>
        <v>#DIV/0!</v>
      </c>
      <c r="S123" s="31" t="e">
        <f t="shared" ref="S123:S132" si="175">E123/E$18</f>
        <v>#DIV/0!</v>
      </c>
      <c r="T123" s="31" t="e">
        <f t="shared" ref="T123:T132" si="176">F123/F$18</f>
        <v>#DIV/0!</v>
      </c>
      <c r="U123" s="31" t="e">
        <f t="shared" ref="U123:U132" si="177">G123/G$18</f>
        <v>#DIV/0!</v>
      </c>
      <c r="V123" s="31" t="e">
        <f t="shared" ref="V123:V132" si="178">H123/H$18</f>
        <v>#DIV/0!</v>
      </c>
      <c r="W123" s="31" t="e">
        <f t="shared" ref="W123:W132" si="179">I123/I$18</f>
        <v>#DIV/0!</v>
      </c>
      <c r="X123" s="31" t="e">
        <f t="shared" ref="X123:X132" si="180">J123/J$18</f>
        <v>#DIV/0!</v>
      </c>
      <c r="Y123" s="31" t="e">
        <f t="shared" ref="Y123:Y132" si="181">K123/K$18</f>
        <v>#DIV/0!</v>
      </c>
      <c r="Z123" s="31" t="e">
        <f t="shared" ref="Z123:Z132" si="182">L123/L$18</f>
        <v>#DIV/0!</v>
      </c>
      <c r="AA123" s="31" t="e">
        <f t="shared" ref="AA123:AA132" si="183">M123/M$18</f>
        <v>#DIV/0!</v>
      </c>
      <c r="AB123" s="31" t="e">
        <f t="shared" ref="AB123:AB132" si="184">N123/N$18</f>
        <v>#DIV/0!</v>
      </c>
      <c r="AC123" s="47" t="e">
        <f t="shared" ref="AC123:AC132" si="185">O123/O$18</f>
        <v>#DIV/0!</v>
      </c>
    </row>
    <row r="124" spans="1:29" x14ac:dyDescent="0.25">
      <c r="A124" s="278">
        <v>60700017</v>
      </c>
      <c r="B124" s="9" t="s">
        <v>226</v>
      </c>
      <c r="C124" s="2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428">
        <f t="shared" si="81"/>
        <v>0</v>
      </c>
      <c r="P124" s="420"/>
      <c r="Q124" s="30" t="e">
        <f t="shared" si="173"/>
        <v>#DIV/0!</v>
      </c>
      <c r="R124" s="31" t="e">
        <f t="shared" si="174"/>
        <v>#DIV/0!</v>
      </c>
      <c r="S124" s="31" t="e">
        <f t="shared" si="175"/>
        <v>#DIV/0!</v>
      </c>
      <c r="T124" s="31" t="e">
        <f t="shared" si="176"/>
        <v>#DIV/0!</v>
      </c>
      <c r="U124" s="31" t="e">
        <f t="shared" si="177"/>
        <v>#DIV/0!</v>
      </c>
      <c r="V124" s="31" t="e">
        <f t="shared" si="178"/>
        <v>#DIV/0!</v>
      </c>
      <c r="W124" s="31" t="e">
        <f t="shared" si="179"/>
        <v>#DIV/0!</v>
      </c>
      <c r="X124" s="31" t="e">
        <f t="shared" si="180"/>
        <v>#DIV/0!</v>
      </c>
      <c r="Y124" s="31" t="e">
        <f t="shared" si="181"/>
        <v>#DIV/0!</v>
      </c>
      <c r="Z124" s="31" t="e">
        <f t="shared" si="182"/>
        <v>#DIV/0!</v>
      </c>
      <c r="AA124" s="31" t="e">
        <f t="shared" si="183"/>
        <v>#DIV/0!</v>
      </c>
      <c r="AB124" s="31" t="e">
        <f t="shared" si="184"/>
        <v>#DIV/0!</v>
      </c>
      <c r="AC124" s="47" t="e">
        <f t="shared" si="185"/>
        <v>#DIV/0!</v>
      </c>
    </row>
    <row r="125" spans="1:29" x14ac:dyDescent="0.25">
      <c r="A125" s="278">
        <v>60700012</v>
      </c>
      <c r="B125" s="9" t="s">
        <v>227</v>
      </c>
      <c r="C125" s="2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428">
        <f t="shared" si="81"/>
        <v>0</v>
      </c>
      <c r="P125" s="420"/>
      <c r="Q125" s="30" t="e">
        <f t="shared" si="173"/>
        <v>#DIV/0!</v>
      </c>
      <c r="R125" s="31" t="e">
        <f t="shared" si="174"/>
        <v>#DIV/0!</v>
      </c>
      <c r="S125" s="31" t="e">
        <f t="shared" si="175"/>
        <v>#DIV/0!</v>
      </c>
      <c r="T125" s="31" t="e">
        <f t="shared" si="176"/>
        <v>#DIV/0!</v>
      </c>
      <c r="U125" s="31" t="e">
        <f t="shared" si="177"/>
        <v>#DIV/0!</v>
      </c>
      <c r="V125" s="31" t="e">
        <f t="shared" si="178"/>
        <v>#DIV/0!</v>
      </c>
      <c r="W125" s="31" t="e">
        <f t="shared" si="179"/>
        <v>#DIV/0!</v>
      </c>
      <c r="X125" s="31" t="e">
        <f t="shared" si="180"/>
        <v>#DIV/0!</v>
      </c>
      <c r="Y125" s="31" t="e">
        <f t="shared" si="181"/>
        <v>#DIV/0!</v>
      </c>
      <c r="Z125" s="31" t="e">
        <f t="shared" si="182"/>
        <v>#DIV/0!</v>
      </c>
      <c r="AA125" s="31" t="e">
        <f t="shared" si="183"/>
        <v>#DIV/0!</v>
      </c>
      <c r="AB125" s="31" t="e">
        <f t="shared" si="184"/>
        <v>#DIV/0!</v>
      </c>
      <c r="AC125" s="47" t="e">
        <f t="shared" si="185"/>
        <v>#DIV/0!</v>
      </c>
    </row>
    <row r="126" spans="1:29" x14ac:dyDescent="0.25">
      <c r="A126" s="278">
        <v>61100006</v>
      </c>
      <c r="B126" s="9" t="s">
        <v>228</v>
      </c>
      <c r="C126" s="2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428">
        <f t="shared" si="81"/>
        <v>0</v>
      </c>
      <c r="P126" s="420"/>
      <c r="Q126" s="30" t="e">
        <f t="shared" si="173"/>
        <v>#DIV/0!</v>
      </c>
      <c r="R126" s="31" t="e">
        <f t="shared" si="174"/>
        <v>#DIV/0!</v>
      </c>
      <c r="S126" s="31" t="e">
        <f t="shared" si="175"/>
        <v>#DIV/0!</v>
      </c>
      <c r="T126" s="31" t="e">
        <f t="shared" si="176"/>
        <v>#DIV/0!</v>
      </c>
      <c r="U126" s="31" t="e">
        <f t="shared" si="177"/>
        <v>#DIV/0!</v>
      </c>
      <c r="V126" s="31" t="e">
        <f t="shared" si="178"/>
        <v>#DIV/0!</v>
      </c>
      <c r="W126" s="31" t="e">
        <f t="shared" si="179"/>
        <v>#DIV/0!</v>
      </c>
      <c r="X126" s="31" t="e">
        <f t="shared" si="180"/>
        <v>#DIV/0!</v>
      </c>
      <c r="Y126" s="31" t="e">
        <f t="shared" si="181"/>
        <v>#DIV/0!</v>
      </c>
      <c r="Z126" s="31" t="e">
        <f t="shared" si="182"/>
        <v>#DIV/0!</v>
      </c>
      <c r="AA126" s="31" t="e">
        <f t="shared" si="183"/>
        <v>#DIV/0!</v>
      </c>
      <c r="AB126" s="31" t="e">
        <f t="shared" si="184"/>
        <v>#DIV/0!</v>
      </c>
      <c r="AC126" s="47" t="e">
        <f t="shared" si="185"/>
        <v>#DIV/0!</v>
      </c>
    </row>
    <row r="127" spans="1:29" x14ac:dyDescent="0.25">
      <c r="A127" s="278">
        <v>61100004</v>
      </c>
      <c r="B127" s="9" t="s">
        <v>229</v>
      </c>
      <c r="C127" s="2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428">
        <f t="shared" si="81"/>
        <v>0</v>
      </c>
      <c r="P127" s="420"/>
      <c r="Q127" s="30" t="e">
        <f t="shared" si="173"/>
        <v>#DIV/0!</v>
      </c>
      <c r="R127" s="31" t="e">
        <f t="shared" si="174"/>
        <v>#DIV/0!</v>
      </c>
      <c r="S127" s="31" t="e">
        <f t="shared" si="175"/>
        <v>#DIV/0!</v>
      </c>
      <c r="T127" s="31" t="e">
        <f t="shared" si="176"/>
        <v>#DIV/0!</v>
      </c>
      <c r="U127" s="31" t="e">
        <f t="shared" si="177"/>
        <v>#DIV/0!</v>
      </c>
      <c r="V127" s="31" t="e">
        <f t="shared" si="178"/>
        <v>#DIV/0!</v>
      </c>
      <c r="W127" s="31" t="e">
        <f t="shared" si="179"/>
        <v>#DIV/0!</v>
      </c>
      <c r="X127" s="31" t="e">
        <f t="shared" si="180"/>
        <v>#DIV/0!</v>
      </c>
      <c r="Y127" s="31" t="e">
        <f t="shared" si="181"/>
        <v>#DIV/0!</v>
      </c>
      <c r="Z127" s="31" t="e">
        <f t="shared" si="182"/>
        <v>#DIV/0!</v>
      </c>
      <c r="AA127" s="31" t="e">
        <f t="shared" si="183"/>
        <v>#DIV/0!</v>
      </c>
      <c r="AB127" s="31" t="e">
        <f t="shared" si="184"/>
        <v>#DIV/0!</v>
      </c>
      <c r="AC127" s="47" t="e">
        <f t="shared" si="185"/>
        <v>#DIV/0!</v>
      </c>
    </row>
    <row r="128" spans="1:29" x14ac:dyDescent="0.25">
      <c r="A128" s="278">
        <v>61100005</v>
      </c>
      <c r="B128" s="9" t="s">
        <v>230</v>
      </c>
      <c r="C128" s="2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428">
        <f t="shared" si="81"/>
        <v>0</v>
      </c>
      <c r="P128" s="420"/>
      <c r="Q128" s="30" t="e">
        <f t="shared" si="173"/>
        <v>#DIV/0!</v>
      </c>
      <c r="R128" s="31" t="e">
        <f t="shared" si="174"/>
        <v>#DIV/0!</v>
      </c>
      <c r="S128" s="31" t="e">
        <f t="shared" si="175"/>
        <v>#DIV/0!</v>
      </c>
      <c r="T128" s="31" t="e">
        <f t="shared" si="176"/>
        <v>#DIV/0!</v>
      </c>
      <c r="U128" s="31" t="e">
        <f t="shared" si="177"/>
        <v>#DIV/0!</v>
      </c>
      <c r="V128" s="31" t="e">
        <f t="shared" si="178"/>
        <v>#DIV/0!</v>
      </c>
      <c r="W128" s="31" t="e">
        <f t="shared" si="179"/>
        <v>#DIV/0!</v>
      </c>
      <c r="X128" s="31" t="e">
        <f t="shared" si="180"/>
        <v>#DIV/0!</v>
      </c>
      <c r="Y128" s="31" t="e">
        <f t="shared" si="181"/>
        <v>#DIV/0!</v>
      </c>
      <c r="Z128" s="31" t="e">
        <f t="shared" si="182"/>
        <v>#DIV/0!</v>
      </c>
      <c r="AA128" s="31" t="e">
        <f t="shared" si="183"/>
        <v>#DIV/0!</v>
      </c>
      <c r="AB128" s="31" t="e">
        <f t="shared" si="184"/>
        <v>#DIV/0!</v>
      </c>
      <c r="AC128" s="47" t="e">
        <f t="shared" si="185"/>
        <v>#DIV/0!</v>
      </c>
    </row>
    <row r="129" spans="1:29" x14ac:dyDescent="0.25">
      <c r="A129" s="278">
        <v>61200001</v>
      </c>
      <c r="B129" s="9" t="s">
        <v>231</v>
      </c>
      <c r="C129" s="2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428">
        <f t="shared" si="81"/>
        <v>0</v>
      </c>
      <c r="P129" s="420"/>
      <c r="Q129" s="30" t="e">
        <f t="shared" si="173"/>
        <v>#DIV/0!</v>
      </c>
      <c r="R129" s="31" t="e">
        <f t="shared" si="174"/>
        <v>#DIV/0!</v>
      </c>
      <c r="S129" s="31" t="e">
        <f t="shared" si="175"/>
        <v>#DIV/0!</v>
      </c>
      <c r="T129" s="31" t="e">
        <f t="shared" si="176"/>
        <v>#DIV/0!</v>
      </c>
      <c r="U129" s="31" t="e">
        <f t="shared" si="177"/>
        <v>#DIV/0!</v>
      </c>
      <c r="V129" s="31" t="e">
        <f t="shared" si="178"/>
        <v>#DIV/0!</v>
      </c>
      <c r="W129" s="31" t="e">
        <f t="shared" si="179"/>
        <v>#DIV/0!</v>
      </c>
      <c r="X129" s="31" t="e">
        <f t="shared" si="180"/>
        <v>#DIV/0!</v>
      </c>
      <c r="Y129" s="31" t="e">
        <f t="shared" si="181"/>
        <v>#DIV/0!</v>
      </c>
      <c r="Z129" s="31" t="e">
        <f t="shared" si="182"/>
        <v>#DIV/0!</v>
      </c>
      <c r="AA129" s="31" t="e">
        <f t="shared" si="183"/>
        <v>#DIV/0!</v>
      </c>
      <c r="AB129" s="31" t="e">
        <f t="shared" si="184"/>
        <v>#DIV/0!</v>
      </c>
      <c r="AC129" s="47" t="e">
        <f t="shared" si="185"/>
        <v>#DIV/0!</v>
      </c>
    </row>
    <row r="130" spans="1:29" x14ac:dyDescent="0.25">
      <c r="A130" s="278">
        <v>61200002</v>
      </c>
      <c r="B130" s="9" t="s">
        <v>232</v>
      </c>
      <c r="C130" s="22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428">
        <f t="shared" si="81"/>
        <v>0</v>
      </c>
      <c r="P130" s="420"/>
      <c r="Q130" s="30" t="e">
        <f t="shared" si="173"/>
        <v>#DIV/0!</v>
      </c>
      <c r="R130" s="31" t="e">
        <f t="shared" si="174"/>
        <v>#DIV/0!</v>
      </c>
      <c r="S130" s="31" t="e">
        <f t="shared" si="175"/>
        <v>#DIV/0!</v>
      </c>
      <c r="T130" s="31" t="e">
        <f t="shared" si="176"/>
        <v>#DIV/0!</v>
      </c>
      <c r="U130" s="31" t="e">
        <f t="shared" si="177"/>
        <v>#DIV/0!</v>
      </c>
      <c r="V130" s="31" t="e">
        <f t="shared" si="178"/>
        <v>#DIV/0!</v>
      </c>
      <c r="W130" s="31" t="e">
        <f t="shared" si="179"/>
        <v>#DIV/0!</v>
      </c>
      <c r="X130" s="31" t="e">
        <f t="shared" si="180"/>
        <v>#DIV/0!</v>
      </c>
      <c r="Y130" s="31" t="e">
        <f t="shared" si="181"/>
        <v>#DIV/0!</v>
      </c>
      <c r="Z130" s="31" t="e">
        <f t="shared" si="182"/>
        <v>#DIV/0!</v>
      </c>
      <c r="AA130" s="31" t="e">
        <f t="shared" si="183"/>
        <v>#DIV/0!</v>
      </c>
      <c r="AB130" s="31" t="e">
        <f t="shared" si="184"/>
        <v>#DIV/0!</v>
      </c>
      <c r="AC130" s="47" t="e">
        <f t="shared" si="185"/>
        <v>#DIV/0!</v>
      </c>
    </row>
    <row r="131" spans="1:29" x14ac:dyDescent="0.25">
      <c r="A131" s="278">
        <v>61200005</v>
      </c>
      <c r="B131" s="9" t="s">
        <v>224</v>
      </c>
      <c r="C131" s="22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428">
        <f t="shared" si="81"/>
        <v>0</v>
      </c>
      <c r="P131" s="420"/>
      <c r="Q131" s="30" t="e">
        <f t="shared" si="173"/>
        <v>#DIV/0!</v>
      </c>
      <c r="R131" s="31" t="e">
        <f t="shared" si="174"/>
        <v>#DIV/0!</v>
      </c>
      <c r="S131" s="31" t="e">
        <f t="shared" si="175"/>
        <v>#DIV/0!</v>
      </c>
      <c r="T131" s="31" t="e">
        <f t="shared" si="176"/>
        <v>#DIV/0!</v>
      </c>
      <c r="U131" s="31" t="e">
        <f t="shared" si="177"/>
        <v>#DIV/0!</v>
      </c>
      <c r="V131" s="31" t="e">
        <f t="shared" si="178"/>
        <v>#DIV/0!</v>
      </c>
      <c r="W131" s="31" t="e">
        <f t="shared" si="179"/>
        <v>#DIV/0!</v>
      </c>
      <c r="X131" s="31" t="e">
        <f t="shared" si="180"/>
        <v>#DIV/0!</v>
      </c>
      <c r="Y131" s="31" t="e">
        <f t="shared" si="181"/>
        <v>#DIV/0!</v>
      </c>
      <c r="Z131" s="31" t="e">
        <f t="shared" si="182"/>
        <v>#DIV/0!</v>
      </c>
      <c r="AA131" s="31" t="e">
        <f t="shared" si="183"/>
        <v>#DIV/0!</v>
      </c>
      <c r="AB131" s="31" t="e">
        <f t="shared" si="184"/>
        <v>#DIV/0!</v>
      </c>
      <c r="AC131" s="47" t="e">
        <f t="shared" si="185"/>
        <v>#DIV/0!</v>
      </c>
    </row>
    <row r="132" spans="1:29" s="12" customFormat="1" x14ac:dyDescent="0.25">
      <c r="A132" s="278"/>
      <c r="B132" s="15" t="s">
        <v>233</v>
      </c>
      <c r="C132" s="44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31">
        <f t="shared" si="81"/>
        <v>0</v>
      </c>
      <c r="P132" s="422"/>
      <c r="Q132" s="34" t="e">
        <f t="shared" si="173"/>
        <v>#DIV/0!</v>
      </c>
      <c r="R132" s="14" t="e">
        <f t="shared" si="174"/>
        <v>#DIV/0!</v>
      </c>
      <c r="S132" s="14" t="e">
        <f t="shared" si="175"/>
        <v>#DIV/0!</v>
      </c>
      <c r="T132" s="14" t="e">
        <f t="shared" si="176"/>
        <v>#DIV/0!</v>
      </c>
      <c r="U132" s="14" t="e">
        <f t="shared" si="177"/>
        <v>#DIV/0!</v>
      </c>
      <c r="V132" s="14" t="e">
        <f t="shared" si="178"/>
        <v>#DIV/0!</v>
      </c>
      <c r="W132" s="14" t="e">
        <f t="shared" si="179"/>
        <v>#DIV/0!</v>
      </c>
      <c r="X132" s="14" t="e">
        <f t="shared" si="180"/>
        <v>#DIV/0!</v>
      </c>
      <c r="Y132" s="14" t="e">
        <f t="shared" si="181"/>
        <v>#DIV/0!</v>
      </c>
      <c r="Z132" s="14" t="e">
        <f t="shared" si="182"/>
        <v>#DIV/0!</v>
      </c>
      <c r="AA132" s="14" t="e">
        <f t="shared" si="183"/>
        <v>#DIV/0!</v>
      </c>
      <c r="AB132" s="14" t="e">
        <f t="shared" si="184"/>
        <v>#DIV/0!</v>
      </c>
      <c r="AC132" s="49" t="e">
        <f t="shared" si="185"/>
        <v>#DIV/0!</v>
      </c>
    </row>
    <row r="133" spans="1:29" x14ac:dyDescent="0.25">
      <c r="A133" s="278"/>
      <c r="B133" s="9" t="s">
        <v>234</v>
      </c>
      <c r="C133" s="22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428">
        <f t="shared" si="81"/>
        <v>0</v>
      </c>
      <c r="P133" s="420"/>
      <c r="Q133" s="30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47"/>
    </row>
    <row r="134" spans="1:29" x14ac:dyDescent="0.25">
      <c r="A134" s="278">
        <v>61200003</v>
      </c>
      <c r="B134" s="9" t="s">
        <v>235</v>
      </c>
      <c r="C134" s="22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428">
        <f t="shared" si="81"/>
        <v>0</v>
      </c>
      <c r="P134" s="420"/>
      <c r="Q134" s="30" t="e">
        <f t="shared" ref="Q134:Q141" si="186">C134/C$18</f>
        <v>#DIV/0!</v>
      </c>
      <c r="R134" s="31" t="e">
        <f t="shared" ref="R134:R141" si="187">D134/D$18</f>
        <v>#DIV/0!</v>
      </c>
      <c r="S134" s="31" t="e">
        <f t="shared" ref="S134:S141" si="188">E134/E$18</f>
        <v>#DIV/0!</v>
      </c>
      <c r="T134" s="31" t="e">
        <f t="shared" ref="T134:T141" si="189">F134/F$18</f>
        <v>#DIV/0!</v>
      </c>
      <c r="U134" s="31" t="e">
        <f t="shared" ref="U134:U141" si="190">G134/G$18</f>
        <v>#DIV/0!</v>
      </c>
      <c r="V134" s="31" t="e">
        <f t="shared" ref="V134:V141" si="191">H134/H$18</f>
        <v>#DIV/0!</v>
      </c>
      <c r="W134" s="31" t="e">
        <f t="shared" ref="W134:W141" si="192">I134/I$18</f>
        <v>#DIV/0!</v>
      </c>
      <c r="X134" s="31" t="e">
        <f t="shared" ref="X134:X141" si="193">J134/J$18</f>
        <v>#DIV/0!</v>
      </c>
      <c r="Y134" s="31" t="e">
        <f t="shared" ref="Y134:Y141" si="194">K134/K$18</f>
        <v>#DIV/0!</v>
      </c>
      <c r="Z134" s="31" t="e">
        <f t="shared" ref="Z134:Z141" si="195">L134/L$18</f>
        <v>#DIV/0!</v>
      </c>
      <c r="AA134" s="31" t="e">
        <f t="shared" ref="AA134:AA141" si="196">M134/M$18</f>
        <v>#DIV/0!</v>
      </c>
      <c r="AB134" s="31" t="e">
        <f t="shared" ref="AB134:AB141" si="197">N134/N$18</f>
        <v>#DIV/0!</v>
      </c>
      <c r="AC134" s="47" t="e">
        <f t="shared" ref="AC134:AC141" si="198">O134/O$18</f>
        <v>#DIV/0!</v>
      </c>
    </row>
    <row r="135" spans="1:29" x14ac:dyDescent="0.25">
      <c r="A135" s="278">
        <v>61000001</v>
      </c>
      <c r="B135" s="9" t="s">
        <v>236</v>
      </c>
      <c r="C135" s="22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428">
        <f t="shared" si="81"/>
        <v>0</v>
      </c>
      <c r="P135" s="420"/>
      <c r="Q135" s="30" t="e">
        <f t="shared" si="186"/>
        <v>#DIV/0!</v>
      </c>
      <c r="R135" s="31" t="e">
        <f t="shared" si="187"/>
        <v>#DIV/0!</v>
      </c>
      <c r="S135" s="31" t="e">
        <f t="shared" si="188"/>
        <v>#DIV/0!</v>
      </c>
      <c r="T135" s="31" t="e">
        <f t="shared" si="189"/>
        <v>#DIV/0!</v>
      </c>
      <c r="U135" s="31" t="e">
        <f t="shared" si="190"/>
        <v>#DIV/0!</v>
      </c>
      <c r="V135" s="31" t="e">
        <f t="shared" si="191"/>
        <v>#DIV/0!</v>
      </c>
      <c r="W135" s="31" t="e">
        <f t="shared" si="192"/>
        <v>#DIV/0!</v>
      </c>
      <c r="X135" s="31" t="e">
        <f t="shared" si="193"/>
        <v>#DIV/0!</v>
      </c>
      <c r="Y135" s="31" t="e">
        <f t="shared" si="194"/>
        <v>#DIV/0!</v>
      </c>
      <c r="Z135" s="31" t="e">
        <f t="shared" si="195"/>
        <v>#DIV/0!</v>
      </c>
      <c r="AA135" s="31" t="e">
        <f t="shared" si="196"/>
        <v>#DIV/0!</v>
      </c>
      <c r="AB135" s="31" t="e">
        <f t="shared" si="197"/>
        <v>#DIV/0!</v>
      </c>
      <c r="AC135" s="47" t="e">
        <f t="shared" si="198"/>
        <v>#DIV/0!</v>
      </c>
    </row>
    <row r="136" spans="1:29" x14ac:dyDescent="0.25">
      <c r="A136" s="278">
        <v>61200004</v>
      </c>
      <c r="B136" s="9" t="s">
        <v>237</v>
      </c>
      <c r="C136" s="2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428">
        <f t="shared" si="81"/>
        <v>0</v>
      </c>
      <c r="P136" s="420"/>
      <c r="Q136" s="30" t="e">
        <f t="shared" si="186"/>
        <v>#DIV/0!</v>
      </c>
      <c r="R136" s="31" t="e">
        <f t="shared" si="187"/>
        <v>#DIV/0!</v>
      </c>
      <c r="S136" s="31" t="e">
        <f t="shared" si="188"/>
        <v>#DIV/0!</v>
      </c>
      <c r="T136" s="31" t="e">
        <f t="shared" si="189"/>
        <v>#DIV/0!</v>
      </c>
      <c r="U136" s="31" t="e">
        <f t="shared" si="190"/>
        <v>#DIV/0!</v>
      </c>
      <c r="V136" s="31" t="e">
        <f t="shared" si="191"/>
        <v>#DIV/0!</v>
      </c>
      <c r="W136" s="31" t="e">
        <f t="shared" si="192"/>
        <v>#DIV/0!</v>
      </c>
      <c r="X136" s="31" t="e">
        <f t="shared" si="193"/>
        <v>#DIV/0!</v>
      </c>
      <c r="Y136" s="31" t="e">
        <f t="shared" si="194"/>
        <v>#DIV/0!</v>
      </c>
      <c r="Z136" s="31" t="e">
        <f t="shared" si="195"/>
        <v>#DIV/0!</v>
      </c>
      <c r="AA136" s="31" t="e">
        <f t="shared" si="196"/>
        <v>#DIV/0!</v>
      </c>
      <c r="AB136" s="31" t="e">
        <f t="shared" si="197"/>
        <v>#DIV/0!</v>
      </c>
      <c r="AC136" s="47" t="e">
        <f t="shared" si="198"/>
        <v>#DIV/0!</v>
      </c>
    </row>
    <row r="137" spans="1:29" x14ac:dyDescent="0.25">
      <c r="A137" s="278">
        <v>61000002</v>
      </c>
      <c r="B137" s="9" t="s">
        <v>238</v>
      </c>
      <c r="C137" s="22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428">
        <f t="shared" si="81"/>
        <v>0</v>
      </c>
      <c r="P137" s="420"/>
      <c r="Q137" s="30" t="e">
        <f t="shared" si="186"/>
        <v>#DIV/0!</v>
      </c>
      <c r="R137" s="31" t="e">
        <f t="shared" si="187"/>
        <v>#DIV/0!</v>
      </c>
      <c r="S137" s="31" t="e">
        <f t="shared" si="188"/>
        <v>#DIV/0!</v>
      </c>
      <c r="T137" s="31" t="e">
        <f t="shared" si="189"/>
        <v>#DIV/0!</v>
      </c>
      <c r="U137" s="31" t="e">
        <f t="shared" si="190"/>
        <v>#DIV/0!</v>
      </c>
      <c r="V137" s="31" t="e">
        <f t="shared" si="191"/>
        <v>#DIV/0!</v>
      </c>
      <c r="W137" s="31" t="e">
        <f t="shared" si="192"/>
        <v>#DIV/0!</v>
      </c>
      <c r="X137" s="31" t="e">
        <f t="shared" si="193"/>
        <v>#DIV/0!</v>
      </c>
      <c r="Y137" s="31" t="e">
        <f t="shared" si="194"/>
        <v>#DIV/0!</v>
      </c>
      <c r="Z137" s="31" t="e">
        <f t="shared" si="195"/>
        <v>#DIV/0!</v>
      </c>
      <c r="AA137" s="31" t="e">
        <f t="shared" si="196"/>
        <v>#DIV/0!</v>
      </c>
      <c r="AB137" s="31" t="e">
        <f t="shared" si="197"/>
        <v>#DIV/0!</v>
      </c>
      <c r="AC137" s="47" t="e">
        <f t="shared" si="198"/>
        <v>#DIV/0!</v>
      </c>
    </row>
    <row r="138" spans="1:29" x14ac:dyDescent="0.25">
      <c r="A138" s="278">
        <v>61000005</v>
      </c>
      <c r="B138" s="9" t="s">
        <v>239</v>
      </c>
      <c r="C138" s="22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428">
        <f t="shared" ref="O138:O186" si="199">SUM(C138:N138)</f>
        <v>0</v>
      </c>
      <c r="P138" s="420"/>
      <c r="Q138" s="30" t="e">
        <f t="shared" si="186"/>
        <v>#DIV/0!</v>
      </c>
      <c r="R138" s="31" t="e">
        <f t="shared" si="187"/>
        <v>#DIV/0!</v>
      </c>
      <c r="S138" s="31" t="e">
        <f t="shared" si="188"/>
        <v>#DIV/0!</v>
      </c>
      <c r="T138" s="31" t="e">
        <f t="shared" si="189"/>
        <v>#DIV/0!</v>
      </c>
      <c r="U138" s="31" t="e">
        <f t="shared" si="190"/>
        <v>#DIV/0!</v>
      </c>
      <c r="V138" s="31" t="e">
        <f t="shared" si="191"/>
        <v>#DIV/0!</v>
      </c>
      <c r="W138" s="31" t="e">
        <f t="shared" si="192"/>
        <v>#DIV/0!</v>
      </c>
      <c r="X138" s="31" t="e">
        <f t="shared" si="193"/>
        <v>#DIV/0!</v>
      </c>
      <c r="Y138" s="31" t="e">
        <f t="shared" si="194"/>
        <v>#DIV/0!</v>
      </c>
      <c r="Z138" s="31" t="e">
        <f t="shared" si="195"/>
        <v>#DIV/0!</v>
      </c>
      <c r="AA138" s="31" t="e">
        <f t="shared" si="196"/>
        <v>#DIV/0!</v>
      </c>
      <c r="AB138" s="31" t="e">
        <f t="shared" si="197"/>
        <v>#DIV/0!</v>
      </c>
      <c r="AC138" s="47" t="e">
        <f t="shared" si="198"/>
        <v>#DIV/0!</v>
      </c>
    </row>
    <row r="139" spans="1:29" x14ac:dyDescent="0.25">
      <c r="A139" s="278">
        <v>61000003</v>
      </c>
      <c r="B139" s="9" t="s">
        <v>240</v>
      </c>
      <c r="C139" s="22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428">
        <f t="shared" si="199"/>
        <v>0</v>
      </c>
      <c r="P139" s="420"/>
      <c r="Q139" s="30" t="e">
        <f t="shared" si="186"/>
        <v>#DIV/0!</v>
      </c>
      <c r="R139" s="31" t="e">
        <f t="shared" si="187"/>
        <v>#DIV/0!</v>
      </c>
      <c r="S139" s="31" t="e">
        <f t="shared" si="188"/>
        <v>#DIV/0!</v>
      </c>
      <c r="T139" s="31" t="e">
        <f t="shared" si="189"/>
        <v>#DIV/0!</v>
      </c>
      <c r="U139" s="31" t="e">
        <f t="shared" si="190"/>
        <v>#DIV/0!</v>
      </c>
      <c r="V139" s="31" t="e">
        <f t="shared" si="191"/>
        <v>#DIV/0!</v>
      </c>
      <c r="W139" s="31" t="e">
        <f t="shared" si="192"/>
        <v>#DIV/0!</v>
      </c>
      <c r="X139" s="31" t="e">
        <f t="shared" si="193"/>
        <v>#DIV/0!</v>
      </c>
      <c r="Y139" s="31" t="e">
        <f t="shared" si="194"/>
        <v>#DIV/0!</v>
      </c>
      <c r="Z139" s="31" t="e">
        <f t="shared" si="195"/>
        <v>#DIV/0!</v>
      </c>
      <c r="AA139" s="31" t="e">
        <f t="shared" si="196"/>
        <v>#DIV/0!</v>
      </c>
      <c r="AB139" s="31" t="e">
        <f t="shared" si="197"/>
        <v>#DIV/0!</v>
      </c>
      <c r="AC139" s="47" t="e">
        <f t="shared" si="198"/>
        <v>#DIV/0!</v>
      </c>
    </row>
    <row r="140" spans="1:29" x14ac:dyDescent="0.25">
      <c r="A140" s="278">
        <v>61000004</v>
      </c>
      <c r="B140" s="9" t="s">
        <v>241</v>
      </c>
      <c r="C140" s="22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428">
        <f t="shared" si="199"/>
        <v>0</v>
      </c>
      <c r="P140" s="420"/>
      <c r="Q140" s="30" t="e">
        <f t="shared" si="186"/>
        <v>#DIV/0!</v>
      </c>
      <c r="R140" s="31" t="e">
        <f t="shared" si="187"/>
        <v>#DIV/0!</v>
      </c>
      <c r="S140" s="31" t="e">
        <f t="shared" si="188"/>
        <v>#DIV/0!</v>
      </c>
      <c r="T140" s="31" t="e">
        <f t="shared" si="189"/>
        <v>#DIV/0!</v>
      </c>
      <c r="U140" s="31" t="e">
        <f t="shared" si="190"/>
        <v>#DIV/0!</v>
      </c>
      <c r="V140" s="31" t="e">
        <f t="shared" si="191"/>
        <v>#DIV/0!</v>
      </c>
      <c r="W140" s="31" t="e">
        <f t="shared" si="192"/>
        <v>#DIV/0!</v>
      </c>
      <c r="X140" s="31" t="e">
        <f t="shared" si="193"/>
        <v>#DIV/0!</v>
      </c>
      <c r="Y140" s="31" t="e">
        <f t="shared" si="194"/>
        <v>#DIV/0!</v>
      </c>
      <c r="Z140" s="31" t="e">
        <f t="shared" si="195"/>
        <v>#DIV/0!</v>
      </c>
      <c r="AA140" s="31" t="e">
        <f t="shared" si="196"/>
        <v>#DIV/0!</v>
      </c>
      <c r="AB140" s="31" t="e">
        <f t="shared" si="197"/>
        <v>#DIV/0!</v>
      </c>
      <c r="AC140" s="47" t="e">
        <f t="shared" si="198"/>
        <v>#DIV/0!</v>
      </c>
    </row>
    <row r="141" spans="1:29" s="12" customFormat="1" x14ac:dyDescent="0.25">
      <c r="A141" s="278"/>
      <c r="B141" s="15" t="s">
        <v>242</v>
      </c>
      <c r="C141" s="44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31">
        <f t="shared" si="199"/>
        <v>0</v>
      </c>
      <c r="P141" s="422"/>
      <c r="Q141" s="34" t="e">
        <f t="shared" si="186"/>
        <v>#DIV/0!</v>
      </c>
      <c r="R141" s="14" t="e">
        <f t="shared" si="187"/>
        <v>#DIV/0!</v>
      </c>
      <c r="S141" s="14" t="e">
        <f t="shared" si="188"/>
        <v>#DIV/0!</v>
      </c>
      <c r="T141" s="14" t="e">
        <f t="shared" si="189"/>
        <v>#DIV/0!</v>
      </c>
      <c r="U141" s="14" t="e">
        <f t="shared" si="190"/>
        <v>#DIV/0!</v>
      </c>
      <c r="V141" s="14" t="e">
        <f t="shared" si="191"/>
        <v>#DIV/0!</v>
      </c>
      <c r="W141" s="14" t="e">
        <f t="shared" si="192"/>
        <v>#DIV/0!</v>
      </c>
      <c r="X141" s="14" t="e">
        <f t="shared" si="193"/>
        <v>#DIV/0!</v>
      </c>
      <c r="Y141" s="14" t="e">
        <f t="shared" si="194"/>
        <v>#DIV/0!</v>
      </c>
      <c r="Z141" s="14" t="e">
        <f t="shared" si="195"/>
        <v>#DIV/0!</v>
      </c>
      <c r="AA141" s="14" t="e">
        <f t="shared" si="196"/>
        <v>#DIV/0!</v>
      </c>
      <c r="AB141" s="14" t="e">
        <f t="shared" si="197"/>
        <v>#DIV/0!</v>
      </c>
      <c r="AC141" s="49" t="e">
        <f t="shared" si="198"/>
        <v>#DIV/0!</v>
      </c>
    </row>
    <row r="142" spans="1:29" x14ac:dyDescent="0.25">
      <c r="A142" s="278"/>
      <c r="B142" s="9" t="s">
        <v>243</v>
      </c>
      <c r="C142" s="2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428">
        <f t="shared" si="199"/>
        <v>0</v>
      </c>
      <c r="P142" s="420"/>
      <c r="Q142" s="30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47"/>
    </row>
    <row r="143" spans="1:29" x14ac:dyDescent="0.25">
      <c r="A143" s="278">
        <v>60500001</v>
      </c>
      <c r="B143" s="9" t="s">
        <v>244</v>
      </c>
      <c r="C143" s="2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428">
        <f t="shared" si="199"/>
        <v>0</v>
      </c>
      <c r="P143" s="420"/>
      <c r="Q143" s="30" t="e">
        <f t="shared" ref="Q143:Q148" si="200">C143/C$18</f>
        <v>#DIV/0!</v>
      </c>
      <c r="R143" s="31" t="e">
        <f t="shared" ref="R143:R148" si="201">D143/D$18</f>
        <v>#DIV/0!</v>
      </c>
      <c r="S143" s="31" t="e">
        <f t="shared" ref="S143:S148" si="202">E143/E$18</f>
        <v>#DIV/0!</v>
      </c>
      <c r="T143" s="31" t="e">
        <f t="shared" ref="T143:T148" si="203">F143/F$18</f>
        <v>#DIV/0!</v>
      </c>
      <c r="U143" s="31" t="e">
        <f t="shared" ref="U143:U148" si="204">G143/G$18</f>
        <v>#DIV/0!</v>
      </c>
      <c r="V143" s="31" t="e">
        <f t="shared" ref="V143:V148" si="205">H143/H$18</f>
        <v>#DIV/0!</v>
      </c>
      <c r="W143" s="31" t="e">
        <f t="shared" ref="W143:W148" si="206">I143/I$18</f>
        <v>#DIV/0!</v>
      </c>
      <c r="X143" s="31" t="e">
        <f t="shared" ref="X143:X148" si="207">J143/J$18</f>
        <v>#DIV/0!</v>
      </c>
      <c r="Y143" s="31" t="e">
        <f t="shared" ref="Y143:Y148" si="208">K143/K$18</f>
        <v>#DIV/0!</v>
      </c>
      <c r="Z143" s="31" t="e">
        <f t="shared" ref="Z143:Z148" si="209">L143/L$18</f>
        <v>#DIV/0!</v>
      </c>
      <c r="AA143" s="31" t="e">
        <f t="shared" ref="AA143:AA148" si="210">M143/M$18</f>
        <v>#DIV/0!</v>
      </c>
      <c r="AB143" s="31" t="e">
        <f t="shared" ref="AB143:AB148" si="211">N143/N$18</f>
        <v>#DIV/0!</v>
      </c>
      <c r="AC143" s="47" t="e">
        <f t="shared" ref="AC143:AC148" si="212">O143/O$18</f>
        <v>#DIV/0!</v>
      </c>
    </row>
    <row r="144" spans="1:29" x14ac:dyDescent="0.25">
      <c r="A144" s="278">
        <v>60500002</v>
      </c>
      <c r="B144" s="9" t="s">
        <v>245</v>
      </c>
      <c r="C144" s="22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428">
        <f t="shared" si="199"/>
        <v>0</v>
      </c>
      <c r="P144" s="420"/>
      <c r="Q144" s="30" t="e">
        <f t="shared" si="200"/>
        <v>#DIV/0!</v>
      </c>
      <c r="R144" s="31" t="e">
        <f t="shared" si="201"/>
        <v>#DIV/0!</v>
      </c>
      <c r="S144" s="31" t="e">
        <f t="shared" si="202"/>
        <v>#DIV/0!</v>
      </c>
      <c r="T144" s="31" t="e">
        <f t="shared" si="203"/>
        <v>#DIV/0!</v>
      </c>
      <c r="U144" s="31" t="e">
        <f t="shared" si="204"/>
        <v>#DIV/0!</v>
      </c>
      <c r="V144" s="31" t="e">
        <f t="shared" si="205"/>
        <v>#DIV/0!</v>
      </c>
      <c r="W144" s="31" t="e">
        <f t="shared" si="206"/>
        <v>#DIV/0!</v>
      </c>
      <c r="X144" s="31" t="e">
        <f t="shared" si="207"/>
        <v>#DIV/0!</v>
      </c>
      <c r="Y144" s="31" t="e">
        <f t="shared" si="208"/>
        <v>#DIV/0!</v>
      </c>
      <c r="Z144" s="31" t="e">
        <f t="shared" si="209"/>
        <v>#DIV/0!</v>
      </c>
      <c r="AA144" s="31" t="e">
        <f t="shared" si="210"/>
        <v>#DIV/0!</v>
      </c>
      <c r="AB144" s="31" t="e">
        <f t="shared" si="211"/>
        <v>#DIV/0!</v>
      </c>
      <c r="AC144" s="47" t="e">
        <f t="shared" si="212"/>
        <v>#DIV/0!</v>
      </c>
    </row>
    <row r="145" spans="1:29" x14ac:dyDescent="0.25">
      <c r="A145" s="278">
        <v>60500003</v>
      </c>
      <c r="B145" s="9" t="s">
        <v>246</v>
      </c>
      <c r="C145" s="22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428">
        <f t="shared" si="199"/>
        <v>0</v>
      </c>
      <c r="P145" s="420"/>
      <c r="Q145" s="30" t="e">
        <f t="shared" si="200"/>
        <v>#DIV/0!</v>
      </c>
      <c r="R145" s="31" t="e">
        <f t="shared" si="201"/>
        <v>#DIV/0!</v>
      </c>
      <c r="S145" s="31" t="e">
        <f t="shared" si="202"/>
        <v>#DIV/0!</v>
      </c>
      <c r="T145" s="31" t="e">
        <f t="shared" si="203"/>
        <v>#DIV/0!</v>
      </c>
      <c r="U145" s="31" t="e">
        <f t="shared" si="204"/>
        <v>#DIV/0!</v>
      </c>
      <c r="V145" s="31" t="e">
        <f t="shared" si="205"/>
        <v>#DIV/0!</v>
      </c>
      <c r="W145" s="31" t="e">
        <f t="shared" si="206"/>
        <v>#DIV/0!</v>
      </c>
      <c r="X145" s="31" t="e">
        <f t="shared" si="207"/>
        <v>#DIV/0!</v>
      </c>
      <c r="Y145" s="31" t="e">
        <f t="shared" si="208"/>
        <v>#DIV/0!</v>
      </c>
      <c r="Z145" s="31" t="e">
        <f t="shared" si="209"/>
        <v>#DIV/0!</v>
      </c>
      <c r="AA145" s="31" t="e">
        <f t="shared" si="210"/>
        <v>#DIV/0!</v>
      </c>
      <c r="AB145" s="31" t="e">
        <f t="shared" si="211"/>
        <v>#DIV/0!</v>
      </c>
      <c r="AC145" s="47" t="e">
        <f t="shared" si="212"/>
        <v>#DIV/0!</v>
      </c>
    </row>
    <row r="146" spans="1:29" s="12" customFormat="1" x14ac:dyDescent="0.25">
      <c r="A146" s="278"/>
      <c r="B146" s="15" t="s">
        <v>247</v>
      </c>
      <c r="C146" s="44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31">
        <f t="shared" si="199"/>
        <v>0</v>
      </c>
      <c r="P146" s="422"/>
      <c r="Q146" s="34" t="e">
        <f t="shared" si="200"/>
        <v>#DIV/0!</v>
      </c>
      <c r="R146" s="14" t="e">
        <f t="shared" si="201"/>
        <v>#DIV/0!</v>
      </c>
      <c r="S146" s="14" t="e">
        <f t="shared" si="202"/>
        <v>#DIV/0!</v>
      </c>
      <c r="T146" s="14" t="e">
        <f t="shared" si="203"/>
        <v>#DIV/0!</v>
      </c>
      <c r="U146" s="14" t="e">
        <f t="shared" si="204"/>
        <v>#DIV/0!</v>
      </c>
      <c r="V146" s="14" t="e">
        <f t="shared" si="205"/>
        <v>#DIV/0!</v>
      </c>
      <c r="W146" s="14" t="e">
        <f t="shared" si="206"/>
        <v>#DIV/0!</v>
      </c>
      <c r="X146" s="14" t="e">
        <f t="shared" si="207"/>
        <v>#DIV/0!</v>
      </c>
      <c r="Y146" s="14" t="e">
        <f t="shared" si="208"/>
        <v>#DIV/0!</v>
      </c>
      <c r="Z146" s="14" t="e">
        <f t="shared" si="209"/>
        <v>#DIV/0!</v>
      </c>
      <c r="AA146" s="14" t="e">
        <f t="shared" si="210"/>
        <v>#DIV/0!</v>
      </c>
      <c r="AB146" s="14" t="e">
        <f t="shared" si="211"/>
        <v>#DIV/0!</v>
      </c>
      <c r="AC146" s="49" t="e">
        <f t="shared" si="212"/>
        <v>#DIV/0!</v>
      </c>
    </row>
    <row r="147" spans="1:29" s="12" customFormat="1" x14ac:dyDescent="0.25">
      <c r="A147" s="278"/>
      <c r="B147" s="15" t="s">
        <v>114</v>
      </c>
      <c r="C147" s="44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31">
        <f t="shared" si="199"/>
        <v>0</v>
      </c>
      <c r="P147" s="422"/>
      <c r="Q147" s="34" t="e">
        <f t="shared" si="200"/>
        <v>#DIV/0!</v>
      </c>
      <c r="R147" s="14" t="e">
        <f t="shared" si="201"/>
        <v>#DIV/0!</v>
      </c>
      <c r="S147" s="14" t="e">
        <f t="shared" si="202"/>
        <v>#DIV/0!</v>
      </c>
      <c r="T147" s="14" t="e">
        <f t="shared" si="203"/>
        <v>#DIV/0!</v>
      </c>
      <c r="U147" s="14" t="e">
        <f t="shared" si="204"/>
        <v>#DIV/0!</v>
      </c>
      <c r="V147" s="14" t="e">
        <f t="shared" si="205"/>
        <v>#DIV/0!</v>
      </c>
      <c r="W147" s="14" t="e">
        <f t="shared" si="206"/>
        <v>#DIV/0!</v>
      </c>
      <c r="X147" s="14" t="e">
        <f t="shared" si="207"/>
        <v>#DIV/0!</v>
      </c>
      <c r="Y147" s="14" t="e">
        <f t="shared" si="208"/>
        <v>#DIV/0!</v>
      </c>
      <c r="Z147" s="14" t="e">
        <f t="shared" si="209"/>
        <v>#DIV/0!</v>
      </c>
      <c r="AA147" s="14" t="e">
        <f t="shared" si="210"/>
        <v>#DIV/0!</v>
      </c>
      <c r="AB147" s="14" t="e">
        <f t="shared" si="211"/>
        <v>#DIV/0!</v>
      </c>
      <c r="AC147" s="49" t="e">
        <f t="shared" si="212"/>
        <v>#DIV/0!</v>
      </c>
    </row>
    <row r="148" spans="1:29" s="12" customFormat="1" x14ac:dyDescent="0.25">
      <c r="A148" s="278"/>
      <c r="B148" s="15" t="s">
        <v>20</v>
      </c>
      <c r="C148" s="115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433">
        <f t="shared" si="199"/>
        <v>0</v>
      </c>
      <c r="P148" s="420"/>
      <c r="Q148" s="35" t="e">
        <f t="shared" si="200"/>
        <v>#DIV/0!</v>
      </c>
      <c r="R148" s="36" t="e">
        <f t="shared" si="201"/>
        <v>#DIV/0!</v>
      </c>
      <c r="S148" s="36" t="e">
        <f t="shared" si="202"/>
        <v>#DIV/0!</v>
      </c>
      <c r="T148" s="36" t="e">
        <f t="shared" si="203"/>
        <v>#DIV/0!</v>
      </c>
      <c r="U148" s="36" t="e">
        <f t="shared" si="204"/>
        <v>#DIV/0!</v>
      </c>
      <c r="V148" s="36" t="e">
        <f t="shared" si="205"/>
        <v>#DIV/0!</v>
      </c>
      <c r="W148" s="36" t="e">
        <f t="shared" si="206"/>
        <v>#DIV/0!</v>
      </c>
      <c r="X148" s="36" t="e">
        <f t="shared" si="207"/>
        <v>#DIV/0!</v>
      </c>
      <c r="Y148" s="36" t="e">
        <f t="shared" si="208"/>
        <v>#DIV/0!</v>
      </c>
      <c r="Z148" s="36" t="e">
        <f t="shared" si="209"/>
        <v>#DIV/0!</v>
      </c>
      <c r="AA148" s="36" t="e">
        <f t="shared" si="210"/>
        <v>#DIV/0!</v>
      </c>
      <c r="AB148" s="36" t="e">
        <f t="shared" si="211"/>
        <v>#DIV/0!</v>
      </c>
      <c r="AC148" s="47" t="e">
        <f t="shared" si="212"/>
        <v>#DIV/0!</v>
      </c>
    </row>
    <row r="149" spans="1:29" x14ac:dyDescent="0.25">
      <c r="A149" s="278"/>
      <c r="B149" s="9" t="s">
        <v>21</v>
      </c>
      <c r="C149" s="22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428">
        <f t="shared" si="199"/>
        <v>0</v>
      </c>
      <c r="P149" s="420"/>
      <c r="Q149" s="30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47"/>
    </row>
    <row r="150" spans="1:29" x14ac:dyDescent="0.25">
      <c r="A150" s="278">
        <v>61300001</v>
      </c>
      <c r="B150" s="9" t="s">
        <v>248</v>
      </c>
      <c r="C150" s="22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428">
        <f t="shared" si="199"/>
        <v>0</v>
      </c>
      <c r="P150" s="420"/>
      <c r="Q150" s="30" t="e">
        <f t="shared" ref="Q150:Q164" si="213">C150/C$18</f>
        <v>#DIV/0!</v>
      </c>
      <c r="R150" s="31" t="e">
        <f t="shared" ref="R150:R164" si="214">D150/D$18</f>
        <v>#DIV/0!</v>
      </c>
      <c r="S150" s="31" t="e">
        <f t="shared" ref="S150:S164" si="215">E150/E$18</f>
        <v>#DIV/0!</v>
      </c>
      <c r="T150" s="31" t="e">
        <f t="shared" ref="T150:T164" si="216">F150/F$18</f>
        <v>#DIV/0!</v>
      </c>
      <c r="U150" s="31" t="e">
        <f t="shared" ref="U150:U164" si="217">G150/G$18</f>
        <v>#DIV/0!</v>
      </c>
      <c r="V150" s="31" t="e">
        <f t="shared" ref="V150:V164" si="218">H150/H$18</f>
        <v>#DIV/0!</v>
      </c>
      <c r="W150" s="31" t="e">
        <f t="shared" ref="W150:W164" si="219">I150/I$18</f>
        <v>#DIV/0!</v>
      </c>
      <c r="X150" s="31" t="e">
        <f t="shared" ref="X150:X164" si="220">J150/J$18</f>
        <v>#DIV/0!</v>
      </c>
      <c r="Y150" s="31" t="e">
        <f t="shared" ref="Y150:Y164" si="221">K150/K$18</f>
        <v>#DIV/0!</v>
      </c>
      <c r="Z150" s="31" t="e">
        <f t="shared" ref="Z150:Z164" si="222">L150/L$18</f>
        <v>#DIV/0!</v>
      </c>
      <c r="AA150" s="31" t="e">
        <f t="shared" ref="AA150:AA164" si="223">M150/M$18</f>
        <v>#DIV/0!</v>
      </c>
      <c r="AB150" s="31" t="e">
        <f t="shared" ref="AB150:AB164" si="224">N150/N$18</f>
        <v>#DIV/0!</v>
      </c>
      <c r="AC150" s="47" t="e">
        <f t="shared" ref="AC150:AC164" si="225">O150/O$18</f>
        <v>#DIV/0!</v>
      </c>
    </row>
    <row r="151" spans="1:29" x14ac:dyDescent="0.25">
      <c r="A151" s="278">
        <v>61300002</v>
      </c>
      <c r="B151" s="9" t="s">
        <v>249</v>
      </c>
      <c r="C151" s="22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428">
        <f t="shared" si="199"/>
        <v>0</v>
      </c>
      <c r="P151" s="420"/>
      <c r="Q151" s="30" t="e">
        <f t="shared" si="213"/>
        <v>#DIV/0!</v>
      </c>
      <c r="R151" s="31" t="e">
        <f t="shared" si="214"/>
        <v>#DIV/0!</v>
      </c>
      <c r="S151" s="31" t="e">
        <f t="shared" si="215"/>
        <v>#DIV/0!</v>
      </c>
      <c r="T151" s="31" t="e">
        <f t="shared" si="216"/>
        <v>#DIV/0!</v>
      </c>
      <c r="U151" s="31" t="e">
        <f t="shared" si="217"/>
        <v>#DIV/0!</v>
      </c>
      <c r="V151" s="31" t="e">
        <f t="shared" si="218"/>
        <v>#DIV/0!</v>
      </c>
      <c r="W151" s="31" t="e">
        <f t="shared" si="219"/>
        <v>#DIV/0!</v>
      </c>
      <c r="X151" s="31" t="e">
        <f t="shared" si="220"/>
        <v>#DIV/0!</v>
      </c>
      <c r="Y151" s="31" t="e">
        <f t="shared" si="221"/>
        <v>#DIV/0!</v>
      </c>
      <c r="Z151" s="31" t="e">
        <f t="shared" si="222"/>
        <v>#DIV/0!</v>
      </c>
      <c r="AA151" s="31" t="e">
        <f t="shared" si="223"/>
        <v>#DIV/0!</v>
      </c>
      <c r="AB151" s="31" t="e">
        <f t="shared" si="224"/>
        <v>#DIV/0!</v>
      </c>
      <c r="AC151" s="47" t="e">
        <f t="shared" si="225"/>
        <v>#DIV/0!</v>
      </c>
    </row>
    <row r="152" spans="1:29" x14ac:dyDescent="0.25">
      <c r="A152" s="278">
        <v>61300004</v>
      </c>
      <c r="B152" s="9" t="s">
        <v>250</v>
      </c>
      <c r="C152" s="22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428">
        <f t="shared" si="199"/>
        <v>0</v>
      </c>
      <c r="P152" s="420"/>
      <c r="Q152" s="30" t="e">
        <f t="shared" si="213"/>
        <v>#DIV/0!</v>
      </c>
      <c r="R152" s="31" t="e">
        <f t="shared" si="214"/>
        <v>#DIV/0!</v>
      </c>
      <c r="S152" s="31" t="e">
        <f t="shared" si="215"/>
        <v>#DIV/0!</v>
      </c>
      <c r="T152" s="31" t="e">
        <f t="shared" si="216"/>
        <v>#DIV/0!</v>
      </c>
      <c r="U152" s="31" t="e">
        <f t="shared" si="217"/>
        <v>#DIV/0!</v>
      </c>
      <c r="V152" s="31" t="e">
        <f t="shared" si="218"/>
        <v>#DIV/0!</v>
      </c>
      <c r="W152" s="31" t="e">
        <f t="shared" si="219"/>
        <v>#DIV/0!</v>
      </c>
      <c r="X152" s="31" t="e">
        <f t="shared" si="220"/>
        <v>#DIV/0!</v>
      </c>
      <c r="Y152" s="31" t="e">
        <f t="shared" si="221"/>
        <v>#DIV/0!</v>
      </c>
      <c r="Z152" s="31" t="e">
        <f t="shared" si="222"/>
        <v>#DIV/0!</v>
      </c>
      <c r="AA152" s="31" t="e">
        <f t="shared" si="223"/>
        <v>#DIV/0!</v>
      </c>
      <c r="AB152" s="31" t="e">
        <f t="shared" si="224"/>
        <v>#DIV/0!</v>
      </c>
      <c r="AC152" s="47" t="e">
        <f t="shared" si="225"/>
        <v>#DIV/0!</v>
      </c>
    </row>
    <row r="153" spans="1:29" x14ac:dyDescent="0.25">
      <c r="A153" s="278">
        <v>61300005</v>
      </c>
      <c r="B153" s="9" t="s">
        <v>251</v>
      </c>
      <c r="C153" s="22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428">
        <f t="shared" si="199"/>
        <v>0</v>
      </c>
      <c r="P153" s="420"/>
      <c r="Q153" s="30" t="e">
        <f t="shared" si="213"/>
        <v>#DIV/0!</v>
      </c>
      <c r="R153" s="31" t="e">
        <f t="shared" si="214"/>
        <v>#DIV/0!</v>
      </c>
      <c r="S153" s="31" t="e">
        <f t="shared" si="215"/>
        <v>#DIV/0!</v>
      </c>
      <c r="T153" s="31" t="e">
        <f t="shared" si="216"/>
        <v>#DIV/0!</v>
      </c>
      <c r="U153" s="31" t="e">
        <f t="shared" si="217"/>
        <v>#DIV/0!</v>
      </c>
      <c r="V153" s="31" t="e">
        <f t="shared" si="218"/>
        <v>#DIV/0!</v>
      </c>
      <c r="W153" s="31" t="e">
        <f t="shared" si="219"/>
        <v>#DIV/0!</v>
      </c>
      <c r="X153" s="31" t="e">
        <f t="shared" si="220"/>
        <v>#DIV/0!</v>
      </c>
      <c r="Y153" s="31" t="e">
        <f t="shared" si="221"/>
        <v>#DIV/0!</v>
      </c>
      <c r="Z153" s="31" t="e">
        <f t="shared" si="222"/>
        <v>#DIV/0!</v>
      </c>
      <c r="AA153" s="31" t="e">
        <f t="shared" si="223"/>
        <v>#DIV/0!</v>
      </c>
      <c r="AB153" s="31" t="e">
        <f t="shared" si="224"/>
        <v>#DIV/0!</v>
      </c>
      <c r="AC153" s="47" t="e">
        <f t="shared" si="225"/>
        <v>#DIV/0!</v>
      </c>
    </row>
    <row r="154" spans="1:29" x14ac:dyDescent="0.25">
      <c r="A154" s="278">
        <v>61300006</v>
      </c>
      <c r="B154" s="9" t="s">
        <v>252</v>
      </c>
      <c r="C154" s="22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428">
        <f t="shared" si="199"/>
        <v>0</v>
      </c>
      <c r="P154" s="420"/>
      <c r="Q154" s="30" t="e">
        <f t="shared" si="213"/>
        <v>#DIV/0!</v>
      </c>
      <c r="R154" s="31" t="e">
        <f t="shared" si="214"/>
        <v>#DIV/0!</v>
      </c>
      <c r="S154" s="31" t="e">
        <f t="shared" si="215"/>
        <v>#DIV/0!</v>
      </c>
      <c r="T154" s="31" t="e">
        <f t="shared" si="216"/>
        <v>#DIV/0!</v>
      </c>
      <c r="U154" s="31" t="e">
        <f t="shared" si="217"/>
        <v>#DIV/0!</v>
      </c>
      <c r="V154" s="31" t="e">
        <f t="shared" si="218"/>
        <v>#DIV/0!</v>
      </c>
      <c r="W154" s="31" t="e">
        <f t="shared" si="219"/>
        <v>#DIV/0!</v>
      </c>
      <c r="X154" s="31" t="e">
        <f t="shared" si="220"/>
        <v>#DIV/0!</v>
      </c>
      <c r="Y154" s="31" t="e">
        <f t="shared" si="221"/>
        <v>#DIV/0!</v>
      </c>
      <c r="Z154" s="31" t="e">
        <f t="shared" si="222"/>
        <v>#DIV/0!</v>
      </c>
      <c r="AA154" s="31" t="e">
        <f t="shared" si="223"/>
        <v>#DIV/0!</v>
      </c>
      <c r="AB154" s="31" t="e">
        <f t="shared" si="224"/>
        <v>#DIV/0!</v>
      </c>
      <c r="AC154" s="47" t="e">
        <f t="shared" si="225"/>
        <v>#DIV/0!</v>
      </c>
    </row>
    <row r="155" spans="1:29" x14ac:dyDescent="0.25">
      <c r="A155" s="278">
        <v>61300008</v>
      </c>
      <c r="B155" s="9" t="s">
        <v>253</v>
      </c>
      <c r="C155" s="2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428">
        <f t="shared" si="199"/>
        <v>0</v>
      </c>
      <c r="P155" s="420"/>
      <c r="Q155" s="30" t="e">
        <f t="shared" si="213"/>
        <v>#DIV/0!</v>
      </c>
      <c r="R155" s="31" t="e">
        <f t="shared" si="214"/>
        <v>#DIV/0!</v>
      </c>
      <c r="S155" s="31" t="e">
        <f t="shared" si="215"/>
        <v>#DIV/0!</v>
      </c>
      <c r="T155" s="31" t="e">
        <f t="shared" si="216"/>
        <v>#DIV/0!</v>
      </c>
      <c r="U155" s="31" t="e">
        <f t="shared" si="217"/>
        <v>#DIV/0!</v>
      </c>
      <c r="V155" s="31" t="e">
        <f t="shared" si="218"/>
        <v>#DIV/0!</v>
      </c>
      <c r="W155" s="31" t="e">
        <f t="shared" si="219"/>
        <v>#DIV/0!</v>
      </c>
      <c r="X155" s="31" t="e">
        <f t="shared" si="220"/>
        <v>#DIV/0!</v>
      </c>
      <c r="Y155" s="31" t="e">
        <f t="shared" si="221"/>
        <v>#DIV/0!</v>
      </c>
      <c r="Z155" s="31" t="e">
        <f t="shared" si="222"/>
        <v>#DIV/0!</v>
      </c>
      <c r="AA155" s="31" t="e">
        <f t="shared" si="223"/>
        <v>#DIV/0!</v>
      </c>
      <c r="AB155" s="31" t="e">
        <f t="shared" si="224"/>
        <v>#DIV/0!</v>
      </c>
      <c r="AC155" s="47" t="e">
        <f t="shared" si="225"/>
        <v>#DIV/0!</v>
      </c>
    </row>
    <row r="156" spans="1:29" x14ac:dyDescent="0.25">
      <c r="A156" s="278">
        <v>61300009</v>
      </c>
      <c r="B156" s="9" t="s">
        <v>254</v>
      </c>
      <c r="C156" s="22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428">
        <f t="shared" si="199"/>
        <v>0</v>
      </c>
      <c r="P156" s="420"/>
      <c r="Q156" s="30" t="e">
        <f t="shared" si="213"/>
        <v>#DIV/0!</v>
      </c>
      <c r="R156" s="31" t="e">
        <f t="shared" si="214"/>
        <v>#DIV/0!</v>
      </c>
      <c r="S156" s="31" t="e">
        <f t="shared" si="215"/>
        <v>#DIV/0!</v>
      </c>
      <c r="T156" s="31" t="e">
        <f t="shared" si="216"/>
        <v>#DIV/0!</v>
      </c>
      <c r="U156" s="31" t="e">
        <f t="shared" si="217"/>
        <v>#DIV/0!</v>
      </c>
      <c r="V156" s="31" t="e">
        <f t="shared" si="218"/>
        <v>#DIV/0!</v>
      </c>
      <c r="W156" s="31" t="e">
        <f t="shared" si="219"/>
        <v>#DIV/0!</v>
      </c>
      <c r="X156" s="31" t="e">
        <f t="shared" si="220"/>
        <v>#DIV/0!</v>
      </c>
      <c r="Y156" s="31" t="e">
        <f t="shared" si="221"/>
        <v>#DIV/0!</v>
      </c>
      <c r="Z156" s="31" t="e">
        <f t="shared" si="222"/>
        <v>#DIV/0!</v>
      </c>
      <c r="AA156" s="31" t="e">
        <f t="shared" si="223"/>
        <v>#DIV/0!</v>
      </c>
      <c r="AB156" s="31" t="e">
        <f t="shared" si="224"/>
        <v>#DIV/0!</v>
      </c>
      <c r="AC156" s="47" t="e">
        <f t="shared" si="225"/>
        <v>#DIV/0!</v>
      </c>
    </row>
    <row r="157" spans="1:29" x14ac:dyDescent="0.25">
      <c r="A157" s="278">
        <v>61300011</v>
      </c>
      <c r="B157" s="9" t="s">
        <v>255</v>
      </c>
      <c r="C157" s="22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428">
        <f t="shared" si="199"/>
        <v>0</v>
      </c>
      <c r="P157" s="420"/>
      <c r="Q157" s="30" t="e">
        <f t="shared" si="213"/>
        <v>#DIV/0!</v>
      </c>
      <c r="R157" s="31" t="e">
        <f t="shared" si="214"/>
        <v>#DIV/0!</v>
      </c>
      <c r="S157" s="31" t="e">
        <f t="shared" si="215"/>
        <v>#DIV/0!</v>
      </c>
      <c r="T157" s="31" t="e">
        <f t="shared" si="216"/>
        <v>#DIV/0!</v>
      </c>
      <c r="U157" s="31" t="e">
        <f t="shared" si="217"/>
        <v>#DIV/0!</v>
      </c>
      <c r="V157" s="31" t="e">
        <f t="shared" si="218"/>
        <v>#DIV/0!</v>
      </c>
      <c r="W157" s="31" t="e">
        <f t="shared" si="219"/>
        <v>#DIV/0!</v>
      </c>
      <c r="X157" s="31" t="e">
        <f t="shared" si="220"/>
        <v>#DIV/0!</v>
      </c>
      <c r="Y157" s="31" t="e">
        <f t="shared" si="221"/>
        <v>#DIV/0!</v>
      </c>
      <c r="Z157" s="31" t="e">
        <f t="shared" si="222"/>
        <v>#DIV/0!</v>
      </c>
      <c r="AA157" s="31" t="e">
        <f t="shared" si="223"/>
        <v>#DIV/0!</v>
      </c>
      <c r="AB157" s="31" t="e">
        <f t="shared" si="224"/>
        <v>#DIV/0!</v>
      </c>
      <c r="AC157" s="47" t="e">
        <f t="shared" si="225"/>
        <v>#DIV/0!</v>
      </c>
    </row>
    <row r="158" spans="1:29" x14ac:dyDescent="0.25">
      <c r="A158" s="278">
        <v>61300012</v>
      </c>
      <c r="B158" s="9" t="s">
        <v>256</v>
      </c>
      <c r="C158" s="22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428">
        <f t="shared" si="199"/>
        <v>0</v>
      </c>
      <c r="P158" s="420"/>
      <c r="Q158" s="30" t="e">
        <f t="shared" si="213"/>
        <v>#DIV/0!</v>
      </c>
      <c r="R158" s="31" t="e">
        <f t="shared" si="214"/>
        <v>#DIV/0!</v>
      </c>
      <c r="S158" s="31" t="e">
        <f t="shared" si="215"/>
        <v>#DIV/0!</v>
      </c>
      <c r="T158" s="31" t="e">
        <f t="shared" si="216"/>
        <v>#DIV/0!</v>
      </c>
      <c r="U158" s="31" t="e">
        <f t="shared" si="217"/>
        <v>#DIV/0!</v>
      </c>
      <c r="V158" s="31" t="e">
        <f t="shared" si="218"/>
        <v>#DIV/0!</v>
      </c>
      <c r="W158" s="31" t="e">
        <f t="shared" si="219"/>
        <v>#DIV/0!</v>
      </c>
      <c r="X158" s="31" t="e">
        <f t="shared" si="220"/>
        <v>#DIV/0!</v>
      </c>
      <c r="Y158" s="31" t="e">
        <f t="shared" si="221"/>
        <v>#DIV/0!</v>
      </c>
      <c r="Z158" s="31" t="e">
        <f t="shared" si="222"/>
        <v>#DIV/0!</v>
      </c>
      <c r="AA158" s="31" t="e">
        <f t="shared" si="223"/>
        <v>#DIV/0!</v>
      </c>
      <c r="AB158" s="31" t="e">
        <f t="shared" si="224"/>
        <v>#DIV/0!</v>
      </c>
      <c r="AC158" s="47" t="e">
        <f t="shared" si="225"/>
        <v>#DIV/0!</v>
      </c>
    </row>
    <row r="159" spans="1:29" x14ac:dyDescent="0.25">
      <c r="A159" s="278">
        <v>61300013</v>
      </c>
      <c r="B159" s="9" t="s">
        <v>257</v>
      </c>
      <c r="C159" s="22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428">
        <f t="shared" si="199"/>
        <v>0</v>
      </c>
      <c r="P159" s="420"/>
      <c r="Q159" s="30" t="e">
        <f t="shared" si="213"/>
        <v>#DIV/0!</v>
      </c>
      <c r="R159" s="31" t="e">
        <f t="shared" si="214"/>
        <v>#DIV/0!</v>
      </c>
      <c r="S159" s="31" t="e">
        <f t="shared" si="215"/>
        <v>#DIV/0!</v>
      </c>
      <c r="T159" s="31" t="e">
        <f t="shared" si="216"/>
        <v>#DIV/0!</v>
      </c>
      <c r="U159" s="31" t="e">
        <f t="shared" si="217"/>
        <v>#DIV/0!</v>
      </c>
      <c r="V159" s="31" t="e">
        <f t="shared" si="218"/>
        <v>#DIV/0!</v>
      </c>
      <c r="W159" s="31" t="e">
        <f t="shared" si="219"/>
        <v>#DIV/0!</v>
      </c>
      <c r="X159" s="31" t="e">
        <f t="shared" si="220"/>
        <v>#DIV/0!</v>
      </c>
      <c r="Y159" s="31" t="e">
        <f t="shared" si="221"/>
        <v>#DIV/0!</v>
      </c>
      <c r="Z159" s="31" t="e">
        <f t="shared" si="222"/>
        <v>#DIV/0!</v>
      </c>
      <c r="AA159" s="31" t="e">
        <f t="shared" si="223"/>
        <v>#DIV/0!</v>
      </c>
      <c r="AB159" s="31" t="e">
        <f t="shared" si="224"/>
        <v>#DIV/0!</v>
      </c>
      <c r="AC159" s="47" t="e">
        <f t="shared" si="225"/>
        <v>#DIV/0!</v>
      </c>
    </row>
    <row r="160" spans="1:29" x14ac:dyDescent="0.25">
      <c r="A160" s="278">
        <v>61300007</v>
      </c>
      <c r="B160" s="9" t="s">
        <v>258</v>
      </c>
      <c r="C160" s="22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428">
        <f t="shared" si="199"/>
        <v>0</v>
      </c>
      <c r="P160" s="420"/>
      <c r="Q160" s="30" t="e">
        <f t="shared" si="213"/>
        <v>#DIV/0!</v>
      </c>
      <c r="R160" s="31" t="e">
        <f t="shared" si="214"/>
        <v>#DIV/0!</v>
      </c>
      <c r="S160" s="31" t="e">
        <f t="shared" si="215"/>
        <v>#DIV/0!</v>
      </c>
      <c r="T160" s="31" t="e">
        <f t="shared" si="216"/>
        <v>#DIV/0!</v>
      </c>
      <c r="U160" s="31" t="e">
        <f t="shared" si="217"/>
        <v>#DIV/0!</v>
      </c>
      <c r="V160" s="31" t="e">
        <f t="shared" si="218"/>
        <v>#DIV/0!</v>
      </c>
      <c r="W160" s="31" t="e">
        <f t="shared" si="219"/>
        <v>#DIV/0!</v>
      </c>
      <c r="X160" s="31" t="e">
        <f t="shared" si="220"/>
        <v>#DIV/0!</v>
      </c>
      <c r="Y160" s="31" t="e">
        <f t="shared" si="221"/>
        <v>#DIV/0!</v>
      </c>
      <c r="Z160" s="31" t="e">
        <f t="shared" si="222"/>
        <v>#DIV/0!</v>
      </c>
      <c r="AA160" s="31" t="e">
        <f t="shared" si="223"/>
        <v>#DIV/0!</v>
      </c>
      <c r="AB160" s="31" t="e">
        <f t="shared" si="224"/>
        <v>#DIV/0!</v>
      </c>
      <c r="AC160" s="47" t="e">
        <f t="shared" si="225"/>
        <v>#DIV/0!</v>
      </c>
    </row>
    <row r="161" spans="1:29" x14ac:dyDescent="0.25">
      <c r="A161" s="278">
        <v>61300014</v>
      </c>
      <c r="B161" s="9" t="s">
        <v>259</v>
      </c>
      <c r="C161" s="22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428">
        <f t="shared" si="199"/>
        <v>0</v>
      </c>
      <c r="P161" s="420"/>
      <c r="Q161" s="30" t="e">
        <f t="shared" si="213"/>
        <v>#DIV/0!</v>
      </c>
      <c r="R161" s="31" t="e">
        <f t="shared" si="214"/>
        <v>#DIV/0!</v>
      </c>
      <c r="S161" s="31" t="e">
        <f t="shared" si="215"/>
        <v>#DIV/0!</v>
      </c>
      <c r="T161" s="31" t="e">
        <f t="shared" si="216"/>
        <v>#DIV/0!</v>
      </c>
      <c r="U161" s="31" t="e">
        <f t="shared" si="217"/>
        <v>#DIV/0!</v>
      </c>
      <c r="V161" s="31" t="e">
        <f t="shared" si="218"/>
        <v>#DIV/0!</v>
      </c>
      <c r="W161" s="31" t="e">
        <f t="shared" si="219"/>
        <v>#DIV/0!</v>
      </c>
      <c r="X161" s="31" t="e">
        <f t="shared" si="220"/>
        <v>#DIV/0!</v>
      </c>
      <c r="Y161" s="31" t="e">
        <f t="shared" si="221"/>
        <v>#DIV/0!</v>
      </c>
      <c r="Z161" s="31" t="e">
        <f t="shared" si="222"/>
        <v>#DIV/0!</v>
      </c>
      <c r="AA161" s="31" t="e">
        <f t="shared" si="223"/>
        <v>#DIV/0!</v>
      </c>
      <c r="AB161" s="31" t="e">
        <f t="shared" si="224"/>
        <v>#DIV/0!</v>
      </c>
      <c r="AC161" s="47" t="e">
        <f t="shared" si="225"/>
        <v>#DIV/0!</v>
      </c>
    </row>
    <row r="162" spans="1:29" x14ac:dyDescent="0.25">
      <c r="A162" s="278">
        <v>61300015</v>
      </c>
      <c r="B162" s="9" t="s">
        <v>260</v>
      </c>
      <c r="C162" s="22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428">
        <f t="shared" si="199"/>
        <v>0</v>
      </c>
      <c r="P162" s="420"/>
      <c r="Q162" s="30" t="e">
        <f t="shared" si="213"/>
        <v>#DIV/0!</v>
      </c>
      <c r="R162" s="31" t="e">
        <f t="shared" si="214"/>
        <v>#DIV/0!</v>
      </c>
      <c r="S162" s="31" t="e">
        <f t="shared" si="215"/>
        <v>#DIV/0!</v>
      </c>
      <c r="T162" s="31" t="e">
        <f t="shared" si="216"/>
        <v>#DIV/0!</v>
      </c>
      <c r="U162" s="31" t="e">
        <f t="shared" si="217"/>
        <v>#DIV/0!</v>
      </c>
      <c r="V162" s="31" t="e">
        <f t="shared" si="218"/>
        <v>#DIV/0!</v>
      </c>
      <c r="W162" s="31" t="e">
        <f t="shared" si="219"/>
        <v>#DIV/0!</v>
      </c>
      <c r="X162" s="31" t="e">
        <f t="shared" si="220"/>
        <v>#DIV/0!</v>
      </c>
      <c r="Y162" s="31" t="e">
        <f t="shared" si="221"/>
        <v>#DIV/0!</v>
      </c>
      <c r="Z162" s="31" t="e">
        <f t="shared" si="222"/>
        <v>#DIV/0!</v>
      </c>
      <c r="AA162" s="31" t="e">
        <f t="shared" si="223"/>
        <v>#DIV/0!</v>
      </c>
      <c r="AB162" s="31" t="e">
        <f t="shared" si="224"/>
        <v>#DIV/0!</v>
      </c>
      <c r="AC162" s="47" t="e">
        <f t="shared" si="225"/>
        <v>#DIV/0!</v>
      </c>
    </row>
    <row r="163" spans="1:29" x14ac:dyDescent="0.25">
      <c r="A163" s="278">
        <v>61300016</v>
      </c>
      <c r="B163" s="9" t="s">
        <v>261</v>
      </c>
      <c r="C163" s="22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428">
        <f t="shared" si="199"/>
        <v>0</v>
      </c>
      <c r="P163" s="420"/>
      <c r="Q163" s="30" t="e">
        <f t="shared" si="213"/>
        <v>#DIV/0!</v>
      </c>
      <c r="R163" s="31" t="e">
        <f t="shared" si="214"/>
        <v>#DIV/0!</v>
      </c>
      <c r="S163" s="31" t="e">
        <f t="shared" si="215"/>
        <v>#DIV/0!</v>
      </c>
      <c r="T163" s="31" t="e">
        <f t="shared" si="216"/>
        <v>#DIV/0!</v>
      </c>
      <c r="U163" s="31" t="e">
        <f t="shared" si="217"/>
        <v>#DIV/0!</v>
      </c>
      <c r="V163" s="31" t="e">
        <f t="shared" si="218"/>
        <v>#DIV/0!</v>
      </c>
      <c r="W163" s="31" t="e">
        <f t="shared" si="219"/>
        <v>#DIV/0!</v>
      </c>
      <c r="X163" s="31" t="e">
        <f t="shared" si="220"/>
        <v>#DIV/0!</v>
      </c>
      <c r="Y163" s="31" t="e">
        <f t="shared" si="221"/>
        <v>#DIV/0!</v>
      </c>
      <c r="Z163" s="31" t="e">
        <f t="shared" si="222"/>
        <v>#DIV/0!</v>
      </c>
      <c r="AA163" s="31" t="e">
        <f t="shared" si="223"/>
        <v>#DIV/0!</v>
      </c>
      <c r="AB163" s="31" t="e">
        <f t="shared" si="224"/>
        <v>#DIV/0!</v>
      </c>
      <c r="AC163" s="47" t="e">
        <f t="shared" si="225"/>
        <v>#DIV/0!</v>
      </c>
    </row>
    <row r="164" spans="1:29" s="12" customFormat="1" x14ac:dyDescent="0.25">
      <c r="A164" s="278"/>
      <c r="B164" s="15" t="s">
        <v>262</v>
      </c>
      <c r="C164" s="44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31">
        <f t="shared" si="199"/>
        <v>0</v>
      </c>
      <c r="P164" s="422"/>
      <c r="Q164" s="34" t="e">
        <f t="shared" si="213"/>
        <v>#DIV/0!</v>
      </c>
      <c r="R164" s="14" t="e">
        <f t="shared" si="214"/>
        <v>#DIV/0!</v>
      </c>
      <c r="S164" s="14" t="e">
        <f t="shared" si="215"/>
        <v>#DIV/0!</v>
      </c>
      <c r="T164" s="14" t="e">
        <f t="shared" si="216"/>
        <v>#DIV/0!</v>
      </c>
      <c r="U164" s="14" t="e">
        <f t="shared" si="217"/>
        <v>#DIV/0!</v>
      </c>
      <c r="V164" s="14" t="e">
        <f t="shared" si="218"/>
        <v>#DIV/0!</v>
      </c>
      <c r="W164" s="14" t="e">
        <f t="shared" si="219"/>
        <v>#DIV/0!</v>
      </c>
      <c r="X164" s="14" t="e">
        <f t="shared" si="220"/>
        <v>#DIV/0!</v>
      </c>
      <c r="Y164" s="14" t="e">
        <f t="shared" si="221"/>
        <v>#DIV/0!</v>
      </c>
      <c r="Z164" s="14" t="e">
        <f t="shared" si="222"/>
        <v>#DIV/0!</v>
      </c>
      <c r="AA164" s="14" t="e">
        <f t="shared" si="223"/>
        <v>#DIV/0!</v>
      </c>
      <c r="AB164" s="14" t="e">
        <f t="shared" si="224"/>
        <v>#DIV/0!</v>
      </c>
      <c r="AC164" s="49" t="e">
        <f t="shared" si="225"/>
        <v>#DIV/0!</v>
      </c>
    </row>
    <row r="165" spans="1:29" x14ac:dyDescent="0.25">
      <c r="A165" s="278"/>
      <c r="B165" s="9" t="s">
        <v>22</v>
      </c>
      <c r="C165" s="22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428">
        <f t="shared" si="199"/>
        <v>0</v>
      </c>
      <c r="P165" s="420"/>
      <c r="Q165" s="30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47"/>
    </row>
    <row r="166" spans="1:29" x14ac:dyDescent="0.25">
      <c r="A166" s="278">
        <v>61100003</v>
      </c>
      <c r="B166" s="9" t="s">
        <v>263</v>
      </c>
      <c r="C166" s="22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428">
        <f t="shared" si="199"/>
        <v>0</v>
      </c>
      <c r="P166" s="420"/>
      <c r="Q166" s="30" t="e">
        <f t="shared" ref="Q166:Q169" si="226">C166/C$18</f>
        <v>#DIV/0!</v>
      </c>
      <c r="R166" s="31" t="e">
        <f t="shared" ref="R166:R169" si="227">D166/D$18</f>
        <v>#DIV/0!</v>
      </c>
      <c r="S166" s="31" t="e">
        <f t="shared" ref="S166:S169" si="228">E166/E$18</f>
        <v>#DIV/0!</v>
      </c>
      <c r="T166" s="31" t="e">
        <f t="shared" ref="T166:T169" si="229">F166/F$18</f>
        <v>#DIV/0!</v>
      </c>
      <c r="U166" s="31" t="e">
        <f t="shared" ref="U166:U169" si="230">G166/G$18</f>
        <v>#DIV/0!</v>
      </c>
      <c r="V166" s="31" t="e">
        <f t="shared" ref="V166:V169" si="231">H166/H$18</f>
        <v>#DIV/0!</v>
      </c>
      <c r="W166" s="31" t="e">
        <f t="shared" ref="W166:W169" si="232">I166/I$18</f>
        <v>#DIV/0!</v>
      </c>
      <c r="X166" s="31" t="e">
        <f t="shared" ref="X166:X169" si="233">J166/J$18</f>
        <v>#DIV/0!</v>
      </c>
      <c r="Y166" s="31" t="e">
        <f t="shared" ref="Y166:Y169" si="234">K166/K$18</f>
        <v>#DIV/0!</v>
      </c>
      <c r="Z166" s="31" t="e">
        <f t="shared" ref="Z166:Z169" si="235">L166/L$18</f>
        <v>#DIV/0!</v>
      </c>
      <c r="AA166" s="31" t="e">
        <f t="shared" ref="AA166:AA169" si="236">M166/M$18</f>
        <v>#DIV/0!</v>
      </c>
      <c r="AB166" s="31" t="e">
        <f t="shared" ref="AB166:AB169" si="237">N166/N$18</f>
        <v>#DIV/0!</v>
      </c>
      <c r="AC166" s="47" t="e">
        <f t="shared" ref="AC166:AC169" si="238">O166/O$18</f>
        <v>#DIV/0!</v>
      </c>
    </row>
    <row r="167" spans="1:29" x14ac:dyDescent="0.25">
      <c r="A167" s="278">
        <v>61100007</v>
      </c>
      <c r="B167" s="9" t="s">
        <v>264</v>
      </c>
      <c r="C167" s="22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428">
        <f t="shared" si="199"/>
        <v>0</v>
      </c>
      <c r="P167" s="420"/>
      <c r="Q167" s="30" t="e">
        <f t="shared" si="226"/>
        <v>#DIV/0!</v>
      </c>
      <c r="R167" s="31" t="e">
        <f t="shared" si="227"/>
        <v>#DIV/0!</v>
      </c>
      <c r="S167" s="31" t="e">
        <f t="shared" si="228"/>
        <v>#DIV/0!</v>
      </c>
      <c r="T167" s="31" t="e">
        <f t="shared" si="229"/>
        <v>#DIV/0!</v>
      </c>
      <c r="U167" s="31" t="e">
        <f t="shared" si="230"/>
        <v>#DIV/0!</v>
      </c>
      <c r="V167" s="31" t="e">
        <f t="shared" si="231"/>
        <v>#DIV/0!</v>
      </c>
      <c r="W167" s="31" t="e">
        <f t="shared" si="232"/>
        <v>#DIV/0!</v>
      </c>
      <c r="X167" s="31" t="e">
        <f t="shared" si="233"/>
        <v>#DIV/0!</v>
      </c>
      <c r="Y167" s="31" t="e">
        <f t="shared" si="234"/>
        <v>#DIV/0!</v>
      </c>
      <c r="Z167" s="31" t="e">
        <f t="shared" si="235"/>
        <v>#DIV/0!</v>
      </c>
      <c r="AA167" s="31" t="e">
        <f t="shared" si="236"/>
        <v>#DIV/0!</v>
      </c>
      <c r="AB167" s="31" t="e">
        <f t="shared" si="237"/>
        <v>#DIV/0!</v>
      </c>
      <c r="AC167" s="47" t="e">
        <f t="shared" si="238"/>
        <v>#DIV/0!</v>
      </c>
    </row>
    <row r="168" spans="1:29" s="12" customFormat="1" x14ac:dyDescent="0.25">
      <c r="A168" s="278"/>
      <c r="B168" s="15" t="s">
        <v>265</v>
      </c>
      <c r="C168" s="44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31">
        <f t="shared" si="199"/>
        <v>0</v>
      </c>
      <c r="P168" s="422"/>
      <c r="Q168" s="34" t="e">
        <f t="shared" si="226"/>
        <v>#DIV/0!</v>
      </c>
      <c r="R168" s="14" t="e">
        <f t="shared" si="227"/>
        <v>#DIV/0!</v>
      </c>
      <c r="S168" s="14" t="e">
        <f t="shared" si="228"/>
        <v>#DIV/0!</v>
      </c>
      <c r="T168" s="14" t="e">
        <f t="shared" si="229"/>
        <v>#DIV/0!</v>
      </c>
      <c r="U168" s="14" t="e">
        <f t="shared" si="230"/>
        <v>#DIV/0!</v>
      </c>
      <c r="V168" s="14" t="e">
        <f t="shared" si="231"/>
        <v>#DIV/0!</v>
      </c>
      <c r="W168" s="14" t="e">
        <f t="shared" si="232"/>
        <v>#DIV/0!</v>
      </c>
      <c r="X168" s="14" t="e">
        <f t="shared" si="233"/>
        <v>#DIV/0!</v>
      </c>
      <c r="Y168" s="14" t="e">
        <f t="shared" si="234"/>
        <v>#DIV/0!</v>
      </c>
      <c r="Z168" s="14" t="e">
        <f t="shared" si="235"/>
        <v>#DIV/0!</v>
      </c>
      <c r="AA168" s="14" t="e">
        <f t="shared" si="236"/>
        <v>#DIV/0!</v>
      </c>
      <c r="AB168" s="14" t="e">
        <f t="shared" si="237"/>
        <v>#DIV/0!</v>
      </c>
      <c r="AC168" s="49" t="e">
        <f t="shared" si="238"/>
        <v>#DIV/0!</v>
      </c>
    </row>
    <row r="169" spans="1:29" s="3" customFormat="1" x14ac:dyDescent="0.25">
      <c r="A169" s="278"/>
      <c r="B169" s="16" t="s">
        <v>23</v>
      </c>
      <c r="C169" s="117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434">
        <f t="shared" si="199"/>
        <v>0</v>
      </c>
      <c r="P169" s="422"/>
      <c r="Q169" s="33" t="e">
        <f t="shared" si="226"/>
        <v>#DIV/0!</v>
      </c>
      <c r="R169" s="5" t="e">
        <f t="shared" si="227"/>
        <v>#DIV/0!</v>
      </c>
      <c r="S169" s="5" t="e">
        <f t="shared" si="228"/>
        <v>#DIV/0!</v>
      </c>
      <c r="T169" s="5" t="e">
        <f t="shared" si="229"/>
        <v>#DIV/0!</v>
      </c>
      <c r="U169" s="5" t="e">
        <f t="shared" si="230"/>
        <v>#DIV/0!</v>
      </c>
      <c r="V169" s="5" t="e">
        <f t="shared" si="231"/>
        <v>#DIV/0!</v>
      </c>
      <c r="W169" s="5" t="e">
        <f t="shared" si="232"/>
        <v>#DIV/0!</v>
      </c>
      <c r="X169" s="5" t="e">
        <f t="shared" si="233"/>
        <v>#DIV/0!</v>
      </c>
      <c r="Y169" s="5" t="e">
        <f t="shared" si="234"/>
        <v>#DIV/0!</v>
      </c>
      <c r="Z169" s="5" t="e">
        <f t="shared" si="235"/>
        <v>#DIV/0!</v>
      </c>
      <c r="AA169" s="5" t="e">
        <f t="shared" si="236"/>
        <v>#DIV/0!</v>
      </c>
      <c r="AB169" s="5" t="e">
        <f t="shared" si="237"/>
        <v>#DIV/0!</v>
      </c>
      <c r="AC169" s="49" t="e">
        <f t="shared" si="238"/>
        <v>#DIV/0!</v>
      </c>
    </row>
    <row r="170" spans="1:29" x14ac:dyDescent="0.25">
      <c r="A170" s="278"/>
      <c r="B170" s="9" t="s">
        <v>24</v>
      </c>
      <c r="C170" s="22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428">
        <f t="shared" si="199"/>
        <v>0</v>
      </c>
      <c r="P170" s="420"/>
      <c r="Q170" s="30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47"/>
    </row>
    <row r="171" spans="1:29" x14ac:dyDescent="0.25">
      <c r="A171" s="278">
        <v>61400001</v>
      </c>
      <c r="B171" s="9" t="s">
        <v>266</v>
      </c>
      <c r="C171" s="22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428">
        <f t="shared" si="199"/>
        <v>0</v>
      </c>
      <c r="P171" s="420"/>
      <c r="Q171" s="30" t="e">
        <f t="shared" ref="Q171:Q186" si="239">C171/C$18</f>
        <v>#DIV/0!</v>
      </c>
      <c r="R171" s="31" t="e">
        <f t="shared" ref="R171:R186" si="240">D171/D$18</f>
        <v>#DIV/0!</v>
      </c>
      <c r="S171" s="31" t="e">
        <f t="shared" ref="S171:S186" si="241">E171/E$18</f>
        <v>#DIV/0!</v>
      </c>
      <c r="T171" s="31" t="e">
        <f t="shared" ref="T171:T186" si="242">F171/F$18</f>
        <v>#DIV/0!</v>
      </c>
      <c r="U171" s="31" t="e">
        <f t="shared" ref="U171:U186" si="243">G171/G$18</f>
        <v>#DIV/0!</v>
      </c>
      <c r="V171" s="31" t="e">
        <f t="shared" ref="V171:V186" si="244">H171/H$18</f>
        <v>#DIV/0!</v>
      </c>
      <c r="W171" s="31" t="e">
        <f t="shared" ref="W171:W186" si="245">I171/I$18</f>
        <v>#DIV/0!</v>
      </c>
      <c r="X171" s="31" t="e">
        <f t="shared" ref="X171:X186" si="246">J171/J$18</f>
        <v>#DIV/0!</v>
      </c>
      <c r="Y171" s="31" t="e">
        <f t="shared" ref="Y171:Y186" si="247">K171/K$18</f>
        <v>#DIV/0!</v>
      </c>
      <c r="Z171" s="31" t="e">
        <f t="shared" ref="Z171:Z186" si="248">L171/L$18</f>
        <v>#DIV/0!</v>
      </c>
      <c r="AA171" s="31" t="e">
        <f t="shared" ref="AA171:AA186" si="249">M171/M$18</f>
        <v>#DIV/0!</v>
      </c>
      <c r="AB171" s="31" t="e">
        <f t="shared" ref="AB171:AB186" si="250">N171/N$18</f>
        <v>#DIV/0!</v>
      </c>
      <c r="AC171" s="47" t="e">
        <f t="shared" ref="AC171:AC186" si="251">O171/O$18</f>
        <v>#DIV/0!</v>
      </c>
    </row>
    <row r="172" spans="1:29" x14ac:dyDescent="0.25">
      <c r="A172" s="278">
        <v>61400002</v>
      </c>
      <c r="B172" s="9" t="s">
        <v>267</v>
      </c>
      <c r="C172" s="22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428">
        <f t="shared" si="199"/>
        <v>0</v>
      </c>
      <c r="P172" s="420"/>
      <c r="Q172" s="30" t="e">
        <f t="shared" si="239"/>
        <v>#DIV/0!</v>
      </c>
      <c r="R172" s="31" t="e">
        <f t="shared" si="240"/>
        <v>#DIV/0!</v>
      </c>
      <c r="S172" s="31" t="e">
        <f t="shared" si="241"/>
        <v>#DIV/0!</v>
      </c>
      <c r="T172" s="31" t="e">
        <f t="shared" si="242"/>
        <v>#DIV/0!</v>
      </c>
      <c r="U172" s="31" t="e">
        <f t="shared" si="243"/>
        <v>#DIV/0!</v>
      </c>
      <c r="V172" s="31" t="e">
        <f t="shared" si="244"/>
        <v>#DIV/0!</v>
      </c>
      <c r="W172" s="31" t="e">
        <f t="shared" si="245"/>
        <v>#DIV/0!</v>
      </c>
      <c r="X172" s="31" t="e">
        <f t="shared" si="246"/>
        <v>#DIV/0!</v>
      </c>
      <c r="Y172" s="31" t="e">
        <f t="shared" si="247"/>
        <v>#DIV/0!</v>
      </c>
      <c r="Z172" s="31" t="e">
        <f t="shared" si="248"/>
        <v>#DIV/0!</v>
      </c>
      <c r="AA172" s="31" t="e">
        <f t="shared" si="249"/>
        <v>#DIV/0!</v>
      </c>
      <c r="AB172" s="31" t="e">
        <f t="shared" si="250"/>
        <v>#DIV/0!</v>
      </c>
      <c r="AC172" s="47" t="e">
        <f t="shared" si="251"/>
        <v>#DIV/0!</v>
      </c>
    </row>
    <row r="173" spans="1:29" s="12" customFormat="1" x14ac:dyDescent="0.25">
      <c r="A173" s="278"/>
      <c r="B173" s="15" t="s">
        <v>268</v>
      </c>
      <c r="C173" s="111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429">
        <f t="shared" si="199"/>
        <v>0</v>
      </c>
      <c r="P173" s="421"/>
      <c r="Q173" s="32" t="e">
        <f t="shared" si="239"/>
        <v>#DIV/0!</v>
      </c>
      <c r="R173" s="11" t="e">
        <f t="shared" si="240"/>
        <v>#DIV/0!</v>
      </c>
      <c r="S173" s="11" t="e">
        <f t="shared" si="241"/>
        <v>#DIV/0!</v>
      </c>
      <c r="T173" s="11" t="e">
        <f t="shared" si="242"/>
        <v>#DIV/0!</v>
      </c>
      <c r="U173" s="11" t="e">
        <f t="shared" si="243"/>
        <v>#DIV/0!</v>
      </c>
      <c r="V173" s="11" t="e">
        <f t="shared" si="244"/>
        <v>#DIV/0!</v>
      </c>
      <c r="W173" s="11" t="e">
        <f t="shared" si="245"/>
        <v>#DIV/0!</v>
      </c>
      <c r="X173" s="11" t="e">
        <f t="shared" si="246"/>
        <v>#DIV/0!</v>
      </c>
      <c r="Y173" s="11" t="e">
        <f t="shared" si="247"/>
        <v>#DIV/0!</v>
      </c>
      <c r="Z173" s="11" t="e">
        <f t="shared" si="248"/>
        <v>#DIV/0!</v>
      </c>
      <c r="AA173" s="11" t="e">
        <f t="shared" si="249"/>
        <v>#DIV/0!</v>
      </c>
      <c r="AB173" s="11" t="e">
        <f t="shared" si="250"/>
        <v>#DIV/0!</v>
      </c>
      <c r="AC173" s="48" t="e">
        <f t="shared" si="251"/>
        <v>#DIV/0!</v>
      </c>
    </row>
    <row r="174" spans="1:29" x14ac:dyDescent="0.25">
      <c r="A174" s="278"/>
      <c r="B174" s="9" t="s">
        <v>25</v>
      </c>
      <c r="C174" s="22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428">
        <f t="shared" si="199"/>
        <v>0</v>
      </c>
      <c r="P174" s="420"/>
      <c r="Q174" s="30" t="e">
        <f t="shared" si="239"/>
        <v>#DIV/0!</v>
      </c>
      <c r="R174" s="31" t="e">
        <f t="shared" si="240"/>
        <v>#DIV/0!</v>
      </c>
      <c r="S174" s="31" t="e">
        <f t="shared" si="241"/>
        <v>#DIV/0!</v>
      </c>
      <c r="T174" s="31" t="e">
        <f t="shared" si="242"/>
        <v>#DIV/0!</v>
      </c>
      <c r="U174" s="31" t="e">
        <f t="shared" si="243"/>
        <v>#DIV/0!</v>
      </c>
      <c r="V174" s="31" t="e">
        <f t="shared" si="244"/>
        <v>#DIV/0!</v>
      </c>
      <c r="W174" s="31" t="e">
        <f t="shared" si="245"/>
        <v>#DIV/0!</v>
      </c>
      <c r="X174" s="31" t="e">
        <f t="shared" si="246"/>
        <v>#DIV/0!</v>
      </c>
      <c r="Y174" s="31" t="e">
        <f t="shared" si="247"/>
        <v>#DIV/0!</v>
      </c>
      <c r="Z174" s="31" t="e">
        <f t="shared" si="248"/>
        <v>#DIV/0!</v>
      </c>
      <c r="AA174" s="31" t="e">
        <f t="shared" si="249"/>
        <v>#DIV/0!</v>
      </c>
      <c r="AB174" s="31" t="e">
        <f t="shared" si="250"/>
        <v>#DIV/0!</v>
      </c>
      <c r="AC174" s="47" t="e">
        <f t="shared" si="251"/>
        <v>#DIV/0!</v>
      </c>
    </row>
    <row r="175" spans="1:29" x14ac:dyDescent="0.25">
      <c r="A175" s="278">
        <v>42000005</v>
      </c>
      <c r="B175" s="9" t="s">
        <v>26</v>
      </c>
      <c r="C175" s="22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428">
        <f t="shared" si="199"/>
        <v>0</v>
      </c>
      <c r="P175" s="420"/>
      <c r="Q175" s="30" t="e">
        <f t="shared" si="239"/>
        <v>#DIV/0!</v>
      </c>
      <c r="R175" s="31" t="e">
        <f t="shared" si="240"/>
        <v>#DIV/0!</v>
      </c>
      <c r="S175" s="31" t="e">
        <f t="shared" si="241"/>
        <v>#DIV/0!</v>
      </c>
      <c r="T175" s="31" t="e">
        <f t="shared" si="242"/>
        <v>#DIV/0!</v>
      </c>
      <c r="U175" s="31" t="e">
        <f t="shared" si="243"/>
        <v>#DIV/0!</v>
      </c>
      <c r="V175" s="31" t="e">
        <f t="shared" si="244"/>
        <v>#DIV/0!</v>
      </c>
      <c r="W175" s="31" t="e">
        <f t="shared" si="245"/>
        <v>#DIV/0!</v>
      </c>
      <c r="X175" s="31" t="e">
        <f t="shared" si="246"/>
        <v>#DIV/0!</v>
      </c>
      <c r="Y175" s="31" t="e">
        <f t="shared" si="247"/>
        <v>#DIV/0!</v>
      </c>
      <c r="Z175" s="31" t="e">
        <f t="shared" si="248"/>
        <v>#DIV/0!</v>
      </c>
      <c r="AA175" s="31" t="e">
        <f t="shared" si="249"/>
        <v>#DIV/0!</v>
      </c>
      <c r="AB175" s="31" t="e">
        <f t="shared" si="250"/>
        <v>#DIV/0!</v>
      </c>
      <c r="AC175" s="47" t="e">
        <f t="shared" si="251"/>
        <v>#DIV/0!</v>
      </c>
    </row>
    <row r="176" spans="1:29" x14ac:dyDescent="0.25">
      <c r="A176" s="278"/>
      <c r="B176" s="9" t="s">
        <v>27</v>
      </c>
      <c r="C176" s="22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428">
        <f t="shared" si="199"/>
        <v>0</v>
      </c>
      <c r="P176" s="420"/>
      <c r="Q176" s="30" t="e">
        <f t="shared" si="239"/>
        <v>#DIV/0!</v>
      </c>
      <c r="R176" s="31" t="e">
        <f t="shared" si="240"/>
        <v>#DIV/0!</v>
      </c>
      <c r="S176" s="31" t="e">
        <f t="shared" si="241"/>
        <v>#DIV/0!</v>
      </c>
      <c r="T176" s="31" t="e">
        <f t="shared" si="242"/>
        <v>#DIV/0!</v>
      </c>
      <c r="U176" s="31" t="e">
        <f t="shared" si="243"/>
        <v>#DIV/0!</v>
      </c>
      <c r="V176" s="31" t="e">
        <f t="shared" si="244"/>
        <v>#DIV/0!</v>
      </c>
      <c r="W176" s="31" t="e">
        <f t="shared" si="245"/>
        <v>#DIV/0!</v>
      </c>
      <c r="X176" s="31" t="e">
        <f t="shared" si="246"/>
        <v>#DIV/0!</v>
      </c>
      <c r="Y176" s="31" t="e">
        <f t="shared" si="247"/>
        <v>#DIV/0!</v>
      </c>
      <c r="Z176" s="31" t="e">
        <f t="shared" si="248"/>
        <v>#DIV/0!</v>
      </c>
      <c r="AA176" s="31" t="e">
        <f t="shared" si="249"/>
        <v>#DIV/0!</v>
      </c>
      <c r="AB176" s="31" t="e">
        <f t="shared" si="250"/>
        <v>#DIV/0!</v>
      </c>
      <c r="AC176" s="47" t="e">
        <f t="shared" si="251"/>
        <v>#DIV/0!</v>
      </c>
    </row>
    <row r="177" spans="1:29" x14ac:dyDescent="0.25">
      <c r="A177" s="278">
        <v>61500002</v>
      </c>
      <c r="B177" s="3" t="s">
        <v>269</v>
      </c>
      <c r="C177" s="22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428">
        <f t="shared" si="199"/>
        <v>0</v>
      </c>
      <c r="P177" s="420"/>
      <c r="Q177" s="30" t="e">
        <f t="shared" si="239"/>
        <v>#DIV/0!</v>
      </c>
      <c r="R177" s="31" t="e">
        <f t="shared" si="240"/>
        <v>#DIV/0!</v>
      </c>
      <c r="S177" s="31" t="e">
        <f t="shared" si="241"/>
        <v>#DIV/0!</v>
      </c>
      <c r="T177" s="31" t="e">
        <f t="shared" si="242"/>
        <v>#DIV/0!</v>
      </c>
      <c r="U177" s="31" t="e">
        <f t="shared" si="243"/>
        <v>#DIV/0!</v>
      </c>
      <c r="V177" s="31" t="e">
        <f t="shared" si="244"/>
        <v>#DIV/0!</v>
      </c>
      <c r="W177" s="31" t="e">
        <f t="shared" si="245"/>
        <v>#DIV/0!</v>
      </c>
      <c r="X177" s="31" t="e">
        <f t="shared" si="246"/>
        <v>#DIV/0!</v>
      </c>
      <c r="Y177" s="31" t="e">
        <f t="shared" si="247"/>
        <v>#DIV/0!</v>
      </c>
      <c r="Z177" s="31" t="e">
        <f t="shared" si="248"/>
        <v>#DIV/0!</v>
      </c>
      <c r="AA177" s="31" t="e">
        <f t="shared" si="249"/>
        <v>#DIV/0!</v>
      </c>
      <c r="AB177" s="31" t="e">
        <f t="shared" si="250"/>
        <v>#DIV/0!</v>
      </c>
      <c r="AC177" s="47" t="e">
        <f t="shared" si="251"/>
        <v>#DIV/0!</v>
      </c>
    </row>
    <row r="178" spans="1:29" x14ac:dyDescent="0.25">
      <c r="A178" s="278">
        <v>61500003</v>
      </c>
      <c r="B178" s="3" t="s">
        <v>270</v>
      </c>
      <c r="C178" s="22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428">
        <f t="shared" si="199"/>
        <v>0</v>
      </c>
      <c r="P178" s="420"/>
      <c r="Q178" s="30" t="e">
        <f t="shared" si="239"/>
        <v>#DIV/0!</v>
      </c>
      <c r="R178" s="31" t="e">
        <f t="shared" si="240"/>
        <v>#DIV/0!</v>
      </c>
      <c r="S178" s="31" t="e">
        <f t="shared" si="241"/>
        <v>#DIV/0!</v>
      </c>
      <c r="T178" s="31" t="e">
        <f t="shared" si="242"/>
        <v>#DIV/0!</v>
      </c>
      <c r="U178" s="31" t="e">
        <f t="shared" si="243"/>
        <v>#DIV/0!</v>
      </c>
      <c r="V178" s="31" t="e">
        <f t="shared" si="244"/>
        <v>#DIV/0!</v>
      </c>
      <c r="W178" s="31" t="e">
        <f t="shared" si="245"/>
        <v>#DIV/0!</v>
      </c>
      <c r="X178" s="31" t="e">
        <f t="shared" si="246"/>
        <v>#DIV/0!</v>
      </c>
      <c r="Y178" s="31" t="e">
        <f t="shared" si="247"/>
        <v>#DIV/0!</v>
      </c>
      <c r="Z178" s="31" t="e">
        <f t="shared" si="248"/>
        <v>#DIV/0!</v>
      </c>
      <c r="AA178" s="31" t="e">
        <f t="shared" si="249"/>
        <v>#DIV/0!</v>
      </c>
      <c r="AB178" s="31" t="e">
        <f t="shared" si="250"/>
        <v>#DIV/0!</v>
      </c>
      <c r="AC178" s="47" t="e">
        <f t="shared" si="251"/>
        <v>#DIV/0!</v>
      </c>
    </row>
    <row r="179" spans="1:29" x14ac:dyDescent="0.25">
      <c r="A179" s="278">
        <v>61500004</v>
      </c>
      <c r="B179" s="3" t="s">
        <v>271</v>
      </c>
      <c r="C179" s="22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428">
        <f t="shared" si="199"/>
        <v>0</v>
      </c>
      <c r="P179" s="420"/>
      <c r="Q179" s="30" t="e">
        <f t="shared" si="239"/>
        <v>#DIV/0!</v>
      </c>
      <c r="R179" s="31" t="e">
        <f t="shared" si="240"/>
        <v>#DIV/0!</v>
      </c>
      <c r="S179" s="31" t="e">
        <f t="shared" si="241"/>
        <v>#DIV/0!</v>
      </c>
      <c r="T179" s="31" t="e">
        <f t="shared" si="242"/>
        <v>#DIV/0!</v>
      </c>
      <c r="U179" s="31" t="e">
        <f t="shared" si="243"/>
        <v>#DIV/0!</v>
      </c>
      <c r="V179" s="31" t="e">
        <f t="shared" si="244"/>
        <v>#DIV/0!</v>
      </c>
      <c r="W179" s="31" t="e">
        <f t="shared" si="245"/>
        <v>#DIV/0!</v>
      </c>
      <c r="X179" s="31" t="e">
        <f t="shared" si="246"/>
        <v>#DIV/0!</v>
      </c>
      <c r="Y179" s="31" t="e">
        <f t="shared" si="247"/>
        <v>#DIV/0!</v>
      </c>
      <c r="Z179" s="31" t="e">
        <f t="shared" si="248"/>
        <v>#DIV/0!</v>
      </c>
      <c r="AA179" s="31" t="e">
        <f t="shared" si="249"/>
        <v>#DIV/0!</v>
      </c>
      <c r="AB179" s="31" t="e">
        <f t="shared" si="250"/>
        <v>#DIV/0!</v>
      </c>
      <c r="AC179" s="47" t="e">
        <f t="shared" si="251"/>
        <v>#DIV/0!</v>
      </c>
    </row>
    <row r="180" spans="1:29" x14ac:dyDescent="0.25">
      <c r="A180" s="278">
        <v>61500005</v>
      </c>
      <c r="B180" s="3" t="s">
        <v>272</v>
      </c>
      <c r="C180" s="22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428">
        <f t="shared" si="199"/>
        <v>0</v>
      </c>
      <c r="P180" s="420"/>
      <c r="Q180" s="30" t="e">
        <f t="shared" si="239"/>
        <v>#DIV/0!</v>
      </c>
      <c r="R180" s="31" t="e">
        <f t="shared" si="240"/>
        <v>#DIV/0!</v>
      </c>
      <c r="S180" s="31" t="e">
        <f t="shared" si="241"/>
        <v>#DIV/0!</v>
      </c>
      <c r="T180" s="31" t="e">
        <f t="shared" si="242"/>
        <v>#DIV/0!</v>
      </c>
      <c r="U180" s="31" t="e">
        <f t="shared" si="243"/>
        <v>#DIV/0!</v>
      </c>
      <c r="V180" s="31" t="e">
        <f t="shared" si="244"/>
        <v>#DIV/0!</v>
      </c>
      <c r="W180" s="31" t="e">
        <f t="shared" si="245"/>
        <v>#DIV/0!</v>
      </c>
      <c r="X180" s="31" t="e">
        <f t="shared" si="246"/>
        <v>#DIV/0!</v>
      </c>
      <c r="Y180" s="31" t="e">
        <f t="shared" si="247"/>
        <v>#DIV/0!</v>
      </c>
      <c r="Z180" s="31" t="e">
        <f t="shared" si="248"/>
        <v>#DIV/0!</v>
      </c>
      <c r="AA180" s="31" t="e">
        <f t="shared" si="249"/>
        <v>#DIV/0!</v>
      </c>
      <c r="AB180" s="31" t="e">
        <f t="shared" si="250"/>
        <v>#DIV/0!</v>
      </c>
      <c r="AC180" s="47" t="e">
        <f t="shared" si="251"/>
        <v>#DIV/0!</v>
      </c>
    </row>
    <row r="181" spans="1:29" x14ac:dyDescent="0.25">
      <c r="A181" s="278">
        <v>61500007</v>
      </c>
      <c r="B181" s="3" t="s">
        <v>273</v>
      </c>
      <c r="C181" s="22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428">
        <f t="shared" si="199"/>
        <v>0</v>
      </c>
      <c r="P181" s="420"/>
      <c r="Q181" s="30" t="e">
        <f t="shared" si="239"/>
        <v>#DIV/0!</v>
      </c>
      <c r="R181" s="31" t="e">
        <f t="shared" si="240"/>
        <v>#DIV/0!</v>
      </c>
      <c r="S181" s="31" t="e">
        <f t="shared" si="241"/>
        <v>#DIV/0!</v>
      </c>
      <c r="T181" s="31" t="e">
        <f t="shared" si="242"/>
        <v>#DIV/0!</v>
      </c>
      <c r="U181" s="31" t="e">
        <f t="shared" si="243"/>
        <v>#DIV/0!</v>
      </c>
      <c r="V181" s="31" t="e">
        <f t="shared" si="244"/>
        <v>#DIV/0!</v>
      </c>
      <c r="W181" s="31" t="e">
        <f t="shared" si="245"/>
        <v>#DIV/0!</v>
      </c>
      <c r="X181" s="31" t="e">
        <f t="shared" si="246"/>
        <v>#DIV/0!</v>
      </c>
      <c r="Y181" s="31" t="e">
        <f t="shared" si="247"/>
        <v>#DIV/0!</v>
      </c>
      <c r="Z181" s="31" t="e">
        <f t="shared" si="248"/>
        <v>#DIV/0!</v>
      </c>
      <c r="AA181" s="31" t="e">
        <f t="shared" si="249"/>
        <v>#DIV/0!</v>
      </c>
      <c r="AB181" s="31" t="e">
        <f t="shared" si="250"/>
        <v>#DIV/0!</v>
      </c>
      <c r="AC181" s="47" t="e">
        <f t="shared" si="251"/>
        <v>#DIV/0!</v>
      </c>
    </row>
    <row r="182" spans="1:29" x14ac:dyDescent="0.25">
      <c r="A182" s="278">
        <v>61500008</v>
      </c>
      <c r="B182" s="3" t="s">
        <v>274</v>
      </c>
      <c r="C182" s="22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428">
        <f t="shared" si="199"/>
        <v>0</v>
      </c>
      <c r="P182" s="420"/>
      <c r="Q182" s="30" t="e">
        <f t="shared" si="239"/>
        <v>#DIV/0!</v>
      </c>
      <c r="R182" s="31" t="e">
        <f t="shared" si="240"/>
        <v>#DIV/0!</v>
      </c>
      <c r="S182" s="31" t="e">
        <f t="shared" si="241"/>
        <v>#DIV/0!</v>
      </c>
      <c r="T182" s="31" t="e">
        <f t="shared" si="242"/>
        <v>#DIV/0!</v>
      </c>
      <c r="U182" s="31" t="e">
        <f t="shared" si="243"/>
        <v>#DIV/0!</v>
      </c>
      <c r="V182" s="31" t="e">
        <f t="shared" si="244"/>
        <v>#DIV/0!</v>
      </c>
      <c r="W182" s="31" t="e">
        <f t="shared" si="245"/>
        <v>#DIV/0!</v>
      </c>
      <c r="X182" s="31" t="e">
        <f t="shared" si="246"/>
        <v>#DIV/0!</v>
      </c>
      <c r="Y182" s="31" t="e">
        <f t="shared" si="247"/>
        <v>#DIV/0!</v>
      </c>
      <c r="Z182" s="31" t="e">
        <f t="shared" si="248"/>
        <v>#DIV/0!</v>
      </c>
      <c r="AA182" s="31" t="e">
        <f t="shared" si="249"/>
        <v>#DIV/0!</v>
      </c>
      <c r="AB182" s="31" t="e">
        <f t="shared" si="250"/>
        <v>#DIV/0!</v>
      </c>
      <c r="AC182" s="47" t="e">
        <f t="shared" si="251"/>
        <v>#DIV/0!</v>
      </c>
    </row>
    <row r="183" spans="1:29" x14ac:dyDescent="0.25">
      <c r="A183" s="278"/>
      <c r="B183" s="9" t="s">
        <v>275</v>
      </c>
      <c r="C183" s="22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428">
        <f t="shared" si="199"/>
        <v>0</v>
      </c>
      <c r="P183" s="420"/>
      <c r="Q183" s="33" t="e">
        <f t="shared" si="239"/>
        <v>#DIV/0!</v>
      </c>
      <c r="R183" s="5" t="e">
        <f t="shared" si="240"/>
        <v>#DIV/0!</v>
      </c>
      <c r="S183" s="5" t="e">
        <f t="shared" si="241"/>
        <v>#DIV/0!</v>
      </c>
      <c r="T183" s="5" t="e">
        <f t="shared" si="242"/>
        <v>#DIV/0!</v>
      </c>
      <c r="U183" s="5" t="e">
        <f t="shared" si="243"/>
        <v>#DIV/0!</v>
      </c>
      <c r="V183" s="5" t="e">
        <f t="shared" si="244"/>
        <v>#DIV/0!</v>
      </c>
      <c r="W183" s="5" t="e">
        <f t="shared" si="245"/>
        <v>#DIV/0!</v>
      </c>
      <c r="X183" s="5" t="e">
        <f t="shared" si="246"/>
        <v>#DIV/0!</v>
      </c>
      <c r="Y183" s="5" t="e">
        <f t="shared" si="247"/>
        <v>#DIV/0!</v>
      </c>
      <c r="Z183" s="5" t="e">
        <f t="shared" si="248"/>
        <v>#DIV/0!</v>
      </c>
      <c r="AA183" s="5" t="e">
        <f t="shared" si="249"/>
        <v>#DIV/0!</v>
      </c>
      <c r="AB183" s="5" t="e">
        <f t="shared" si="250"/>
        <v>#DIV/0!</v>
      </c>
      <c r="AC183" s="49" t="e">
        <f t="shared" si="251"/>
        <v>#DIV/0!</v>
      </c>
    </row>
    <row r="184" spans="1:29" s="3" customFormat="1" x14ac:dyDescent="0.25">
      <c r="A184" s="278"/>
      <c r="B184" s="16" t="s">
        <v>28</v>
      </c>
      <c r="C184" s="119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435">
        <f t="shared" si="199"/>
        <v>0</v>
      </c>
      <c r="P184" s="420"/>
      <c r="Q184" s="30" t="e">
        <f t="shared" si="239"/>
        <v>#DIV/0!</v>
      </c>
      <c r="R184" s="31" t="e">
        <f t="shared" si="240"/>
        <v>#DIV/0!</v>
      </c>
      <c r="S184" s="31" t="e">
        <f t="shared" si="241"/>
        <v>#DIV/0!</v>
      </c>
      <c r="T184" s="31" t="e">
        <f t="shared" si="242"/>
        <v>#DIV/0!</v>
      </c>
      <c r="U184" s="31" t="e">
        <f t="shared" si="243"/>
        <v>#DIV/0!</v>
      </c>
      <c r="V184" s="31" t="e">
        <f t="shared" si="244"/>
        <v>#DIV/0!</v>
      </c>
      <c r="W184" s="31" t="e">
        <f t="shared" si="245"/>
        <v>#DIV/0!</v>
      </c>
      <c r="X184" s="31" t="e">
        <f t="shared" si="246"/>
        <v>#DIV/0!</v>
      </c>
      <c r="Y184" s="31" t="e">
        <f t="shared" si="247"/>
        <v>#DIV/0!</v>
      </c>
      <c r="Z184" s="31" t="e">
        <f t="shared" si="248"/>
        <v>#DIV/0!</v>
      </c>
      <c r="AA184" s="31" t="e">
        <f t="shared" si="249"/>
        <v>#DIV/0!</v>
      </c>
      <c r="AB184" s="31" t="e">
        <f t="shared" si="250"/>
        <v>#DIV/0!</v>
      </c>
      <c r="AC184" s="47" t="e">
        <f t="shared" si="251"/>
        <v>#DIV/0!</v>
      </c>
    </row>
    <row r="185" spans="1:29" s="12" customFormat="1" x14ac:dyDescent="0.25">
      <c r="A185" s="278">
        <v>61700001</v>
      </c>
      <c r="B185" s="15" t="s">
        <v>29</v>
      </c>
      <c r="C185" s="44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31">
        <f t="shared" si="199"/>
        <v>0</v>
      </c>
      <c r="P185" s="422"/>
      <c r="Q185" s="34" t="e">
        <f t="shared" si="239"/>
        <v>#DIV/0!</v>
      </c>
      <c r="R185" s="14" t="e">
        <f t="shared" si="240"/>
        <v>#DIV/0!</v>
      </c>
      <c r="S185" s="14" t="e">
        <f t="shared" si="241"/>
        <v>#DIV/0!</v>
      </c>
      <c r="T185" s="14" t="e">
        <f t="shared" si="242"/>
        <v>#DIV/0!</v>
      </c>
      <c r="U185" s="14" t="e">
        <f t="shared" si="243"/>
        <v>#DIV/0!</v>
      </c>
      <c r="V185" s="14" t="e">
        <f t="shared" si="244"/>
        <v>#DIV/0!</v>
      </c>
      <c r="W185" s="14" t="e">
        <f t="shared" si="245"/>
        <v>#DIV/0!</v>
      </c>
      <c r="X185" s="14" t="e">
        <f t="shared" si="246"/>
        <v>#DIV/0!</v>
      </c>
      <c r="Y185" s="14" t="e">
        <f t="shared" si="247"/>
        <v>#DIV/0!</v>
      </c>
      <c r="Z185" s="14" t="e">
        <f t="shared" si="248"/>
        <v>#DIV/0!</v>
      </c>
      <c r="AA185" s="14" t="e">
        <f t="shared" si="249"/>
        <v>#DIV/0!</v>
      </c>
      <c r="AB185" s="14" t="e">
        <f t="shared" si="250"/>
        <v>#DIV/0!</v>
      </c>
      <c r="AC185" s="49" t="e">
        <f t="shared" si="251"/>
        <v>#DIV/0!</v>
      </c>
    </row>
    <row r="186" spans="1:29" s="51" customFormat="1" ht="12" thickBot="1" x14ac:dyDescent="0.3">
      <c r="A186" s="280"/>
      <c r="B186" s="122" t="s">
        <v>30</v>
      </c>
      <c r="C186" s="123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436">
        <f t="shared" si="199"/>
        <v>0</v>
      </c>
      <c r="P186" s="424"/>
      <c r="Q186" s="125" t="e">
        <f t="shared" si="239"/>
        <v>#DIV/0!</v>
      </c>
      <c r="R186" s="126" t="e">
        <f t="shared" si="240"/>
        <v>#DIV/0!</v>
      </c>
      <c r="S186" s="126" t="e">
        <f t="shared" si="241"/>
        <v>#DIV/0!</v>
      </c>
      <c r="T186" s="126" t="e">
        <f t="shared" si="242"/>
        <v>#DIV/0!</v>
      </c>
      <c r="U186" s="126" t="e">
        <f t="shared" si="243"/>
        <v>#DIV/0!</v>
      </c>
      <c r="V186" s="126" t="e">
        <f t="shared" si="244"/>
        <v>#DIV/0!</v>
      </c>
      <c r="W186" s="126" t="e">
        <f t="shared" si="245"/>
        <v>#DIV/0!</v>
      </c>
      <c r="X186" s="126" t="e">
        <f t="shared" si="246"/>
        <v>#DIV/0!</v>
      </c>
      <c r="Y186" s="126" t="e">
        <f t="shared" si="247"/>
        <v>#DIV/0!</v>
      </c>
      <c r="Z186" s="126" t="e">
        <f t="shared" si="248"/>
        <v>#DIV/0!</v>
      </c>
      <c r="AA186" s="126" t="e">
        <f t="shared" si="249"/>
        <v>#DIV/0!</v>
      </c>
      <c r="AB186" s="126" t="e">
        <f t="shared" si="250"/>
        <v>#DIV/0!</v>
      </c>
      <c r="AC186" s="50" t="e">
        <f t="shared" si="251"/>
        <v>#DIV/0!</v>
      </c>
    </row>
    <row r="187" spans="1:29" x14ac:dyDescent="0.25">
      <c r="B187" s="9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132"/>
      <c r="U187" s="4"/>
      <c r="V187" s="4"/>
      <c r="W187" s="4"/>
      <c r="X187" s="4"/>
      <c r="Y187" s="4"/>
      <c r="Z187" s="4"/>
      <c r="AA187" s="4"/>
      <c r="AB187" s="4"/>
    </row>
  </sheetData>
  <mergeCells count="2">
    <mergeCell ref="C4:O4"/>
    <mergeCell ref="Q4:AC4"/>
  </mergeCells>
  <phoneticPr fontId="3" type="noConversion"/>
  <pageMargins left="0.75" right="0.75" top="0.75" bottom="0.75" header="0.03" footer="0.03"/>
  <pageSetup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18"/>
  <sheetViews>
    <sheetView zoomScale="90" zoomScaleNormal="90" workbookViewId="0">
      <pane xSplit="2" ySplit="5" topLeftCell="C6" activePane="bottomRight" state="frozen"/>
      <selection pane="topRight" activeCell="B1" sqref="B1"/>
      <selection pane="bottomLeft" activeCell="A4" sqref="A4"/>
      <selection pane="bottomRight" activeCell="M86" sqref="M86"/>
    </sheetView>
  </sheetViews>
  <sheetFormatPr defaultColWidth="8.88671875" defaultRowHeight="11.5" outlineLevelCol="2" x14ac:dyDescent="0.25"/>
  <cols>
    <col min="1" max="1" width="11.6640625" style="2" customWidth="1"/>
    <col min="2" max="2" width="31.33203125" style="2" customWidth="1"/>
    <col min="3" max="3" width="14.33203125" style="2" customWidth="1"/>
    <col min="4" max="4" width="14.33203125" style="2" bestFit="1" customWidth="1"/>
    <col min="5" max="5" width="15.33203125" style="2" bestFit="1" customWidth="1"/>
    <col min="6" max="6" width="12.33203125" style="2" customWidth="1"/>
    <col min="7" max="7" width="8.88671875" style="58" customWidth="1"/>
    <col min="8" max="8" width="8.33203125" style="582" hidden="1" customWidth="1" collapsed="1"/>
    <col min="9" max="20" width="14" style="6" customWidth="1" outlineLevel="1"/>
    <col min="21" max="21" width="15.21875" style="133" customWidth="1"/>
    <col min="22" max="33" width="12.33203125" style="6" hidden="1" customWidth="1" outlineLevel="2"/>
    <col min="34" max="34" width="14.21875" style="283" customWidth="1" outlineLevel="1" collapsed="1"/>
    <col min="35" max="35" width="11.33203125" style="582"/>
    <col min="36" max="36" width="8.88671875" style="58"/>
    <col min="37" max="16384" width="8.88671875" style="2"/>
  </cols>
  <sheetData>
    <row r="1" spans="1:36" ht="12" thickBot="1" x14ac:dyDescent="0.3">
      <c r="B1" s="578" t="s">
        <v>116</v>
      </c>
      <c r="G1" s="437" t="s">
        <v>633</v>
      </c>
      <c r="H1" s="579" t="s">
        <v>655</v>
      </c>
      <c r="U1" s="6"/>
      <c r="AI1" s="580"/>
    </row>
    <row r="2" spans="1:36" ht="12" thickBot="1" x14ac:dyDescent="0.3">
      <c r="B2" s="581" t="s">
        <v>0</v>
      </c>
      <c r="G2" s="438" t="s">
        <v>632</v>
      </c>
      <c r="H2" s="579" t="s">
        <v>656</v>
      </c>
      <c r="S2" s="695">
        <v>0.5</v>
      </c>
      <c r="T2" s="109" t="s">
        <v>637</v>
      </c>
      <c r="U2" s="409" t="e">
        <f>S2*U3</f>
        <v>#DIV/0!</v>
      </c>
      <c r="V2" s="6" t="s">
        <v>658</v>
      </c>
      <c r="AI2" s="580"/>
    </row>
    <row r="3" spans="1:36" ht="12" thickBot="1" x14ac:dyDescent="0.3">
      <c r="B3" s="128"/>
      <c r="C3" s="17"/>
      <c r="D3" s="17"/>
      <c r="E3" s="17"/>
      <c r="F3" s="17"/>
      <c r="G3" s="439" t="s">
        <v>659</v>
      </c>
      <c r="H3" s="579" t="s">
        <v>660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09" t="s">
        <v>103</v>
      </c>
      <c r="U3" s="163" t="e">
        <f>(U18-E18)/E18</f>
        <v>#DIV/0!</v>
      </c>
      <c r="V3" s="1" t="s">
        <v>654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284"/>
    </row>
    <row r="4" spans="1:36" ht="13.25" customHeight="1" x14ac:dyDescent="0.25">
      <c r="C4" s="722" t="s">
        <v>100</v>
      </c>
      <c r="D4" s="723"/>
      <c r="E4" s="724"/>
      <c r="F4" s="727" t="s">
        <v>101</v>
      </c>
      <c r="G4" s="732" t="s">
        <v>103</v>
      </c>
      <c r="H4" s="580"/>
      <c r="I4" s="734" t="s">
        <v>641</v>
      </c>
      <c r="J4" s="735"/>
      <c r="K4" s="735"/>
      <c r="L4" s="735"/>
      <c r="M4" s="735"/>
      <c r="N4" s="737"/>
      <c r="O4" s="734" t="s">
        <v>642</v>
      </c>
      <c r="P4" s="735"/>
      <c r="Q4" s="735"/>
      <c r="R4" s="735"/>
      <c r="S4" s="735"/>
      <c r="T4" s="736"/>
      <c r="U4" s="725" t="s">
        <v>94</v>
      </c>
      <c r="V4" s="729" t="s">
        <v>102</v>
      </c>
      <c r="W4" s="730"/>
      <c r="X4" s="730"/>
      <c r="Y4" s="730"/>
      <c r="Z4" s="730"/>
      <c r="AA4" s="730"/>
      <c r="AB4" s="730"/>
      <c r="AC4" s="730"/>
      <c r="AD4" s="730"/>
      <c r="AE4" s="730"/>
      <c r="AF4" s="730"/>
      <c r="AG4" s="730"/>
      <c r="AH4" s="731"/>
      <c r="AI4" s="580"/>
    </row>
    <row r="5" spans="1:36" ht="12" thickBot="1" x14ac:dyDescent="0.3">
      <c r="B5" s="129"/>
      <c r="C5" s="134">
        <v>9</v>
      </c>
      <c r="D5" s="149" t="s">
        <v>105</v>
      </c>
      <c r="E5" s="148">
        <v>12</v>
      </c>
      <c r="F5" s="728"/>
      <c r="G5" s="733"/>
      <c r="H5" s="582" t="s">
        <v>728</v>
      </c>
      <c r="I5" s="164" t="s">
        <v>1</v>
      </c>
      <c r="J5" s="165" t="s">
        <v>2</v>
      </c>
      <c r="K5" s="165" t="s">
        <v>3</v>
      </c>
      <c r="L5" s="165" t="s">
        <v>31</v>
      </c>
      <c r="M5" s="165" t="s">
        <v>33</v>
      </c>
      <c r="N5" s="231" t="s">
        <v>34</v>
      </c>
      <c r="O5" s="164" t="s">
        <v>35</v>
      </c>
      <c r="P5" s="165" t="s">
        <v>36</v>
      </c>
      <c r="Q5" s="165" t="s">
        <v>37</v>
      </c>
      <c r="R5" s="165" t="s">
        <v>38</v>
      </c>
      <c r="S5" s="165" t="s">
        <v>39</v>
      </c>
      <c r="T5" s="165" t="s">
        <v>40</v>
      </c>
      <c r="U5" s="726"/>
      <c r="V5" s="166" t="s">
        <v>1</v>
      </c>
      <c r="W5" s="167" t="s">
        <v>2</v>
      </c>
      <c r="X5" s="167" t="s">
        <v>3</v>
      </c>
      <c r="Y5" s="167" t="s">
        <v>31</v>
      </c>
      <c r="Z5" s="167" t="s">
        <v>33</v>
      </c>
      <c r="AA5" s="167" t="s">
        <v>34</v>
      </c>
      <c r="AB5" s="167" t="s">
        <v>35</v>
      </c>
      <c r="AC5" s="167" t="s">
        <v>36</v>
      </c>
      <c r="AD5" s="167" t="s">
        <v>37</v>
      </c>
      <c r="AE5" s="167" t="s">
        <v>38</v>
      </c>
      <c r="AF5" s="167" t="s">
        <v>39</v>
      </c>
      <c r="AG5" s="167" t="s">
        <v>40</v>
      </c>
      <c r="AH5" s="285" t="s">
        <v>94</v>
      </c>
    </row>
    <row r="6" spans="1:36" x14ac:dyDescent="0.25">
      <c r="A6" s="58">
        <f>'งบกำไรขาดทุน ปี 2025'!A6</f>
        <v>0</v>
      </c>
      <c r="B6" s="9" t="str">
        <f>'งบกำไรขาดทุน ปี 2025'!B6</f>
        <v>รายได้</v>
      </c>
      <c r="C6" s="89"/>
      <c r="D6" s="9"/>
      <c r="E6" s="90"/>
      <c r="F6" s="220"/>
      <c r="G6" s="440"/>
      <c r="H6" s="580"/>
      <c r="I6" s="168"/>
      <c r="J6" s="169"/>
      <c r="K6" s="169"/>
      <c r="L6" s="169"/>
      <c r="M6" s="169"/>
      <c r="N6" s="232"/>
      <c r="O6" s="168"/>
      <c r="P6" s="169"/>
      <c r="Q6" s="169"/>
      <c r="R6" s="169"/>
      <c r="S6" s="169"/>
      <c r="T6" s="245"/>
      <c r="U6" s="170"/>
      <c r="V6" s="175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1"/>
      <c r="AH6" s="286"/>
      <c r="AI6" s="580"/>
      <c r="AJ6" s="444">
        <f>IFERROR(U6/E6,0)-1</f>
        <v>-1</v>
      </c>
    </row>
    <row r="7" spans="1:36" x14ac:dyDescent="0.25">
      <c r="A7" s="58">
        <f>'งบกำไรขาดทุน ปี 2025'!A7</f>
        <v>0</v>
      </c>
      <c r="B7" s="9" t="str">
        <f>'งบกำไรขาดทุน ปี 2025'!B7</f>
        <v>รายได้จากการขายและอื่นๆ</v>
      </c>
      <c r="C7" s="89"/>
      <c r="D7" s="9"/>
      <c r="E7" s="90"/>
      <c r="F7" s="220"/>
      <c r="G7" s="440"/>
      <c r="H7" s="580"/>
      <c r="I7" s="137"/>
      <c r="J7" s="105"/>
      <c r="K7" s="105"/>
      <c r="L7" s="105"/>
      <c r="M7" s="105"/>
      <c r="N7" s="233"/>
      <c r="O7" s="137"/>
      <c r="P7" s="105"/>
      <c r="Q7" s="105"/>
      <c r="R7" s="105"/>
      <c r="S7" s="105"/>
      <c r="T7" s="246"/>
      <c r="U7" s="154"/>
      <c r="V7" s="20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87"/>
      <c r="AI7" s="580"/>
      <c r="AJ7" s="444">
        <f t="shared" ref="AJ7:AJ71" si="0">IFERROR(U7/E7,0)-1</f>
        <v>-1</v>
      </c>
    </row>
    <row r="8" spans="1:36" x14ac:dyDescent="0.25">
      <c r="A8" s="58">
        <f>'งบกำไรขาดทุน ปี 2025'!A8</f>
        <v>41100001</v>
      </c>
      <c r="B8" s="9" t="str">
        <f>'งบกำไรขาดทุน ปี 2025'!B8</f>
        <v>รายได้จากการขาย - OPD/IPD</v>
      </c>
      <c r="C8" s="20">
        <f>'งบกำไรขาดทุน ปี 2025'!O8</f>
        <v>0</v>
      </c>
      <c r="D8" s="21">
        <f>C8/$C$5</f>
        <v>0</v>
      </c>
      <c r="E8" s="141">
        <f>D8*$E$5</f>
        <v>0</v>
      </c>
      <c r="F8" s="221" t="e">
        <f t="shared" ref="F8:F18" si="1">E8/$E$18</f>
        <v>#DIV/0!</v>
      </c>
      <c r="G8" s="441"/>
      <c r="H8" s="582" t="s">
        <v>630</v>
      </c>
      <c r="I8" s="137">
        <f>'การลงระหว่างเดือน ปี 2026'!E7</f>
        <v>0</v>
      </c>
      <c r="J8" s="105">
        <f>'การลงระหว่างเดือน ปี 2026'!H7</f>
        <v>0</v>
      </c>
      <c r="K8" s="105">
        <f>'การลงระหว่างเดือน ปี 2026'!K7</f>
        <v>0</v>
      </c>
      <c r="L8" s="105">
        <f>'การลงระหว่างเดือน ปี 2026'!N7</f>
        <v>0</v>
      </c>
      <c r="M8" s="105">
        <f>'การลงระหว่างเดือน ปี 2026'!Q7</f>
        <v>0</v>
      </c>
      <c r="N8" s="233">
        <f>'การลงระหว่างเดือน ปี 2026'!T7</f>
        <v>0</v>
      </c>
      <c r="O8" s="137">
        <f>'การลงระหว่างเดือน ปี 2026'!W7</f>
        <v>0</v>
      </c>
      <c r="P8" s="105">
        <f>'การลงระหว่างเดือน ปี 2026'!Z7</f>
        <v>0</v>
      </c>
      <c r="Q8" s="105">
        <f>'การลงระหว่างเดือน ปี 2026'!AC7</f>
        <v>0</v>
      </c>
      <c r="R8" s="105">
        <f>'การลงระหว่างเดือน ปี 2026'!AF7</f>
        <v>0</v>
      </c>
      <c r="S8" s="105">
        <f>'การลงระหว่างเดือน ปี 2026'!AI7</f>
        <v>0</v>
      </c>
      <c r="T8" s="246">
        <f>'การลงระหว่างเดือน ปี 2026'!AL7</f>
        <v>0</v>
      </c>
      <c r="U8" s="154">
        <f>SUM(I8:T8)</f>
        <v>0</v>
      </c>
      <c r="V8" s="91" t="e">
        <f t="shared" ref="V8:V18" si="2">I8/$I$18</f>
        <v>#DIV/0!</v>
      </c>
      <c r="W8" s="55" t="e">
        <f t="shared" ref="W8:W18" si="3">J8/$J$18</f>
        <v>#DIV/0!</v>
      </c>
      <c r="X8" s="55" t="e">
        <f t="shared" ref="X8:X18" si="4">K8/$K$18</f>
        <v>#DIV/0!</v>
      </c>
      <c r="Y8" s="55" t="e">
        <f t="shared" ref="Y8:Y18" si="5">L8/$L$18</f>
        <v>#DIV/0!</v>
      </c>
      <c r="Z8" s="55" t="e">
        <f t="shared" ref="Z8:Z18" si="6">M8/$M$18</f>
        <v>#DIV/0!</v>
      </c>
      <c r="AA8" s="55" t="e">
        <f t="shared" ref="AA8:AA18" si="7">N8/$N$18</f>
        <v>#DIV/0!</v>
      </c>
      <c r="AB8" s="55" t="e">
        <f t="shared" ref="AB8:AB18" si="8">O8/$O$18</f>
        <v>#DIV/0!</v>
      </c>
      <c r="AC8" s="55" t="e">
        <f t="shared" ref="AC8:AC18" si="9">P8/$P$18</f>
        <v>#DIV/0!</v>
      </c>
      <c r="AD8" s="55" t="e">
        <f t="shared" ref="AD8:AD18" si="10">Q8/$Q$18</f>
        <v>#DIV/0!</v>
      </c>
      <c r="AE8" s="55" t="e">
        <f t="shared" ref="AE8:AE18" si="11">R8/$R$18</f>
        <v>#DIV/0!</v>
      </c>
      <c r="AF8" s="55" t="e">
        <f t="shared" ref="AF8:AF18" si="12">S8/$S$18</f>
        <v>#DIV/0!</v>
      </c>
      <c r="AG8" s="55" t="e">
        <f t="shared" ref="AG8:AG18" si="13">T8/$T$18</f>
        <v>#DIV/0!</v>
      </c>
      <c r="AH8" s="288" t="e">
        <f t="shared" ref="AH8:AH18" si="14">U8/$U$18</f>
        <v>#DIV/0!</v>
      </c>
      <c r="AI8" s="582" t="s">
        <v>630</v>
      </c>
      <c r="AJ8" s="444">
        <f t="shared" si="0"/>
        <v>-1</v>
      </c>
    </row>
    <row r="9" spans="1:36" x14ac:dyDescent="0.25">
      <c r="A9" s="58">
        <f>'งบกำไรขาดทุน ปี 2025'!A9</f>
        <v>41200001</v>
      </c>
      <c r="B9" s="9" t="str">
        <f>'งบกำไรขาดทุน ปี 2025'!B9</f>
        <v>รายได้จากการขาย - Grooming</v>
      </c>
      <c r="C9" s="20">
        <f>'งบกำไรขาดทุน ปี 2025'!O9</f>
        <v>0</v>
      </c>
      <c r="D9" s="21">
        <f t="shared" ref="D9:D76" si="15">C9/$C$5</f>
        <v>0</v>
      </c>
      <c r="E9" s="141">
        <f t="shared" ref="E9:E18" si="16">D9*$E$5</f>
        <v>0</v>
      </c>
      <c r="F9" s="221" t="e">
        <f t="shared" si="1"/>
        <v>#DIV/0!</v>
      </c>
      <c r="G9" s="441"/>
      <c r="H9" s="582" t="s">
        <v>630</v>
      </c>
      <c r="I9" s="137">
        <f>'การลงระหว่างเดือน ปี 2026'!E8</f>
        <v>0</v>
      </c>
      <c r="J9" s="105">
        <f>'การลงระหว่างเดือน ปี 2026'!H8</f>
        <v>0</v>
      </c>
      <c r="K9" s="105">
        <f>'การลงระหว่างเดือน ปี 2026'!K8</f>
        <v>0</v>
      </c>
      <c r="L9" s="105">
        <f>'การลงระหว่างเดือน ปี 2026'!N8</f>
        <v>0</v>
      </c>
      <c r="M9" s="105">
        <f>'การลงระหว่างเดือน ปี 2026'!Q8</f>
        <v>0</v>
      </c>
      <c r="N9" s="233">
        <f>'การลงระหว่างเดือน ปี 2026'!T8</f>
        <v>0</v>
      </c>
      <c r="O9" s="137">
        <f>'การลงระหว่างเดือน ปี 2026'!W8</f>
        <v>0</v>
      </c>
      <c r="P9" s="105">
        <f>'การลงระหว่างเดือน ปี 2026'!Z8</f>
        <v>0</v>
      </c>
      <c r="Q9" s="105">
        <f>'การลงระหว่างเดือน ปี 2026'!AC8</f>
        <v>0</v>
      </c>
      <c r="R9" s="105">
        <f>'การลงระหว่างเดือน ปี 2026'!AF8</f>
        <v>0</v>
      </c>
      <c r="S9" s="105">
        <f>'การลงระหว่างเดือน ปี 2026'!AI8</f>
        <v>0</v>
      </c>
      <c r="T9" s="246">
        <f>'การลงระหว่างเดือน ปี 2026'!AL8</f>
        <v>0</v>
      </c>
      <c r="U9" s="154">
        <f t="shared" ref="U9:U12" si="17">SUM(I9:T9)</f>
        <v>0</v>
      </c>
      <c r="V9" s="91" t="e">
        <f t="shared" si="2"/>
        <v>#DIV/0!</v>
      </c>
      <c r="W9" s="55" t="e">
        <f t="shared" si="3"/>
        <v>#DIV/0!</v>
      </c>
      <c r="X9" s="55" t="e">
        <f t="shared" si="4"/>
        <v>#DIV/0!</v>
      </c>
      <c r="Y9" s="55" t="e">
        <f t="shared" si="5"/>
        <v>#DIV/0!</v>
      </c>
      <c r="Z9" s="55" t="e">
        <f t="shared" si="6"/>
        <v>#DIV/0!</v>
      </c>
      <c r="AA9" s="55" t="e">
        <f t="shared" si="7"/>
        <v>#DIV/0!</v>
      </c>
      <c r="AB9" s="55" t="e">
        <f t="shared" si="8"/>
        <v>#DIV/0!</v>
      </c>
      <c r="AC9" s="55" t="e">
        <f t="shared" si="9"/>
        <v>#DIV/0!</v>
      </c>
      <c r="AD9" s="55" t="e">
        <f t="shared" si="10"/>
        <v>#DIV/0!</v>
      </c>
      <c r="AE9" s="55" t="e">
        <f t="shared" si="11"/>
        <v>#DIV/0!</v>
      </c>
      <c r="AF9" s="55" t="e">
        <f t="shared" si="12"/>
        <v>#DIV/0!</v>
      </c>
      <c r="AG9" s="55" t="e">
        <f t="shared" si="13"/>
        <v>#DIV/0!</v>
      </c>
      <c r="AH9" s="288" t="e">
        <f t="shared" si="14"/>
        <v>#DIV/0!</v>
      </c>
      <c r="AI9" s="582" t="s">
        <v>630</v>
      </c>
      <c r="AJ9" s="444">
        <f t="shared" si="0"/>
        <v>-1</v>
      </c>
    </row>
    <row r="10" spans="1:36" x14ac:dyDescent="0.25">
      <c r="A10" s="58">
        <f>'งบกำไรขาดทุน ปี 2025'!A10</f>
        <v>41100002</v>
      </c>
      <c r="B10" s="9" t="str">
        <f>'งบกำไรขาดทุน ปี 2025'!B10</f>
        <v>รายได้จากการขาย - Petshop</v>
      </c>
      <c r="C10" s="20">
        <f>'งบกำไรขาดทุน ปี 2025'!O10</f>
        <v>0</v>
      </c>
      <c r="D10" s="21">
        <f t="shared" si="15"/>
        <v>0</v>
      </c>
      <c r="E10" s="141">
        <f t="shared" si="16"/>
        <v>0</v>
      </c>
      <c r="F10" s="221" t="e">
        <f t="shared" si="1"/>
        <v>#DIV/0!</v>
      </c>
      <c r="G10" s="441"/>
      <c r="H10" s="582" t="s">
        <v>630</v>
      </c>
      <c r="I10" s="137">
        <f>'การลงระหว่างเดือน ปี 2026'!E9</f>
        <v>0</v>
      </c>
      <c r="J10" s="105">
        <f>'การลงระหว่างเดือน ปี 2026'!H9</f>
        <v>0</v>
      </c>
      <c r="K10" s="105">
        <f>'การลงระหว่างเดือน ปี 2026'!K9</f>
        <v>0</v>
      </c>
      <c r="L10" s="105">
        <f>'การลงระหว่างเดือน ปี 2026'!N9</f>
        <v>0</v>
      </c>
      <c r="M10" s="105">
        <f>'การลงระหว่างเดือน ปี 2026'!Q9</f>
        <v>0</v>
      </c>
      <c r="N10" s="233">
        <f>'การลงระหว่างเดือน ปี 2026'!T9</f>
        <v>0</v>
      </c>
      <c r="O10" s="137">
        <f>'การลงระหว่างเดือน ปี 2026'!W9</f>
        <v>0</v>
      </c>
      <c r="P10" s="105">
        <f>'การลงระหว่างเดือน ปี 2026'!Z9</f>
        <v>0</v>
      </c>
      <c r="Q10" s="105">
        <f>'การลงระหว่างเดือน ปี 2026'!AC9</f>
        <v>0</v>
      </c>
      <c r="R10" s="105">
        <f>'การลงระหว่างเดือน ปี 2026'!AF9</f>
        <v>0</v>
      </c>
      <c r="S10" s="105">
        <f>'การลงระหว่างเดือน ปี 2026'!AI9</f>
        <v>0</v>
      </c>
      <c r="T10" s="246">
        <f>'การลงระหว่างเดือน ปี 2026'!AL9</f>
        <v>0</v>
      </c>
      <c r="U10" s="154">
        <f t="shared" si="17"/>
        <v>0</v>
      </c>
      <c r="V10" s="91" t="e">
        <f t="shared" si="2"/>
        <v>#DIV/0!</v>
      </c>
      <c r="W10" s="55" t="e">
        <f t="shared" si="3"/>
        <v>#DIV/0!</v>
      </c>
      <c r="X10" s="55" t="e">
        <f t="shared" si="4"/>
        <v>#DIV/0!</v>
      </c>
      <c r="Y10" s="55" t="e">
        <f t="shared" si="5"/>
        <v>#DIV/0!</v>
      </c>
      <c r="Z10" s="55" t="e">
        <f t="shared" si="6"/>
        <v>#DIV/0!</v>
      </c>
      <c r="AA10" s="55" t="e">
        <f t="shared" si="7"/>
        <v>#DIV/0!</v>
      </c>
      <c r="AB10" s="55" t="e">
        <f t="shared" si="8"/>
        <v>#DIV/0!</v>
      </c>
      <c r="AC10" s="55" t="e">
        <f t="shared" si="9"/>
        <v>#DIV/0!</v>
      </c>
      <c r="AD10" s="55" t="e">
        <f t="shared" si="10"/>
        <v>#DIV/0!</v>
      </c>
      <c r="AE10" s="55" t="e">
        <f t="shared" si="11"/>
        <v>#DIV/0!</v>
      </c>
      <c r="AF10" s="55" t="e">
        <f t="shared" si="12"/>
        <v>#DIV/0!</v>
      </c>
      <c r="AG10" s="55" t="e">
        <f t="shared" si="13"/>
        <v>#DIV/0!</v>
      </c>
      <c r="AH10" s="288" t="e">
        <f t="shared" si="14"/>
        <v>#DIV/0!</v>
      </c>
      <c r="AI10" s="582" t="s">
        <v>630</v>
      </c>
      <c r="AJ10" s="444">
        <f t="shared" si="0"/>
        <v>-1</v>
      </c>
    </row>
    <row r="11" spans="1:36" x14ac:dyDescent="0.25">
      <c r="A11" s="58">
        <f>'งบกำไรขาดทุน ปี 2025'!A11</f>
        <v>41200004</v>
      </c>
      <c r="B11" s="9" t="str">
        <f>'งบกำไรขาดทุน ปี 2025'!B11</f>
        <v>รายได้จากการขาย - Swimming</v>
      </c>
      <c r="C11" s="20">
        <f>'งบกำไรขาดทุน ปี 2025'!O11</f>
        <v>0</v>
      </c>
      <c r="D11" s="21">
        <f t="shared" si="15"/>
        <v>0</v>
      </c>
      <c r="E11" s="141">
        <f t="shared" si="16"/>
        <v>0</v>
      </c>
      <c r="F11" s="221" t="e">
        <f t="shared" si="1"/>
        <v>#DIV/0!</v>
      </c>
      <c r="G11" s="441"/>
      <c r="H11" s="582" t="s">
        <v>630</v>
      </c>
      <c r="I11" s="137">
        <f>'การลงระหว่างเดือน ปี 2026'!E10</f>
        <v>0</v>
      </c>
      <c r="J11" s="105">
        <f>'การลงระหว่างเดือน ปี 2026'!H10</f>
        <v>0</v>
      </c>
      <c r="K11" s="105">
        <f>'การลงระหว่างเดือน ปี 2026'!K10</f>
        <v>0</v>
      </c>
      <c r="L11" s="105">
        <f>'การลงระหว่างเดือน ปี 2026'!N10</f>
        <v>0</v>
      </c>
      <c r="M11" s="105">
        <f>'การลงระหว่างเดือน ปี 2026'!Q10</f>
        <v>0</v>
      </c>
      <c r="N11" s="233">
        <f>'การลงระหว่างเดือน ปี 2026'!T10</f>
        <v>0</v>
      </c>
      <c r="O11" s="137">
        <f>'การลงระหว่างเดือน ปี 2026'!W10</f>
        <v>0</v>
      </c>
      <c r="P11" s="105">
        <f>'การลงระหว่างเดือน ปี 2026'!Z10</f>
        <v>0</v>
      </c>
      <c r="Q11" s="105">
        <f>'การลงระหว่างเดือน ปี 2026'!AC10</f>
        <v>0</v>
      </c>
      <c r="R11" s="105">
        <f>'การลงระหว่างเดือน ปี 2026'!AF10</f>
        <v>0</v>
      </c>
      <c r="S11" s="105">
        <f>'การลงระหว่างเดือน ปี 2026'!AI10</f>
        <v>0</v>
      </c>
      <c r="T11" s="246">
        <f>'การลงระหว่างเดือน ปี 2026'!AL10</f>
        <v>0</v>
      </c>
      <c r="U11" s="154">
        <f t="shared" si="17"/>
        <v>0</v>
      </c>
      <c r="V11" s="91" t="e">
        <f t="shared" si="2"/>
        <v>#DIV/0!</v>
      </c>
      <c r="W11" s="55" t="e">
        <f t="shared" si="3"/>
        <v>#DIV/0!</v>
      </c>
      <c r="X11" s="55" t="e">
        <f t="shared" si="4"/>
        <v>#DIV/0!</v>
      </c>
      <c r="Y11" s="55" t="e">
        <f t="shared" si="5"/>
        <v>#DIV/0!</v>
      </c>
      <c r="Z11" s="55" t="e">
        <f t="shared" si="6"/>
        <v>#DIV/0!</v>
      </c>
      <c r="AA11" s="55" t="e">
        <f t="shared" si="7"/>
        <v>#DIV/0!</v>
      </c>
      <c r="AB11" s="55" t="e">
        <f t="shared" si="8"/>
        <v>#DIV/0!</v>
      </c>
      <c r="AC11" s="55" t="e">
        <f t="shared" si="9"/>
        <v>#DIV/0!</v>
      </c>
      <c r="AD11" s="55" t="e">
        <f t="shared" si="10"/>
        <v>#DIV/0!</v>
      </c>
      <c r="AE11" s="55" t="e">
        <f t="shared" si="11"/>
        <v>#DIV/0!</v>
      </c>
      <c r="AF11" s="55" t="e">
        <f t="shared" si="12"/>
        <v>#DIV/0!</v>
      </c>
      <c r="AG11" s="55" t="e">
        <f t="shared" si="13"/>
        <v>#DIV/0!</v>
      </c>
      <c r="AH11" s="288" t="e">
        <f t="shared" si="14"/>
        <v>#DIV/0!</v>
      </c>
      <c r="AI11" s="582" t="s">
        <v>630</v>
      </c>
      <c r="AJ11" s="444">
        <f t="shared" si="0"/>
        <v>-1</v>
      </c>
    </row>
    <row r="12" spans="1:36" x14ac:dyDescent="0.25">
      <c r="A12" s="58">
        <f>'งบกำไรขาดทุน ปี 2025'!A12</f>
        <v>41200002</v>
      </c>
      <c r="B12" s="9" t="str">
        <f>'งบกำไรขาดทุน ปี 2025'!B12</f>
        <v>รายได้จากการขาย - Pettaxi</v>
      </c>
      <c r="C12" s="20">
        <f>'งบกำไรขาดทุน ปี 2025'!O12</f>
        <v>0</v>
      </c>
      <c r="D12" s="21">
        <f t="shared" si="15"/>
        <v>0</v>
      </c>
      <c r="E12" s="141">
        <f t="shared" si="16"/>
        <v>0</v>
      </c>
      <c r="F12" s="221" t="e">
        <f t="shared" si="1"/>
        <v>#DIV/0!</v>
      </c>
      <c r="G12" s="441"/>
      <c r="H12" s="582" t="s">
        <v>630</v>
      </c>
      <c r="I12" s="137">
        <f>'การลงระหว่างเดือน ปี 2026'!E11</f>
        <v>0</v>
      </c>
      <c r="J12" s="105">
        <f>'การลงระหว่างเดือน ปี 2026'!H11</f>
        <v>0</v>
      </c>
      <c r="K12" s="105">
        <f>'การลงระหว่างเดือน ปี 2026'!K11</f>
        <v>0</v>
      </c>
      <c r="L12" s="105">
        <f>'การลงระหว่างเดือน ปี 2026'!N11</f>
        <v>0</v>
      </c>
      <c r="M12" s="105">
        <f>'การลงระหว่างเดือน ปี 2026'!Q11</f>
        <v>0</v>
      </c>
      <c r="N12" s="233">
        <f>'การลงระหว่างเดือน ปี 2026'!T11</f>
        <v>0</v>
      </c>
      <c r="O12" s="137">
        <f>'การลงระหว่างเดือน ปี 2026'!W11</f>
        <v>0</v>
      </c>
      <c r="P12" s="105">
        <f>'การลงระหว่างเดือน ปี 2026'!Z11</f>
        <v>0</v>
      </c>
      <c r="Q12" s="105">
        <f>'การลงระหว่างเดือน ปี 2026'!AC11</f>
        <v>0</v>
      </c>
      <c r="R12" s="105">
        <f>'การลงระหว่างเดือน ปี 2026'!AF11</f>
        <v>0</v>
      </c>
      <c r="S12" s="105">
        <f>'การลงระหว่างเดือน ปี 2026'!AI11</f>
        <v>0</v>
      </c>
      <c r="T12" s="246">
        <f>'การลงระหว่างเดือน ปี 2026'!AL11</f>
        <v>0</v>
      </c>
      <c r="U12" s="154">
        <f t="shared" si="17"/>
        <v>0</v>
      </c>
      <c r="V12" s="91" t="e">
        <f t="shared" si="2"/>
        <v>#DIV/0!</v>
      </c>
      <c r="W12" s="55" t="e">
        <f t="shared" si="3"/>
        <v>#DIV/0!</v>
      </c>
      <c r="X12" s="55" t="e">
        <f t="shared" si="4"/>
        <v>#DIV/0!</v>
      </c>
      <c r="Y12" s="55" t="e">
        <f t="shared" si="5"/>
        <v>#DIV/0!</v>
      </c>
      <c r="Z12" s="55" t="e">
        <f t="shared" si="6"/>
        <v>#DIV/0!</v>
      </c>
      <c r="AA12" s="55" t="e">
        <f t="shared" si="7"/>
        <v>#DIV/0!</v>
      </c>
      <c r="AB12" s="55" t="e">
        <f t="shared" si="8"/>
        <v>#DIV/0!</v>
      </c>
      <c r="AC12" s="55" t="e">
        <f t="shared" si="9"/>
        <v>#DIV/0!</v>
      </c>
      <c r="AD12" s="55" t="e">
        <f t="shared" si="10"/>
        <v>#DIV/0!</v>
      </c>
      <c r="AE12" s="55" t="e">
        <f t="shared" si="11"/>
        <v>#DIV/0!</v>
      </c>
      <c r="AF12" s="55" t="e">
        <f t="shared" si="12"/>
        <v>#DIV/0!</v>
      </c>
      <c r="AG12" s="55" t="e">
        <f t="shared" si="13"/>
        <v>#DIV/0!</v>
      </c>
      <c r="AH12" s="288" t="e">
        <f t="shared" si="14"/>
        <v>#DIV/0!</v>
      </c>
      <c r="AI12" s="582" t="s">
        <v>630</v>
      </c>
      <c r="AJ12" s="444">
        <f t="shared" si="0"/>
        <v>-1</v>
      </c>
    </row>
    <row r="13" spans="1:36" x14ac:dyDescent="0.25">
      <c r="A13" s="58">
        <f>'งบกำไรขาดทุน ปี 2025'!A13</f>
        <v>41200003</v>
      </c>
      <c r="B13" s="9" t="str">
        <f>'งบกำไรขาดทุน ปี 2025'!B13</f>
        <v>รายได้จากการขาย - อื่นๆ</v>
      </c>
      <c r="C13" s="20">
        <f>'งบกำไรขาดทุน ปี 2025'!O13</f>
        <v>0</v>
      </c>
      <c r="D13" s="21">
        <f t="shared" si="15"/>
        <v>0</v>
      </c>
      <c r="E13" s="141">
        <f t="shared" si="16"/>
        <v>0</v>
      </c>
      <c r="F13" s="221" t="e">
        <f t="shared" si="1"/>
        <v>#DIV/0!</v>
      </c>
      <c r="G13" s="441"/>
      <c r="H13" s="582" t="s">
        <v>630</v>
      </c>
      <c r="I13" s="137">
        <f>$D$13</f>
        <v>0</v>
      </c>
      <c r="J13" s="105">
        <f t="shared" ref="J13:T13" si="18">$D$13</f>
        <v>0</v>
      </c>
      <c r="K13" s="105">
        <f t="shared" si="18"/>
        <v>0</v>
      </c>
      <c r="L13" s="105">
        <f t="shared" si="18"/>
        <v>0</v>
      </c>
      <c r="M13" s="105">
        <f t="shared" si="18"/>
        <v>0</v>
      </c>
      <c r="N13" s="233">
        <f t="shared" si="18"/>
        <v>0</v>
      </c>
      <c r="O13" s="137">
        <f t="shared" si="18"/>
        <v>0</v>
      </c>
      <c r="P13" s="105">
        <f t="shared" si="18"/>
        <v>0</v>
      </c>
      <c r="Q13" s="105">
        <f t="shared" si="18"/>
        <v>0</v>
      </c>
      <c r="R13" s="105">
        <f t="shared" si="18"/>
        <v>0</v>
      </c>
      <c r="S13" s="105">
        <f t="shared" si="18"/>
        <v>0</v>
      </c>
      <c r="T13" s="246">
        <f t="shared" si="18"/>
        <v>0</v>
      </c>
      <c r="U13" s="154">
        <f t="shared" ref="U13:U70" si="19">SUM(I13:T13)</f>
        <v>0</v>
      </c>
      <c r="V13" s="91" t="e">
        <f t="shared" si="2"/>
        <v>#DIV/0!</v>
      </c>
      <c r="W13" s="55" t="e">
        <f t="shared" si="3"/>
        <v>#DIV/0!</v>
      </c>
      <c r="X13" s="55" t="e">
        <f t="shared" si="4"/>
        <v>#DIV/0!</v>
      </c>
      <c r="Y13" s="55" t="e">
        <f t="shared" si="5"/>
        <v>#DIV/0!</v>
      </c>
      <c r="Z13" s="55" t="e">
        <f t="shared" si="6"/>
        <v>#DIV/0!</v>
      </c>
      <c r="AA13" s="55" t="e">
        <f t="shared" si="7"/>
        <v>#DIV/0!</v>
      </c>
      <c r="AB13" s="55" t="e">
        <f t="shared" si="8"/>
        <v>#DIV/0!</v>
      </c>
      <c r="AC13" s="55" t="e">
        <f t="shared" si="9"/>
        <v>#DIV/0!</v>
      </c>
      <c r="AD13" s="55" t="e">
        <f t="shared" si="10"/>
        <v>#DIV/0!</v>
      </c>
      <c r="AE13" s="55" t="e">
        <f t="shared" si="11"/>
        <v>#DIV/0!</v>
      </c>
      <c r="AF13" s="55" t="e">
        <f t="shared" si="12"/>
        <v>#DIV/0!</v>
      </c>
      <c r="AG13" s="55" t="e">
        <f t="shared" si="13"/>
        <v>#DIV/0!</v>
      </c>
      <c r="AH13" s="288" t="e">
        <f t="shared" si="14"/>
        <v>#DIV/0!</v>
      </c>
      <c r="AI13" s="582" t="s">
        <v>630</v>
      </c>
      <c r="AJ13" s="444">
        <f t="shared" si="0"/>
        <v>-1</v>
      </c>
    </row>
    <row r="14" spans="1:36" x14ac:dyDescent="0.25">
      <c r="A14" s="58">
        <f>'งบกำไรขาดทุน ปี 2025'!A14</f>
        <v>41300001</v>
      </c>
      <c r="B14" s="9" t="str">
        <f>'งบกำไรขาดทุน ปี 2025'!B14</f>
        <v>หัก รับคืน</v>
      </c>
      <c r="C14" s="20">
        <f>'งบกำไรขาดทุน ปี 2025'!O14</f>
        <v>0</v>
      </c>
      <c r="D14" s="21">
        <f t="shared" ref="D14" si="20">C14/$C$5</f>
        <v>0</v>
      </c>
      <c r="E14" s="141">
        <f t="shared" si="16"/>
        <v>0</v>
      </c>
      <c r="F14" s="221" t="e">
        <f t="shared" si="1"/>
        <v>#DIV/0!</v>
      </c>
      <c r="G14" s="441"/>
      <c r="H14" s="582" t="s">
        <v>630</v>
      </c>
      <c r="I14" s="137">
        <f>$D$14</f>
        <v>0</v>
      </c>
      <c r="J14" s="105">
        <f t="shared" ref="J14:T14" si="21">$D$14</f>
        <v>0</v>
      </c>
      <c r="K14" s="105">
        <f t="shared" si="21"/>
        <v>0</v>
      </c>
      <c r="L14" s="105">
        <f t="shared" si="21"/>
        <v>0</v>
      </c>
      <c r="M14" s="105">
        <f t="shared" si="21"/>
        <v>0</v>
      </c>
      <c r="N14" s="233">
        <f t="shared" si="21"/>
        <v>0</v>
      </c>
      <c r="O14" s="137">
        <f t="shared" si="21"/>
        <v>0</v>
      </c>
      <c r="P14" s="105">
        <f t="shared" si="21"/>
        <v>0</v>
      </c>
      <c r="Q14" s="105">
        <f t="shared" si="21"/>
        <v>0</v>
      </c>
      <c r="R14" s="105">
        <f t="shared" si="21"/>
        <v>0</v>
      </c>
      <c r="S14" s="105">
        <f t="shared" si="21"/>
        <v>0</v>
      </c>
      <c r="T14" s="246">
        <f t="shared" si="21"/>
        <v>0</v>
      </c>
      <c r="U14" s="154">
        <f t="shared" ref="U14" si="22">SUM(I14:T14)</f>
        <v>0</v>
      </c>
      <c r="V14" s="91" t="e">
        <f t="shared" si="2"/>
        <v>#DIV/0!</v>
      </c>
      <c r="W14" s="55" t="e">
        <f t="shared" si="3"/>
        <v>#DIV/0!</v>
      </c>
      <c r="X14" s="55" t="e">
        <f t="shared" si="4"/>
        <v>#DIV/0!</v>
      </c>
      <c r="Y14" s="55" t="e">
        <f t="shared" si="5"/>
        <v>#DIV/0!</v>
      </c>
      <c r="Z14" s="55" t="e">
        <f t="shared" si="6"/>
        <v>#DIV/0!</v>
      </c>
      <c r="AA14" s="55" t="e">
        <f t="shared" si="7"/>
        <v>#DIV/0!</v>
      </c>
      <c r="AB14" s="55" t="e">
        <f t="shared" si="8"/>
        <v>#DIV/0!</v>
      </c>
      <c r="AC14" s="55" t="e">
        <f t="shared" si="9"/>
        <v>#DIV/0!</v>
      </c>
      <c r="AD14" s="55" t="e">
        <f t="shared" si="10"/>
        <v>#DIV/0!</v>
      </c>
      <c r="AE14" s="55" t="e">
        <f t="shared" si="11"/>
        <v>#DIV/0!</v>
      </c>
      <c r="AF14" s="55" t="e">
        <f t="shared" si="12"/>
        <v>#DIV/0!</v>
      </c>
      <c r="AG14" s="55" t="e">
        <f t="shared" si="13"/>
        <v>#DIV/0!</v>
      </c>
      <c r="AH14" s="288" t="e">
        <f t="shared" si="14"/>
        <v>#DIV/0!</v>
      </c>
      <c r="AI14" s="582" t="s">
        <v>630</v>
      </c>
      <c r="AJ14" s="444">
        <f t="shared" si="0"/>
        <v>-1</v>
      </c>
    </row>
    <row r="15" spans="1:36" x14ac:dyDescent="0.25">
      <c r="A15" s="58">
        <f>'งบกำไรขาดทุน ปี 2025'!A15</f>
        <v>41300002</v>
      </c>
      <c r="B15" s="9" t="str">
        <f>'งบกำไรขาดทุน ปี 2025'!B15</f>
        <v>หัก ส่วนลดจ่าย</v>
      </c>
      <c r="C15" s="20">
        <f>'งบกำไรขาดทุน ปี 2025'!O15</f>
        <v>0</v>
      </c>
      <c r="D15" s="21">
        <f t="shared" si="15"/>
        <v>0</v>
      </c>
      <c r="E15" s="141">
        <f t="shared" si="16"/>
        <v>0</v>
      </c>
      <c r="F15" s="221" t="e">
        <f t="shared" si="1"/>
        <v>#DIV/0!</v>
      </c>
      <c r="G15" s="441"/>
      <c r="H15" s="582" t="s">
        <v>630</v>
      </c>
      <c r="I15" s="137">
        <f>$D$15</f>
        <v>0</v>
      </c>
      <c r="J15" s="105">
        <f t="shared" ref="J15:T15" si="23">$D$15</f>
        <v>0</v>
      </c>
      <c r="K15" s="105">
        <f t="shared" si="23"/>
        <v>0</v>
      </c>
      <c r="L15" s="105">
        <f t="shared" si="23"/>
        <v>0</v>
      </c>
      <c r="M15" s="105">
        <f t="shared" si="23"/>
        <v>0</v>
      </c>
      <c r="N15" s="233">
        <f t="shared" si="23"/>
        <v>0</v>
      </c>
      <c r="O15" s="137">
        <f t="shared" si="23"/>
        <v>0</v>
      </c>
      <c r="P15" s="105">
        <f t="shared" si="23"/>
        <v>0</v>
      </c>
      <c r="Q15" s="105">
        <f t="shared" si="23"/>
        <v>0</v>
      </c>
      <c r="R15" s="105">
        <f t="shared" si="23"/>
        <v>0</v>
      </c>
      <c r="S15" s="105">
        <f t="shared" si="23"/>
        <v>0</v>
      </c>
      <c r="T15" s="246">
        <f t="shared" si="23"/>
        <v>0</v>
      </c>
      <c r="U15" s="154">
        <f t="shared" si="19"/>
        <v>0</v>
      </c>
      <c r="V15" s="91" t="e">
        <f t="shared" si="2"/>
        <v>#DIV/0!</v>
      </c>
      <c r="W15" s="55" t="e">
        <f t="shared" si="3"/>
        <v>#DIV/0!</v>
      </c>
      <c r="X15" s="55" t="e">
        <f t="shared" si="4"/>
        <v>#DIV/0!</v>
      </c>
      <c r="Y15" s="55" t="e">
        <f t="shared" si="5"/>
        <v>#DIV/0!</v>
      </c>
      <c r="Z15" s="55" t="e">
        <f t="shared" si="6"/>
        <v>#DIV/0!</v>
      </c>
      <c r="AA15" s="55" t="e">
        <f t="shared" si="7"/>
        <v>#DIV/0!</v>
      </c>
      <c r="AB15" s="55" t="e">
        <f t="shared" si="8"/>
        <v>#DIV/0!</v>
      </c>
      <c r="AC15" s="55" t="e">
        <f t="shared" si="9"/>
        <v>#DIV/0!</v>
      </c>
      <c r="AD15" s="55" t="e">
        <f t="shared" si="10"/>
        <v>#DIV/0!</v>
      </c>
      <c r="AE15" s="55" t="e">
        <f t="shared" si="11"/>
        <v>#DIV/0!</v>
      </c>
      <c r="AF15" s="55" t="e">
        <f t="shared" si="12"/>
        <v>#DIV/0!</v>
      </c>
      <c r="AG15" s="55" t="e">
        <f t="shared" si="13"/>
        <v>#DIV/0!</v>
      </c>
      <c r="AH15" s="288" t="e">
        <f t="shared" si="14"/>
        <v>#DIV/0!</v>
      </c>
      <c r="AI15" s="582" t="s">
        <v>630</v>
      </c>
      <c r="AJ15" s="444">
        <f t="shared" si="0"/>
        <v>-1</v>
      </c>
    </row>
    <row r="16" spans="1:36" x14ac:dyDescent="0.25">
      <c r="A16" s="58">
        <f>'งบกำไรขาดทุน ปี 2025'!A16</f>
        <v>42000001</v>
      </c>
      <c r="B16" s="9" t="str">
        <f>'งบกำไรขาดทุน ปี 2025'!B16</f>
        <v>รายได้อื่นๆ</v>
      </c>
      <c r="C16" s="20">
        <f>'งบกำไรขาดทุน ปี 2025'!O16</f>
        <v>0</v>
      </c>
      <c r="D16" s="21">
        <f t="shared" si="15"/>
        <v>0</v>
      </c>
      <c r="E16" s="141">
        <f t="shared" si="16"/>
        <v>0</v>
      </c>
      <c r="F16" s="221" t="e">
        <f t="shared" si="1"/>
        <v>#DIV/0!</v>
      </c>
      <c r="G16" s="441"/>
      <c r="H16" s="582" t="s">
        <v>630</v>
      </c>
      <c r="I16" s="137">
        <f>$D$16</f>
        <v>0</v>
      </c>
      <c r="J16" s="105">
        <f t="shared" ref="J16:T17" si="24">$D$16</f>
        <v>0</v>
      </c>
      <c r="K16" s="105">
        <f t="shared" si="24"/>
        <v>0</v>
      </c>
      <c r="L16" s="105">
        <f t="shared" si="24"/>
        <v>0</v>
      </c>
      <c r="M16" s="105">
        <f t="shared" si="24"/>
        <v>0</v>
      </c>
      <c r="N16" s="233">
        <f t="shared" si="24"/>
        <v>0</v>
      </c>
      <c r="O16" s="137">
        <f t="shared" si="24"/>
        <v>0</v>
      </c>
      <c r="P16" s="105">
        <f t="shared" si="24"/>
        <v>0</v>
      </c>
      <c r="Q16" s="105">
        <f t="shared" si="24"/>
        <v>0</v>
      </c>
      <c r="R16" s="105">
        <f t="shared" si="24"/>
        <v>0</v>
      </c>
      <c r="S16" s="105">
        <f t="shared" si="24"/>
        <v>0</v>
      </c>
      <c r="T16" s="246">
        <f t="shared" si="24"/>
        <v>0</v>
      </c>
      <c r="U16" s="154">
        <f t="shared" si="19"/>
        <v>0</v>
      </c>
      <c r="V16" s="91" t="e">
        <f t="shared" si="2"/>
        <v>#DIV/0!</v>
      </c>
      <c r="W16" s="55" t="e">
        <f t="shared" si="3"/>
        <v>#DIV/0!</v>
      </c>
      <c r="X16" s="55" t="e">
        <f t="shared" si="4"/>
        <v>#DIV/0!</v>
      </c>
      <c r="Y16" s="55" t="e">
        <f t="shared" si="5"/>
        <v>#DIV/0!</v>
      </c>
      <c r="Z16" s="55" t="e">
        <f t="shared" si="6"/>
        <v>#DIV/0!</v>
      </c>
      <c r="AA16" s="55" t="e">
        <f t="shared" si="7"/>
        <v>#DIV/0!</v>
      </c>
      <c r="AB16" s="55" t="e">
        <f t="shared" si="8"/>
        <v>#DIV/0!</v>
      </c>
      <c r="AC16" s="55" t="e">
        <f t="shared" si="9"/>
        <v>#DIV/0!</v>
      </c>
      <c r="AD16" s="55" t="e">
        <f t="shared" si="10"/>
        <v>#DIV/0!</v>
      </c>
      <c r="AE16" s="55" t="e">
        <f t="shared" si="11"/>
        <v>#DIV/0!</v>
      </c>
      <c r="AF16" s="55" t="e">
        <f t="shared" si="12"/>
        <v>#DIV/0!</v>
      </c>
      <c r="AG16" s="55" t="e">
        <f t="shared" si="13"/>
        <v>#DIV/0!</v>
      </c>
      <c r="AH16" s="288" t="e">
        <f t="shared" si="14"/>
        <v>#DIV/0!</v>
      </c>
      <c r="AI16" s="582" t="s">
        <v>630</v>
      </c>
      <c r="AJ16" s="444">
        <f t="shared" si="0"/>
        <v>-1</v>
      </c>
    </row>
    <row r="17" spans="1:36" x14ac:dyDescent="0.25">
      <c r="A17" s="58">
        <f>'งบกำไรขาดทุน ปี 2025'!A17</f>
        <v>42000019</v>
      </c>
      <c r="B17" s="9" t="str">
        <f>'งบกำไรขาดทุน ปี 2025'!B17</f>
        <v>รายได้ Package/PR/ขนส่ง</v>
      </c>
      <c r="C17" s="20">
        <f>'งบกำไรขาดทุน ปี 2025'!O17</f>
        <v>0</v>
      </c>
      <c r="D17" s="21">
        <f t="shared" ref="D17" si="25">C17/$C$5</f>
        <v>0</v>
      </c>
      <c r="E17" s="141">
        <f t="shared" ref="E17" si="26">D17*$E$5</f>
        <v>0</v>
      </c>
      <c r="F17" s="221" t="e">
        <f t="shared" si="1"/>
        <v>#DIV/0!</v>
      </c>
      <c r="G17" s="441"/>
      <c r="H17" s="582" t="s">
        <v>630</v>
      </c>
      <c r="I17" s="137">
        <f>$D$16</f>
        <v>0</v>
      </c>
      <c r="J17" s="105">
        <f t="shared" si="24"/>
        <v>0</v>
      </c>
      <c r="K17" s="105">
        <f t="shared" si="24"/>
        <v>0</v>
      </c>
      <c r="L17" s="105">
        <f t="shared" si="24"/>
        <v>0</v>
      </c>
      <c r="M17" s="105">
        <f t="shared" si="24"/>
        <v>0</v>
      </c>
      <c r="N17" s="233">
        <f t="shared" si="24"/>
        <v>0</v>
      </c>
      <c r="O17" s="137">
        <f t="shared" si="24"/>
        <v>0</v>
      </c>
      <c r="P17" s="105">
        <f t="shared" si="24"/>
        <v>0</v>
      </c>
      <c r="Q17" s="105">
        <f t="shared" si="24"/>
        <v>0</v>
      </c>
      <c r="R17" s="105">
        <f t="shared" si="24"/>
        <v>0</v>
      </c>
      <c r="S17" s="105">
        <f t="shared" si="24"/>
        <v>0</v>
      </c>
      <c r="T17" s="246">
        <f t="shared" si="24"/>
        <v>0</v>
      </c>
      <c r="U17" s="154">
        <f t="shared" ref="U17" si="27">SUM(I17:T17)</f>
        <v>0</v>
      </c>
      <c r="V17" s="91" t="e">
        <f t="shared" si="2"/>
        <v>#DIV/0!</v>
      </c>
      <c r="W17" s="55" t="e">
        <f t="shared" si="3"/>
        <v>#DIV/0!</v>
      </c>
      <c r="X17" s="55" t="e">
        <f t="shared" si="4"/>
        <v>#DIV/0!</v>
      </c>
      <c r="Y17" s="55" t="e">
        <f t="shared" si="5"/>
        <v>#DIV/0!</v>
      </c>
      <c r="Z17" s="55" t="e">
        <f t="shared" si="6"/>
        <v>#DIV/0!</v>
      </c>
      <c r="AA17" s="55" t="e">
        <f t="shared" si="7"/>
        <v>#DIV/0!</v>
      </c>
      <c r="AB17" s="55" t="e">
        <f t="shared" si="8"/>
        <v>#DIV/0!</v>
      </c>
      <c r="AC17" s="55" t="e">
        <f t="shared" si="9"/>
        <v>#DIV/0!</v>
      </c>
      <c r="AD17" s="55" t="e">
        <f t="shared" si="10"/>
        <v>#DIV/0!</v>
      </c>
      <c r="AE17" s="55" t="e">
        <f t="shared" si="11"/>
        <v>#DIV/0!</v>
      </c>
      <c r="AF17" s="55" t="e">
        <f t="shared" si="12"/>
        <v>#DIV/0!</v>
      </c>
      <c r="AG17" s="55" t="e">
        <f t="shared" si="13"/>
        <v>#DIV/0!</v>
      </c>
      <c r="AH17" s="288" t="e">
        <f t="shared" si="14"/>
        <v>#DIV/0!</v>
      </c>
      <c r="AI17" s="582" t="s">
        <v>630</v>
      </c>
      <c r="AJ17" s="444">
        <f t="shared" ref="AJ17" si="28">IFERROR(U17/E17,0)-1</f>
        <v>-1</v>
      </c>
    </row>
    <row r="18" spans="1:36" s="12" customFormat="1" x14ac:dyDescent="0.25">
      <c r="A18" s="161">
        <f>'งบกำไรขาดทุน ปี 2025'!A18</f>
        <v>0</v>
      </c>
      <c r="B18" s="15" t="str">
        <f>'งบกำไรขาดทุน ปี 2025'!B18</f>
        <v>รวมรายได้จาการขายและอื่นๆ</v>
      </c>
      <c r="C18" s="23">
        <f>'งบกำไรขาดทุน ปี 2025'!O18</f>
        <v>0</v>
      </c>
      <c r="D18" s="10">
        <f t="shared" si="15"/>
        <v>0</v>
      </c>
      <c r="E18" s="142">
        <f t="shared" si="16"/>
        <v>0</v>
      </c>
      <c r="F18" s="222" t="e">
        <f t="shared" si="1"/>
        <v>#DIV/0!</v>
      </c>
      <c r="G18" s="442"/>
      <c r="H18" s="582"/>
      <c r="I18" s="180">
        <f>SUM(I8:I16)</f>
        <v>0</v>
      </c>
      <c r="J18" s="177">
        <f t="shared" ref="J18:T18" si="29">SUM(J8:J16)</f>
        <v>0</v>
      </c>
      <c r="K18" s="177">
        <f t="shared" si="29"/>
        <v>0</v>
      </c>
      <c r="L18" s="177">
        <f t="shared" si="29"/>
        <v>0</v>
      </c>
      <c r="M18" s="177">
        <f t="shared" si="29"/>
        <v>0</v>
      </c>
      <c r="N18" s="234">
        <f t="shared" si="29"/>
        <v>0</v>
      </c>
      <c r="O18" s="180">
        <f t="shared" si="29"/>
        <v>0</v>
      </c>
      <c r="P18" s="177">
        <f t="shared" si="29"/>
        <v>0</v>
      </c>
      <c r="Q18" s="177">
        <f t="shared" si="29"/>
        <v>0</v>
      </c>
      <c r="R18" s="177">
        <f t="shared" si="29"/>
        <v>0</v>
      </c>
      <c r="S18" s="177">
        <f t="shared" si="29"/>
        <v>0</v>
      </c>
      <c r="T18" s="247">
        <f t="shared" si="29"/>
        <v>0</v>
      </c>
      <c r="U18" s="177">
        <f>SUM(U8:U16)</f>
        <v>0</v>
      </c>
      <c r="V18" s="178" t="e">
        <f t="shared" si="2"/>
        <v>#DIV/0!</v>
      </c>
      <c r="W18" s="179" t="e">
        <f t="shared" si="3"/>
        <v>#DIV/0!</v>
      </c>
      <c r="X18" s="179" t="e">
        <f t="shared" si="4"/>
        <v>#DIV/0!</v>
      </c>
      <c r="Y18" s="179" t="e">
        <f t="shared" si="5"/>
        <v>#DIV/0!</v>
      </c>
      <c r="Z18" s="179" t="e">
        <f t="shared" si="6"/>
        <v>#DIV/0!</v>
      </c>
      <c r="AA18" s="179" t="e">
        <f t="shared" si="7"/>
        <v>#DIV/0!</v>
      </c>
      <c r="AB18" s="179" t="e">
        <f t="shared" si="8"/>
        <v>#DIV/0!</v>
      </c>
      <c r="AC18" s="179" t="e">
        <f t="shared" si="9"/>
        <v>#DIV/0!</v>
      </c>
      <c r="AD18" s="179" t="e">
        <f t="shared" si="10"/>
        <v>#DIV/0!</v>
      </c>
      <c r="AE18" s="179" t="e">
        <f t="shared" si="11"/>
        <v>#DIV/0!</v>
      </c>
      <c r="AF18" s="179" t="e">
        <f t="shared" si="12"/>
        <v>#DIV/0!</v>
      </c>
      <c r="AG18" s="179" t="e">
        <f t="shared" si="13"/>
        <v>#DIV/0!</v>
      </c>
      <c r="AH18" s="289" t="e">
        <f t="shared" si="14"/>
        <v>#DIV/0!</v>
      </c>
      <c r="AI18" s="582"/>
      <c r="AJ18" s="444">
        <f t="shared" si="0"/>
        <v>-1</v>
      </c>
    </row>
    <row r="19" spans="1:36" x14ac:dyDescent="0.25">
      <c r="A19" s="58">
        <f>'งบกำไรขาดทุน ปี 2025'!A19</f>
        <v>0</v>
      </c>
      <c r="B19" s="9" t="str">
        <f>'งบกำไรขาดทุน ปี 2025'!B19</f>
        <v>ต้นทุนขายและค่าใช้จ่ายที่เกี่ยวข้อง</v>
      </c>
      <c r="C19" s="20">
        <f>'งบกำไรขาดทุน ปี 2025'!O19</f>
        <v>0</v>
      </c>
      <c r="D19" s="21"/>
      <c r="E19" s="141"/>
      <c r="F19" s="221"/>
      <c r="G19" s="441"/>
      <c r="H19" s="580"/>
      <c r="I19" s="137"/>
      <c r="J19" s="105"/>
      <c r="K19" s="105"/>
      <c r="L19" s="105"/>
      <c r="M19" s="105"/>
      <c r="N19" s="233"/>
      <c r="O19" s="137"/>
      <c r="P19" s="105"/>
      <c r="Q19" s="105"/>
      <c r="R19" s="105"/>
      <c r="S19" s="105"/>
      <c r="T19" s="246"/>
      <c r="U19" s="154"/>
      <c r="V19" s="91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288"/>
      <c r="AI19" s="580"/>
      <c r="AJ19" s="444">
        <f t="shared" si="0"/>
        <v>-1</v>
      </c>
    </row>
    <row r="20" spans="1:36" x14ac:dyDescent="0.25">
      <c r="A20" s="58">
        <f>'งบกำไรขาดทุน ปี 2025'!A20</f>
        <v>0</v>
      </c>
      <c r="B20" s="9" t="str">
        <f>'งบกำไรขาดทุน ปี 2025'!B20</f>
        <v>ต้นทุนขาย</v>
      </c>
      <c r="C20" s="20">
        <f>'งบกำไรขาดทุน ปี 2025'!O20</f>
        <v>0</v>
      </c>
      <c r="D20" s="21"/>
      <c r="E20" s="141"/>
      <c r="F20" s="221"/>
      <c r="G20" s="441"/>
      <c r="H20" s="580"/>
      <c r="I20" s="137"/>
      <c r="J20" s="105"/>
      <c r="K20" s="105"/>
      <c r="L20" s="105"/>
      <c r="M20" s="105"/>
      <c r="N20" s="233"/>
      <c r="O20" s="137"/>
      <c r="P20" s="105"/>
      <c r="Q20" s="105"/>
      <c r="R20" s="105"/>
      <c r="S20" s="105"/>
      <c r="T20" s="246"/>
      <c r="U20" s="154"/>
      <c r="V20" s="91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288"/>
      <c r="AI20" s="580"/>
      <c r="AJ20" s="444">
        <f t="shared" si="0"/>
        <v>-1</v>
      </c>
    </row>
    <row r="21" spans="1:36" x14ac:dyDescent="0.25">
      <c r="A21" s="58">
        <f>'งบกำไรขาดทุน ปี 2025'!A21</f>
        <v>51000002</v>
      </c>
      <c r="B21" s="9" t="str">
        <f>'งบกำไรขาดทุน ปี 2025'!B21</f>
        <v>ต้นทุนขายสินค้า PH</v>
      </c>
      <c r="C21" s="20">
        <f>'งบกำไรขาดทุน ปี 2025'!O21</f>
        <v>0</v>
      </c>
      <c r="D21" s="21">
        <f t="shared" si="15"/>
        <v>0</v>
      </c>
      <c r="E21" s="141">
        <f>D21*$E$5</f>
        <v>0</v>
      </c>
      <c r="F21" s="221" t="e">
        <f>(E21+E23)/(E8+E9+E11+E12+E13)</f>
        <v>#DIV/0!</v>
      </c>
      <c r="G21" s="478">
        <v>-7.4999999999999997E-3</v>
      </c>
      <c r="H21" s="582" t="s">
        <v>638</v>
      </c>
      <c r="I21" s="137" t="e">
        <f>((I8+I9+I11+I12+I13)*(F21+G21))</f>
        <v>#DIV/0!</v>
      </c>
      <c r="J21" s="105" t="e">
        <f>($J$18*(F21+G21))</f>
        <v>#DIV/0!</v>
      </c>
      <c r="K21" s="105" t="e">
        <f>($K$18*(F21+G21))</f>
        <v>#DIV/0!</v>
      </c>
      <c r="L21" s="105" t="e">
        <f>($L$18*(F21+G21))</f>
        <v>#DIV/0!</v>
      </c>
      <c r="M21" s="105" t="e">
        <f>($M$18*(F21+G21))</f>
        <v>#DIV/0!</v>
      </c>
      <c r="N21" s="233" t="e">
        <f>($N$18*(F21+G21))</f>
        <v>#DIV/0!</v>
      </c>
      <c r="O21" s="137" t="e">
        <f>($O$18*(F21+G21))</f>
        <v>#DIV/0!</v>
      </c>
      <c r="P21" s="105" t="e">
        <f>($P$18*(F21+G21))</f>
        <v>#DIV/0!</v>
      </c>
      <c r="Q21" s="105" t="e">
        <f>($Q$18*(F21+G21))</f>
        <v>#DIV/0!</v>
      </c>
      <c r="R21" s="105" t="e">
        <f>($R$18*(F21+G21))</f>
        <v>#DIV/0!</v>
      </c>
      <c r="S21" s="105" t="e">
        <f>($S$18*(F21+G21))</f>
        <v>#DIV/0!</v>
      </c>
      <c r="T21" s="246" t="e">
        <f>($T$18*(F21+G21))</f>
        <v>#DIV/0!</v>
      </c>
      <c r="U21" s="154" t="e">
        <f>SUM(I21:T21)</f>
        <v>#DIV/0!</v>
      </c>
      <c r="V21" s="91" t="e">
        <f>I21/$I$18</f>
        <v>#DIV/0!</v>
      </c>
      <c r="W21" s="55" t="e">
        <f>J21/$J$18</f>
        <v>#DIV/0!</v>
      </c>
      <c r="X21" s="55" t="e">
        <f>K21/$K$18</f>
        <v>#DIV/0!</v>
      </c>
      <c r="Y21" s="55" t="e">
        <f>L21/$L$18</f>
        <v>#DIV/0!</v>
      </c>
      <c r="Z21" s="55" t="e">
        <f>M21/$M$18</f>
        <v>#DIV/0!</v>
      </c>
      <c r="AA21" s="55" t="e">
        <f>N21/$N$18</f>
        <v>#DIV/0!</v>
      </c>
      <c r="AB21" s="55" t="e">
        <f>O21/$O$18</f>
        <v>#DIV/0!</v>
      </c>
      <c r="AC21" s="55" t="e">
        <f>P21/$P$18</f>
        <v>#DIV/0!</v>
      </c>
      <c r="AD21" s="55" t="e">
        <f>Q21/$Q$18</f>
        <v>#DIV/0!</v>
      </c>
      <c r="AE21" s="55" t="e">
        <f>R21/$R$18</f>
        <v>#DIV/0!</v>
      </c>
      <c r="AF21" s="55" t="e">
        <f>S21/$S$18</f>
        <v>#DIV/0!</v>
      </c>
      <c r="AG21" s="55" t="e">
        <f>T21/$T$18</f>
        <v>#DIV/0!</v>
      </c>
      <c r="AH21" s="288" t="e">
        <f>U21/(U8+U9+U11+U12+U13)</f>
        <v>#DIV/0!</v>
      </c>
      <c r="AJ21" s="444">
        <f>IFERROR(U21/E21,0)-1</f>
        <v>-1</v>
      </c>
    </row>
    <row r="22" spans="1:36" x14ac:dyDescent="0.25">
      <c r="A22" s="58">
        <f>'งบกำไรขาดทุน ปี 2025'!A22</f>
        <v>51000003</v>
      </c>
      <c r="B22" s="9" t="str">
        <f>'งบกำไรขาดทุน ปี 2025'!B22</f>
        <v>ต้นทุนขายสินค้า PC</v>
      </c>
      <c r="C22" s="20">
        <f>'งบกำไรขาดทุน ปี 2025'!O22</f>
        <v>0</v>
      </c>
      <c r="D22" s="21">
        <f t="shared" ref="D22" si="30">C22/$C$5</f>
        <v>0</v>
      </c>
      <c r="E22" s="141">
        <f>D22*$E$5</f>
        <v>0</v>
      </c>
      <c r="F22" s="221" t="e">
        <f>E22/$E$10</f>
        <v>#DIV/0!</v>
      </c>
      <c r="G22" s="478">
        <v>-1.4999999999999999E-2</v>
      </c>
      <c r="H22" s="582" t="s">
        <v>638</v>
      </c>
      <c r="I22" s="137" t="e">
        <f>(I10*($F$22+$G$22))</f>
        <v>#DIV/0!</v>
      </c>
      <c r="J22" s="105" t="e">
        <f>(J10*($F$22+$G$22))</f>
        <v>#DIV/0!</v>
      </c>
      <c r="K22" s="105" t="e">
        <f t="shared" ref="K22:T22" si="31">(K10*($F$22+$G$22))</f>
        <v>#DIV/0!</v>
      </c>
      <c r="L22" s="105" t="e">
        <f t="shared" si="31"/>
        <v>#DIV/0!</v>
      </c>
      <c r="M22" s="105" t="e">
        <f t="shared" si="31"/>
        <v>#DIV/0!</v>
      </c>
      <c r="N22" s="233" t="e">
        <f t="shared" si="31"/>
        <v>#DIV/0!</v>
      </c>
      <c r="O22" s="137" t="e">
        <f t="shared" si="31"/>
        <v>#DIV/0!</v>
      </c>
      <c r="P22" s="105" t="e">
        <f t="shared" si="31"/>
        <v>#DIV/0!</v>
      </c>
      <c r="Q22" s="105" t="e">
        <f t="shared" si="31"/>
        <v>#DIV/0!</v>
      </c>
      <c r="R22" s="105" t="e">
        <f t="shared" si="31"/>
        <v>#DIV/0!</v>
      </c>
      <c r="S22" s="105" t="e">
        <f t="shared" si="31"/>
        <v>#DIV/0!</v>
      </c>
      <c r="T22" s="246" t="e">
        <f t="shared" si="31"/>
        <v>#DIV/0!</v>
      </c>
      <c r="U22" s="154" t="e">
        <f>SUM(I22:T22)</f>
        <v>#DIV/0!</v>
      </c>
      <c r="V22" s="91" t="e">
        <f>I22/$I$18</f>
        <v>#DIV/0!</v>
      </c>
      <c r="W22" s="55" t="e">
        <f>J22/$J$18</f>
        <v>#DIV/0!</v>
      </c>
      <c r="X22" s="55" t="e">
        <f>K22/$K$18</f>
        <v>#DIV/0!</v>
      </c>
      <c r="Y22" s="55" t="e">
        <f>L22/$L$18</f>
        <v>#DIV/0!</v>
      </c>
      <c r="Z22" s="55" t="e">
        <f>M22/$M$18</f>
        <v>#DIV/0!</v>
      </c>
      <c r="AA22" s="55" t="e">
        <f>N22/$N$18</f>
        <v>#DIV/0!</v>
      </c>
      <c r="AB22" s="55" t="e">
        <f>O22/$O$18</f>
        <v>#DIV/0!</v>
      </c>
      <c r="AC22" s="55" t="e">
        <f>P22/$P$18</f>
        <v>#DIV/0!</v>
      </c>
      <c r="AD22" s="55" t="e">
        <f>Q22/$Q$18</f>
        <v>#DIV/0!</v>
      </c>
      <c r="AE22" s="55" t="e">
        <f>R22/$R$18</f>
        <v>#DIV/0!</v>
      </c>
      <c r="AF22" s="55" t="e">
        <f>S22/$S$18</f>
        <v>#DIV/0!</v>
      </c>
      <c r="AG22" s="55" t="e">
        <f>T22/$T$18</f>
        <v>#DIV/0!</v>
      </c>
      <c r="AH22" s="288" t="e">
        <f>U22/$U$10</f>
        <v>#DIV/0!</v>
      </c>
      <c r="AJ22" s="444">
        <f t="shared" si="0"/>
        <v>-1</v>
      </c>
    </row>
    <row r="23" spans="1:36" x14ac:dyDescent="0.25">
      <c r="A23" s="58">
        <f>'งบกำไรขาดทุน ปี 2025'!A23</f>
        <v>51000004</v>
      </c>
      <c r="B23" s="9" t="str">
        <f>'งบกำไรขาดทุน ปี 2025'!B23</f>
        <v>หัก ส่วนลดรับ</v>
      </c>
      <c r="C23" s="97">
        <f>'งบกำไรขาดทุน ปี 2025'!O23</f>
        <v>0</v>
      </c>
      <c r="D23" s="135">
        <f t="shared" si="15"/>
        <v>0</v>
      </c>
      <c r="E23" s="143">
        <f>D23*$E$5</f>
        <v>0</v>
      </c>
      <c r="F23" s="96" t="e">
        <f>(E23)/(E8+E9+E11+E12+E13)</f>
        <v>#DIV/0!</v>
      </c>
      <c r="G23" s="478">
        <v>0</v>
      </c>
      <c r="H23" s="582" t="s">
        <v>638</v>
      </c>
      <c r="I23" s="137" t="e">
        <f>($I$18*(F23+G23))</f>
        <v>#DIV/0!</v>
      </c>
      <c r="J23" s="105" t="e">
        <f>($J$18*(F23+G23))</f>
        <v>#DIV/0!</v>
      </c>
      <c r="K23" s="105" t="e">
        <f>($K$18*(F23+G23))</f>
        <v>#DIV/0!</v>
      </c>
      <c r="L23" s="105" t="e">
        <f>($L$18*(F23+G23))</f>
        <v>#DIV/0!</v>
      </c>
      <c r="M23" s="105" t="e">
        <f>($M$18*(F23+G23))</f>
        <v>#DIV/0!</v>
      </c>
      <c r="N23" s="233" t="e">
        <f>($N$18*(F23+G23))</f>
        <v>#DIV/0!</v>
      </c>
      <c r="O23" s="137" t="e">
        <f>($O$18*(F23+G23))</f>
        <v>#DIV/0!</v>
      </c>
      <c r="P23" s="105" t="e">
        <f>($P$18*(F23+G23))</f>
        <v>#DIV/0!</v>
      </c>
      <c r="Q23" s="105" t="e">
        <f>($Q$18*(F23+G23))</f>
        <v>#DIV/0!</v>
      </c>
      <c r="R23" s="105" t="e">
        <f>($R$18*(F23+G23))</f>
        <v>#DIV/0!</v>
      </c>
      <c r="S23" s="105" t="e">
        <f>($S$18*(F23+G23))</f>
        <v>#DIV/0!</v>
      </c>
      <c r="T23" s="246" t="e">
        <f>($T$18*(F23+G23))</f>
        <v>#DIV/0!</v>
      </c>
      <c r="U23" s="154" t="e">
        <f t="shared" si="19"/>
        <v>#DIV/0!</v>
      </c>
      <c r="V23" s="91" t="e">
        <f>I23/$I$18</f>
        <v>#DIV/0!</v>
      </c>
      <c r="W23" s="55" t="e">
        <f>J23/$J$18</f>
        <v>#DIV/0!</v>
      </c>
      <c r="X23" s="55" t="e">
        <f>K23/$K$18</f>
        <v>#DIV/0!</v>
      </c>
      <c r="Y23" s="55" t="e">
        <f>L23/$L$18</f>
        <v>#DIV/0!</v>
      </c>
      <c r="Z23" s="55" t="e">
        <f>M23/$M$18</f>
        <v>#DIV/0!</v>
      </c>
      <c r="AA23" s="55" t="e">
        <f>N23/$N$18</f>
        <v>#DIV/0!</v>
      </c>
      <c r="AB23" s="55" t="e">
        <f>O23/$O$18</f>
        <v>#DIV/0!</v>
      </c>
      <c r="AC23" s="55" t="e">
        <f>P23/$P$18</f>
        <v>#DIV/0!</v>
      </c>
      <c r="AD23" s="55" t="e">
        <f>Q23/$Q$18</f>
        <v>#DIV/0!</v>
      </c>
      <c r="AE23" s="55" t="e">
        <f>R23/$R$18</f>
        <v>#DIV/0!</v>
      </c>
      <c r="AF23" s="55" t="e">
        <f>S23/$S$18</f>
        <v>#DIV/0!</v>
      </c>
      <c r="AG23" s="55" t="e">
        <f>T23/$T$18</f>
        <v>#DIV/0!</v>
      </c>
      <c r="AH23" s="288" t="e">
        <f>U23/(U8+U9+U11+U13+U14)</f>
        <v>#DIV/0!</v>
      </c>
      <c r="AJ23" s="444">
        <f t="shared" si="0"/>
        <v>-1</v>
      </c>
    </row>
    <row r="24" spans="1:36" s="12" customFormat="1" x14ac:dyDescent="0.25">
      <c r="A24" s="161">
        <f>'งบกำไรขาดทุน ปี 2025'!A24</f>
        <v>51000001</v>
      </c>
      <c r="B24" s="15" t="str">
        <f>'งบกำไรขาดทุน ปี 2025'!B24</f>
        <v>รวมต้นทุนขาย</v>
      </c>
      <c r="C24" s="25">
        <f>'งบกำไรขาดทุน ปี 2025'!O24</f>
        <v>0</v>
      </c>
      <c r="D24" s="13">
        <f t="shared" si="15"/>
        <v>0</v>
      </c>
      <c r="E24" s="144">
        <f>D24*$E$5</f>
        <v>0</v>
      </c>
      <c r="F24" s="223" t="e">
        <f>E24/$E$18</f>
        <v>#DIV/0!</v>
      </c>
      <c r="G24" s="443"/>
      <c r="H24" s="582" t="s">
        <v>631</v>
      </c>
      <c r="I24" s="180" t="e">
        <f>SUM(I20:I23)</f>
        <v>#DIV/0!</v>
      </c>
      <c r="J24" s="177" t="e">
        <f t="shared" ref="J24:T24" si="32">SUM(J20:J23)</f>
        <v>#DIV/0!</v>
      </c>
      <c r="K24" s="177" t="e">
        <f t="shared" si="32"/>
        <v>#DIV/0!</v>
      </c>
      <c r="L24" s="177" t="e">
        <f t="shared" si="32"/>
        <v>#DIV/0!</v>
      </c>
      <c r="M24" s="177" t="e">
        <f t="shared" si="32"/>
        <v>#DIV/0!</v>
      </c>
      <c r="N24" s="234" t="e">
        <f t="shared" si="32"/>
        <v>#DIV/0!</v>
      </c>
      <c r="O24" s="180" t="e">
        <f t="shared" si="32"/>
        <v>#DIV/0!</v>
      </c>
      <c r="P24" s="177" t="e">
        <f t="shared" si="32"/>
        <v>#DIV/0!</v>
      </c>
      <c r="Q24" s="177" t="e">
        <f t="shared" si="32"/>
        <v>#DIV/0!</v>
      </c>
      <c r="R24" s="177" t="e">
        <f t="shared" si="32"/>
        <v>#DIV/0!</v>
      </c>
      <c r="S24" s="177" t="e">
        <f t="shared" si="32"/>
        <v>#DIV/0!</v>
      </c>
      <c r="T24" s="247" t="e">
        <f t="shared" si="32"/>
        <v>#DIV/0!</v>
      </c>
      <c r="U24" s="177" t="e">
        <f>SUM(U19:U23)</f>
        <v>#DIV/0!</v>
      </c>
      <c r="V24" s="178" t="e">
        <f>I24/$I$18</f>
        <v>#DIV/0!</v>
      </c>
      <c r="W24" s="179" t="e">
        <f>J24/$J$18</f>
        <v>#DIV/0!</v>
      </c>
      <c r="X24" s="179" t="e">
        <f>K24/$K$18</f>
        <v>#DIV/0!</v>
      </c>
      <c r="Y24" s="179" t="e">
        <f>L24/$L$18</f>
        <v>#DIV/0!</v>
      </c>
      <c r="Z24" s="179" t="e">
        <f>M24/$M$18</f>
        <v>#DIV/0!</v>
      </c>
      <c r="AA24" s="179" t="e">
        <f>N24/$N$18</f>
        <v>#DIV/0!</v>
      </c>
      <c r="AB24" s="179" t="e">
        <f>O24/$O$18</f>
        <v>#DIV/0!</v>
      </c>
      <c r="AC24" s="179" t="e">
        <f>P24/$P$18</f>
        <v>#DIV/0!</v>
      </c>
      <c r="AD24" s="179" t="e">
        <f>Q24/$Q$18</f>
        <v>#DIV/0!</v>
      </c>
      <c r="AE24" s="179" t="e">
        <f>R24/$R$18</f>
        <v>#DIV/0!</v>
      </c>
      <c r="AF24" s="179" t="e">
        <f>S24/$S$18</f>
        <v>#DIV/0!</v>
      </c>
      <c r="AG24" s="179" t="e">
        <f>T24/$T$18</f>
        <v>#DIV/0!</v>
      </c>
      <c r="AH24" s="289" t="e">
        <f>U24/$U$18</f>
        <v>#DIV/0!</v>
      </c>
      <c r="AI24" s="582" t="s">
        <v>631</v>
      </c>
      <c r="AJ24" s="444">
        <f>IFERROR(U24/E24,0)-1</f>
        <v>-1</v>
      </c>
    </row>
    <row r="25" spans="1:36" x14ac:dyDescent="0.25">
      <c r="A25" s="58">
        <f>'งบกำไรขาดทุน ปี 2025'!A25</f>
        <v>0</v>
      </c>
      <c r="B25" s="16" t="str">
        <f>'งบกำไรขาดทุน ปี 2025'!B25</f>
        <v>ค่าใช้จ่ายในการขาย</v>
      </c>
      <c r="C25" s="20"/>
      <c r="D25" s="21"/>
      <c r="E25" s="141"/>
      <c r="F25" s="221" t="e">
        <f>E25/$E$18</f>
        <v>#DIV/0!</v>
      </c>
      <c r="G25" s="221"/>
      <c r="H25" s="580"/>
      <c r="I25" s="137"/>
      <c r="J25" s="105"/>
      <c r="K25" s="105"/>
      <c r="L25" s="105"/>
      <c r="M25" s="105"/>
      <c r="N25" s="233"/>
      <c r="O25" s="137"/>
      <c r="P25" s="105"/>
      <c r="Q25" s="105"/>
      <c r="R25" s="105"/>
      <c r="S25" s="105"/>
      <c r="T25" s="249"/>
      <c r="U25" s="154"/>
      <c r="V25" s="91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288"/>
      <c r="AI25" s="580"/>
      <c r="AJ25" s="444">
        <f t="shared" si="0"/>
        <v>-1</v>
      </c>
    </row>
    <row r="26" spans="1:36" x14ac:dyDescent="0.25">
      <c r="A26" s="58">
        <f>'งบกำไรขาดทุน ปี 2025'!A26</f>
        <v>52000017</v>
      </c>
      <c r="B26" s="16" t="str">
        <f>'งบกำไรขาดทุน ปี 2025'!B26</f>
        <v>ค่าใช้จ่ายในการขาย และค่าธรรมเนียม</v>
      </c>
      <c r="C26" s="20">
        <f>'งบกำไรขาดทุน ปี 2025'!O26</f>
        <v>0</v>
      </c>
      <c r="D26" s="21">
        <f t="shared" si="15"/>
        <v>0</v>
      </c>
      <c r="E26" s="141">
        <f t="shared" ref="E26:E38" si="33">D26*$E$5</f>
        <v>0</v>
      </c>
      <c r="F26" s="221" t="e">
        <f t="shared" ref="F26:F38" si="34">E26/$E$18</f>
        <v>#DIV/0!</v>
      </c>
      <c r="G26" s="221"/>
      <c r="H26" s="582" t="s">
        <v>632</v>
      </c>
      <c r="I26" s="137" t="e">
        <f>((I$18*($F26+$G26)))</f>
        <v>#DIV/0!</v>
      </c>
      <c r="J26" s="105" t="e">
        <f>((J$18*($F26+$G26))+'การลงระหว่างเดือน ปี 2026'!AP13)</f>
        <v>#DIV/0!</v>
      </c>
      <c r="K26" s="105" t="e">
        <f>((K$18*($F26+$G26))+'การลงระหว่างเดือน ปี 2026'!AQ13)</f>
        <v>#DIV/0!</v>
      </c>
      <c r="L26" s="105" t="e">
        <f>((L$18*($F26+$G26))+'การลงระหว่างเดือน ปี 2026'!AR13)</f>
        <v>#DIV/0!</v>
      </c>
      <c r="M26" s="105" t="e">
        <f>((M$18*($F26+$G26))+'การลงระหว่างเดือน ปี 2026'!AS13)</f>
        <v>#DIV/0!</v>
      </c>
      <c r="N26" s="233" t="e">
        <f>((N$18*($F26+$G26))+'การลงระหว่างเดือน ปี 2026'!AT13)</f>
        <v>#DIV/0!</v>
      </c>
      <c r="O26" s="137" t="e">
        <f>((O$18*($F26+$G26))+'การลงระหว่างเดือน ปี 2026'!AU13)</f>
        <v>#DIV/0!</v>
      </c>
      <c r="P26" s="105" t="e">
        <f>((P$18*($F26+$G26))+'การลงระหว่างเดือน ปี 2026'!AV13)</f>
        <v>#DIV/0!</v>
      </c>
      <c r="Q26" s="105" t="e">
        <f>((Q$18*($F26+$G26))+'การลงระหว่างเดือน ปี 2026'!AW13)</f>
        <v>#DIV/0!</v>
      </c>
      <c r="R26" s="105" t="e">
        <f>((R$18*($F26+$G26))+'การลงระหว่างเดือน ปี 2026'!AX13)</f>
        <v>#DIV/0!</v>
      </c>
      <c r="S26" s="105" t="e">
        <f>((S$18*($F26+$G26))+'การลงระหว่างเดือน ปี 2026'!AY13)</f>
        <v>#DIV/0!</v>
      </c>
      <c r="T26" s="246" t="e">
        <f>((T$18*($F26+$G26))+'การลงระหว่างเดือน ปี 2026'!AZ13)</f>
        <v>#DIV/0!</v>
      </c>
      <c r="U26" s="154" t="e">
        <f t="shared" si="19"/>
        <v>#DIV/0!</v>
      </c>
      <c r="V26" s="91" t="e">
        <f t="shared" ref="V26:V38" si="35">I26/$I$18</f>
        <v>#DIV/0!</v>
      </c>
      <c r="W26" s="55" t="e">
        <f t="shared" ref="W26:W38" si="36">J26/$J$18</f>
        <v>#DIV/0!</v>
      </c>
      <c r="X26" s="55" t="e">
        <f t="shared" ref="X26:X38" si="37">K26/$K$18</f>
        <v>#DIV/0!</v>
      </c>
      <c r="Y26" s="55" t="e">
        <f t="shared" ref="Y26:Y38" si="38">L26/$L$18</f>
        <v>#DIV/0!</v>
      </c>
      <c r="Z26" s="55" t="e">
        <f t="shared" ref="Z26:Z38" si="39">M26/$M$18</f>
        <v>#DIV/0!</v>
      </c>
      <c r="AA26" s="55" t="e">
        <f t="shared" ref="AA26:AA38" si="40">N26/$N$18</f>
        <v>#DIV/0!</v>
      </c>
      <c r="AB26" s="55" t="e">
        <f t="shared" ref="AB26:AB38" si="41">O26/$O$18</f>
        <v>#DIV/0!</v>
      </c>
      <c r="AC26" s="55" t="e">
        <f t="shared" ref="AC26:AC38" si="42">P26/$P$18</f>
        <v>#DIV/0!</v>
      </c>
      <c r="AD26" s="55" t="e">
        <f t="shared" ref="AD26:AD38" si="43">Q26/$Q$18</f>
        <v>#DIV/0!</v>
      </c>
      <c r="AE26" s="55" t="e">
        <f t="shared" ref="AE26:AE38" si="44">R26/$R$18</f>
        <v>#DIV/0!</v>
      </c>
      <c r="AF26" s="55" t="e">
        <f t="shared" ref="AF26:AF38" si="45">S26/$S$18</f>
        <v>#DIV/0!</v>
      </c>
      <c r="AG26" s="55" t="e">
        <f t="shared" ref="AG26:AG38" si="46">T26/$T$18</f>
        <v>#DIV/0!</v>
      </c>
      <c r="AH26" s="288" t="e">
        <f t="shared" ref="AH26:AH38" si="47">U26/$U$18</f>
        <v>#DIV/0!</v>
      </c>
      <c r="AI26" s="582" t="s">
        <v>632</v>
      </c>
      <c r="AJ26" s="444">
        <f t="shared" si="0"/>
        <v>-1</v>
      </c>
    </row>
    <row r="27" spans="1:36" x14ac:dyDescent="0.25">
      <c r="A27" s="58">
        <f>'งบกำไรขาดทุน ปี 2025'!A27</f>
        <v>52000001</v>
      </c>
      <c r="B27" s="16" t="str">
        <f>'งบกำไรขาดทุน ปี 2025'!B27</f>
        <v>ค่าส่งเสริมการขาย</v>
      </c>
      <c r="C27" s="20">
        <f>'งบกำไรขาดทุน ปี 2025'!O27</f>
        <v>0</v>
      </c>
      <c r="D27" s="21">
        <f t="shared" si="15"/>
        <v>0</v>
      </c>
      <c r="E27" s="141">
        <f t="shared" si="33"/>
        <v>0</v>
      </c>
      <c r="F27" s="221" t="e">
        <f t="shared" si="34"/>
        <v>#DIV/0!</v>
      </c>
      <c r="G27" s="221"/>
      <c r="H27" s="439" t="s">
        <v>653</v>
      </c>
      <c r="I27" s="137">
        <f>'การลงระหว่างเดือน ปี 2026'!AO13</f>
        <v>0</v>
      </c>
      <c r="J27" s="105">
        <f>'การลงระหว่างเดือน ปี 2026'!AP13</f>
        <v>0</v>
      </c>
      <c r="K27" s="105">
        <f>'การลงระหว่างเดือน ปี 2026'!AQ13</f>
        <v>0</v>
      </c>
      <c r="L27" s="105">
        <f>'การลงระหว่างเดือน ปี 2026'!AR13</f>
        <v>0</v>
      </c>
      <c r="M27" s="105">
        <f>'การลงระหว่างเดือน ปี 2026'!AS13</f>
        <v>0</v>
      </c>
      <c r="N27" s="105">
        <f>'การลงระหว่างเดือน ปี 2026'!AT13</f>
        <v>0</v>
      </c>
      <c r="O27" s="137">
        <f>'การลงระหว่างเดือน ปี 2026'!AU13</f>
        <v>0</v>
      </c>
      <c r="P27" s="105">
        <f>'การลงระหว่างเดือน ปี 2026'!AV13</f>
        <v>0</v>
      </c>
      <c r="Q27" s="105">
        <f>'การลงระหว่างเดือน ปี 2026'!AW13</f>
        <v>0</v>
      </c>
      <c r="R27" s="105">
        <f>'การลงระหว่างเดือน ปี 2026'!AX13</f>
        <v>0</v>
      </c>
      <c r="S27" s="105">
        <f>'การลงระหว่างเดือน ปี 2026'!AY13</f>
        <v>0</v>
      </c>
      <c r="T27" s="246">
        <f>'การลงระหว่างเดือน ปี 2026'!AZ13</f>
        <v>0</v>
      </c>
      <c r="U27" s="154">
        <f t="shared" si="19"/>
        <v>0</v>
      </c>
      <c r="V27" s="91" t="e">
        <f t="shared" si="35"/>
        <v>#DIV/0!</v>
      </c>
      <c r="W27" s="55" t="e">
        <f t="shared" si="36"/>
        <v>#DIV/0!</v>
      </c>
      <c r="X27" s="55" t="e">
        <f t="shared" si="37"/>
        <v>#DIV/0!</v>
      </c>
      <c r="Y27" s="55" t="e">
        <f t="shared" si="38"/>
        <v>#DIV/0!</v>
      </c>
      <c r="Z27" s="55" t="e">
        <f t="shared" si="39"/>
        <v>#DIV/0!</v>
      </c>
      <c r="AA27" s="55" t="e">
        <f t="shared" si="40"/>
        <v>#DIV/0!</v>
      </c>
      <c r="AB27" s="55" t="e">
        <f t="shared" si="41"/>
        <v>#DIV/0!</v>
      </c>
      <c r="AC27" s="55" t="e">
        <f t="shared" si="42"/>
        <v>#DIV/0!</v>
      </c>
      <c r="AD27" s="55" t="e">
        <f t="shared" si="43"/>
        <v>#DIV/0!</v>
      </c>
      <c r="AE27" s="55" t="e">
        <f t="shared" si="44"/>
        <v>#DIV/0!</v>
      </c>
      <c r="AF27" s="55" t="e">
        <f t="shared" si="45"/>
        <v>#DIV/0!</v>
      </c>
      <c r="AG27" s="55" t="e">
        <f t="shared" si="46"/>
        <v>#DIV/0!</v>
      </c>
      <c r="AH27" s="288" t="e">
        <f t="shared" si="47"/>
        <v>#DIV/0!</v>
      </c>
      <c r="AI27" s="582" t="s">
        <v>632</v>
      </c>
      <c r="AJ27" s="444">
        <f t="shared" si="0"/>
        <v>-1</v>
      </c>
    </row>
    <row r="28" spans="1:36" x14ac:dyDescent="0.25">
      <c r="A28" s="58">
        <f>'งบกำไรขาดทุน ปี 2025'!A28</f>
        <v>52000003</v>
      </c>
      <c r="B28" s="16" t="str">
        <f>'งบกำไรขาดทุน ปี 2025'!B28</f>
        <v>ค่าชันสูตรโรค</v>
      </c>
      <c r="C28" s="20">
        <f>'งบกำไรขาดทุน ปี 2025'!O28</f>
        <v>0</v>
      </c>
      <c r="D28" s="21">
        <f t="shared" si="15"/>
        <v>0</v>
      </c>
      <c r="E28" s="141">
        <f t="shared" si="33"/>
        <v>0</v>
      </c>
      <c r="F28" s="221" t="e">
        <f t="shared" si="34"/>
        <v>#DIV/0!</v>
      </c>
      <c r="G28" s="221"/>
      <c r="H28" s="582" t="s">
        <v>632</v>
      </c>
      <c r="I28" s="137" t="e">
        <f>((I$18*($F28+$G28)))</f>
        <v>#DIV/0!</v>
      </c>
      <c r="J28" s="105" t="e">
        <f t="shared" ref="J28:T32" si="48">((J$18*($F28+$G28)))</f>
        <v>#DIV/0!</v>
      </c>
      <c r="K28" s="105" t="e">
        <f t="shared" si="48"/>
        <v>#DIV/0!</v>
      </c>
      <c r="L28" s="105" t="e">
        <f t="shared" si="48"/>
        <v>#DIV/0!</v>
      </c>
      <c r="M28" s="105" t="e">
        <f t="shared" si="48"/>
        <v>#DIV/0!</v>
      </c>
      <c r="N28" s="233" t="e">
        <f t="shared" si="48"/>
        <v>#DIV/0!</v>
      </c>
      <c r="O28" s="137" t="e">
        <f t="shared" si="48"/>
        <v>#DIV/0!</v>
      </c>
      <c r="P28" s="105" t="e">
        <f t="shared" si="48"/>
        <v>#DIV/0!</v>
      </c>
      <c r="Q28" s="105" t="e">
        <f t="shared" si="48"/>
        <v>#DIV/0!</v>
      </c>
      <c r="R28" s="105" t="e">
        <f t="shared" si="48"/>
        <v>#DIV/0!</v>
      </c>
      <c r="S28" s="105" t="e">
        <f t="shared" si="48"/>
        <v>#DIV/0!</v>
      </c>
      <c r="T28" s="246" t="e">
        <f t="shared" si="48"/>
        <v>#DIV/0!</v>
      </c>
      <c r="U28" s="154" t="e">
        <f t="shared" si="19"/>
        <v>#DIV/0!</v>
      </c>
      <c r="V28" s="91" t="e">
        <f t="shared" si="35"/>
        <v>#DIV/0!</v>
      </c>
      <c r="W28" s="55" t="e">
        <f t="shared" si="36"/>
        <v>#DIV/0!</v>
      </c>
      <c r="X28" s="55" t="e">
        <f t="shared" si="37"/>
        <v>#DIV/0!</v>
      </c>
      <c r="Y28" s="55" t="e">
        <f t="shared" si="38"/>
        <v>#DIV/0!</v>
      </c>
      <c r="Z28" s="55" t="e">
        <f t="shared" si="39"/>
        <v>#DIV/0!</v>
      </c>
      <c r="AA28" s="55" t="e">
        <f t="shared" si="40"/>
        <v>#DIV/0!</v>
      </c>
      <c r="AB28" s="55" t="e">
        <f t="shared" si="41"/>
        <v>#DIV/0!</v>
      </c>
      <c r="AC28" s="55" t="e">
        <f t="shared" si="42"/>
        <v>#DIV/0!</v>
      </c>
      <c r="AD28" s="55" t="e">
        <f t="shared" si="43"/>
        <v>#DIV/0!</v>
      </c>
      <c r="AE28" s="55" t="e">
        <f t="shared" si="44"/>
        <v>#DIV/0!</v>
      </c>
      <c r="AF28" s="55" t="e">
        <f t="shared" si="45"/>
        <v>#DIV/0!</v>
      </c>
      <c r="AG28" s="55" t="e">
        <f t="shared" si="46"/>
        <v>#DIV/0!</v>
      </c>
      <c r="AH28" s="288" t="e">
        <f t="shared" si="47"/>
        <v>#DIV/0!</v>
      </c>
      <c r="AI28" s="582" t="s">
        <v>632</v>
      </c>
      <c r="AJ28" s="444">
        <f t="shared" si="0"/>
        <v>-1</v>
      </c>
    </row>
    <row r="29" spans="1:36" x14ac:dyDescent="0.25">
      <c r="A29" s="58">
        <f>'งบกำไรขาดทุน ปี 2025'!A29</f>
        <v>52000004</v>
      </c>
      <c r="B29" s="16" t="str">
        <f>'งบกำไรขาดทุน ปี 2025'!B29</f>
        <v>ค่าส่งเผา</v>
      </c>
      <c r="C29" s="20">
        <f>'งบกำไรขาดทุน ปี 2025'!O29</f>
        <v>0</v>
      </c>
      <c r="D29" s="21">
        <f t="shared" si="15"/>
        <v>0</v>
      </c>
      <c r="E29" s="141">
        <f t="shared" si="33"/>
        <v>0</v>
      </c>
      <c r="F29" s="221" t="e">
        <f t="shared" si="34"/>
        <v>#DIV/0!</v>
      </c>
      <c r="G29" s="221"/>
      <c r="H29" s="582" t="s">
        <v>632</v>
      </c>
      <c r="I29" s="137" t="e">
        <f t="shared" ref="I29:I32" si="49">((I$18*($F29+$G29)))</f>
        <v>#DIV/0!</v>
      </c>
      <c r="J29" s="105" t="e">
        <f t="shared" si="48"/>
        <v>#DIV/0!</v>
      </c>
      <c r="K29" s="105" t="e">
        <f t="shared" si="48"/>
        <v>#DIV/0!</v>
      </c>
      <c r="L29" s="105" t="e">
        <f t="shared" si="48"/>
        <v>#DIV/0!</v>
      </c>
      <c r="M29" s="105" t="e">
        <f t="shared" si="48"/>
        <v>#DIV/0!</v>
      </c>
      <c r="N29" s="233" t="e">
        <f t="shared" si="48"/>
        <v>#DIV/0!</v>
      </c>
      <c r="O29" s="137" t="e">
        <f t="shared" si="48"/>
        <v>#DIV/0!</v>
      </c>
      <c r="P29" s="105" t="e">
        <f t="shared" si="48"/>
        <v>#DIV/0!</v>
      </c>
      <c r="Q29" s="105" t="e">
        <f t="shared" si="48"/>
        <v>#DIV/0!</v>
      </c>
      <c r="R29" s="105" t="e">
        <f t="shared" si="48"/>
        <v>#DIV/0!</v>
      </c>
      <c r="S29" s="105" t="e">
        <f t="shared" si="48"/>
        <v>#DIV/0!</v>
      </c>
      <c r="T29" s="246" t="e">
        <f t="shared" si="48"/>
        <v>#DIV/0!</v>
      </c>
      <c r="U29" s="154" t="e">
        <f t="shared" si="19"/>
        <v>#DIV/0!</v>
      </c>
      <c r="V29" s="91" t="e">
        <f t="shared" si="35"/>
        <v>#DIV/0!</v>
      </c>
      <c r="W29" s="55" t="e">
        <f t="shared" si="36"/>
        <v>#DIV/0!</v>
      </c>
      <c r="X29" s="55" t="e">
        <f t="shared" si="37"/>
        <v>#DIV/0!</v>
      </c>
      <c r="Y29" s="55" t="e">
        <f t="shared" si="38"/>
        <v>#DIV/0!</v>
      </c>
      <c r="Z29" s="55" t="e">
        <f t="shared" si="39"/>
        <v>#DIV/0!</v>
      </c>
      <c r="AA29" s="55" t="e">
        <f t="shared" si="40"/>
        <v>#DIV/0!</v>
      </c>
      <c r="AB29" s="55" t="e">
        <f t="shared" si="41"/>
        <v>#DIV/0!</v>
      </c>
      <c r="AC29" s="55" t="e">
        <f t="shared" si="42"/>
        <v>#DIV/0!</v>
      </c>
      <c r="AD29" s="55" t="e">
        <f t="shared" si="43"/>
        <v>#DIV/0!</v>
      </c>
      <c r="AE29" s="55" t="e">
        <f t="shared" si="44"/>
        <v>#DIV/0!</v>
      </c>
      <c r="AF29" s="55" t="e">
        <f t="shared" si="45"/>
        <v>#DIV/0!</v>
      </c>
      <c r="AG29" s="55" t="e">
        <f t="shared" si="46"/>
        <v>#DIV/0!</v>
      </c>
      <c r="AH29" s="288" t="e">
        <f t="shared" si="47"/>
        <v>#DIV/0!</v>
      </c>
      <c r="AI29" s="582" t="s">
        <v>632</v>
      </c>
      <c r="AJ29" s="444">
        <f t="shared" si="0"/>
        <v>-1</v>
      </c>
    </row>
    <row r="30" spans="1:36" x14ac:dyDescent="0.25">
      <c r="A30" s="58">
        <f>'งบกำไรขาดทุน ปี 2025'!A30</f>
        <v>52000005</v>
      </c>
      <c r="B30" s="16" t="str">
        <f>'งบกำไรขาดทุน ปี 2025'!B30</f>
        <v>ค่าตรวจเลือด</v>
      </c>
      <c r="C30" s="20">
        <f>'งบกำไรขาดทุน ปี 2025'!O30</f>
        <v>0</v>
      </c>
      <c r="D30" s="21">
        <f t="shared" si="15"/>
        <v>0</v>
      </c>
      <c r="E30" s="141">
        <f t="shared" si="33"/>
        <v>0</v>
      </c>
      <c r="F30" s="221" t="e">
        <f t="shared" si="34"/>
        <v>#DIV/0!</v>
      </c>
      <c r="G30" s="221"/>
      <c r="H30" s="582" t="s">
        <v>632</v>
      </c>
      <c r="I30" s="137" t="e">
        <f t="shared" si="49"/>
        <v>#DIV/0!</v>
      </c>
      <c r="J30" s="105" t="e">
        <f t="shared" si="48"/>
        <v>#DIV/0!</v>
      </c>
      <c r="K30" s="105" t="e">
        <f t="shared" si="48"/>
        <v>#DIV/0!</v>
      </c>
      <c r="L30" s="105" t="e">
        <f t="shared" si="48"/>
        <v>#DIV/0!</v>
      </c>
      <c r="M30" s="105" t="e">
        <f t="shared" si="48"/>
        <v>#DIV/0!</v>
      </c>
      <c r="N30" s="233" t="e">
        <f t="shared" si="48"/>
        <v>#DIV/0!</v>
      </c>
      <c r="O30" s="137" t="e">
        <f t="shared" si="48"/>
        <v>#DIV/0!</v>
      </c>
      <c r="P30" s="105" t="e">
        <f t="shared" si="48"/>
        <v>#DIV/0!</v>
      </c>
      <c r="Q30" s="105" t="e">
        <f t="shared" si="48"/>
        <v>#DIV/0!</v>
      </c>
      <c r="R30" s="105" t="e">
        <f t="shared" si="48"/>
        <v>#DIV/0!</v>
      </c>
      <c r="S30" s="105" t="e">
        <f t="shared" si="48"/>
        <v>#DIV/0!</v>
      </c>
      <c r="T30" s="246" t="e">
        <f t="shared" si="48"/>
        <v>#DIV/0!</v>
      </c>
      <c r="U30" s="154" t="e">
        <f t="shared" si="19"/>
        <v>#DIV/0!</v>
      </c>
      <c r="V30" s="91" t="e">
        <f t="shared" si="35"/>
        <v>#DIV/0!</v>
      </c>
      <c r="W30" s="55" t="e">
        <f t="shared" si="36"/>
        <v>#DIV/0!</v>
      </c>
      <c r="X30" s="55" t="e">
        <f t="shared" si="37"/>
        <v>#DIV/0!</v>
      </c>
      <c r="Y30" s="55" t="e">
        <f t="shared" si="38"/>
        <v>#DIV/0!</v>
      </c>
      <c r="Z30" s="55" t="e">
        <f t="shared" si="39"/>
        <v>#DIV/0!</v>
      </c>
      <c r="AA30" s="55" t="e">
        <f t="shared" si="40"/>
        <v>#DIV/0!</v>
      </c>
      <c r="AB30" s="55" t="e">
        <f t="shared" si="41"/>
        <v>#DIV/0!</v>
      </c>
      <c r="AC30" s="55" t="e">
        <f t="shared" si="42"/>
        <v>#DIV/0!</v>
      </c>
      <c r="AD30" s="55" t="e">
        <f t="shared" si="43"/>
        <v>#DIV/0!</v>
      </c>
      <c r="AE30" s="55" t="e">
        <f t="shared" si="44"/>
        <v>#DIV/0!</v>
      </c>
      <c r="AF30" s="55" t="e">
        <f t="shared" si="45"/>
        <v>#DIV/0!</v>
      </c>
      <c r="AG30" s="55" t="e">
        <f t="shared" si="46"/>
        <v>#DIV/0!</v>
      </c>
      <c r="AH30" s="288" t="e">
        <f t="shared" si="47"/>
        <v>#DIV/0!</v>
      </c>
      <c r="AI30" s="582" t="s">
        <v>632</v>
      </c>
      <c r="AJ30" s="444">
        <f t="shared" si="0"/>
        <v>-1</v>
      </c>
    </row>
    <row r="31" spans="1:36" x14ac:dyDescent="0.25">
      <c r="A31" s="58">
        <f>'งบกำไรขาดทุน ปี 2025'!A31</f>
        <v>52000006</v>
      </c>
      <c r="B31" s="16" t="str">
        <f>'งบกำไรขาดทุน ปี 2025'!B31</f>
        <v>ค่าตรวจเลือดภายใน</v>
      </c>
      <c r="C31" s="20">
        <f>'งบกำไรขาดทุน ปี 2025'!O31</f>
        <v>0</v>
      </c>
      <c r="D31" s="21">
        <f t="shared" si="15"/>
        <v>0</v>
      </c>
      <c r="E31" s="141">
        <f t="shared" si="33"/>
        <v>0</v>
      </c>
      <c r="F31" s="221" t="e">
        <f t="shared" si="34"/>
        <v>#DIV/0!</v>
      </c>
      <c r="G31" s="221"/>
      <c r="H31" s="582" t="s">
        <v>632</v>
      </c>
      <c r="I31" s="137" t="e">
        <f t="shared" si="49"/>
        <v>#DIV/0!</v>
      </c>
      <c r="J31" s="105" t="e">
        <f t="shared" si="48"/>
        <v>#DIV/0!</v>
      </c>
      <c r="K31" s="105" t="e">
        <f t="shared" si="48"/>
        <v>#DIV/0!</v>
      </c>
      <c r="L31" s="105" t="e">
        <f t="shared" si="48"/>
        <v>#DIV/0!</v>
      </c>
      <c r="M31" s="105" t="e">
        <f t="shared" si="48"/>
        <v>#DIV/0!</v>
      </c>
      <c r="N31" s="233" t="e">
        <f t="shared" si="48"/>
        <v>#DIV/0!</v>
      </c>
      <c r="O31" s="137" t="e">
        <f t="shared" si="48"/>
        <v>#DIV/0!</v>
      </c>
      <c r="P31" s="105" t="e">
        <f t="shared" si="48"/>
        <v>#DIV/0!</v>
      </c>
      <c r="Q31" s="105" t="e">
        <f t="shared" si="48"/>
        <v>#DIV/0!</v>
      </c>
      <c r="R31" s="105" t="e">
        <f t="shared" si="48"/>
        <v>#DIV/0!</v>
      </c>
      <c r="S31" s="105" t="e">
        <f t="shared" si="48"/>
        <v>#DIV/0!</v>
      </c>
      <c r="T31" s="246" t="e">
        <f t="shared" si="48"/>
        <v>#DIV/0!</v>
      </c>
      <c r="U31" s="154" t="e">
        <f t="shared" si="19"/>
        <v>#DIV/0!</v>
      </c>
      <c r="V31" s="91" t="e">
        <f t="shared" si="35"/>
        <v>#DIV/0!</v>
      </c>
      <c r="W31" s="55" t="e">
        <f t="shared" si="36"/>
        <v>#DIV/0!</v>
      </c>
      <c r="X31" s="55" t="e">
        <f t="shared" si="37"/>
        <v>#DIV/0!</v>
      </c>
      <c r="Y31" s="55" t="e">
        <f t="shared" si="38"/>
        <v>#DIV/0!</v>
      </c>
      <c r="Z31" s="55" t="e">
        <f t="shared" si="39"/>
        <v>#DIV/0!</v>
      </c>
      <c r="AA31" s="55" t="e">
        <f t="shared" si="40"/>
        <v>#DIV/0!</v>
      </c>
      <c r="AB31" s="55" t="e">
        <f t="shared" si="41"/>
        <v>#DIV/0!</v>
      </c>
      <c r="AC31" s="55" t="e">
        <f t="shared" si="42"/>
        <v>#DIV/0!</v>
      </c>
      <c r="AD31" s="55" t="e">
        <f t="shared" si="43"/>
        <v>#DIV/0!</v>
      </c>
      <c r="AE31" s="55" t="e">
        <f t="shared" si="44"/>
        <v>#DIV/0!</v>
      </c>
      <c r="AF31" s="55" t="e">
        <f t="shared" si="45"/>
        <v>#DIV/0!</v>
      </c>
      <c r="AG31" s="55" t="e">
        <f t="shared" si="46"/>
        <v>#DIV/0!</v>
      </c>
      <c r="AH31" s="288" t="e">
        <f t="shared" si="47"/>
        <v>#DIV/0!</v>
      </c>
      <c r="AI31" s="582" t="s">
        <v>632</v>
      </c>
      <c r="AJ31" s="444">
        <f t="shared" si="0"/>
        <v>-1</v>
      </c>
    </row>
    <row r="32" spans="1:36" x14ac:dyDescent="0.25">
      <c r="A32" s="58">
        <f>'งบกำไรขาดทุน ปี 2025'!A32</f>
        <v>52000007</v>
      </c>
      <c r="B32" s="16" t="str">
        <f>'งบกำไรขาดทุน ปี 2025'!B32</f>
        <v>ค่าเช่าเครื่องมือภายใน</v>
      </c>
      <c r="C32" s="20">
        <f>'งบกำไรขาดทุน ปี 2025'!O32</f>
        <v>0</v>
      </c>
      <c r="D32" s="21">
        <f t="shared" si="15"/>
        <v>0</v>
      </c>
      <c r="E32" s="141">
        <f t="shared" si="33"/>
        <v>0</v>
      </c>
      <c r="F32" s="221" t="e">
        <f t="shared" si="34"/>
        <v>#DIV/0!</v>
      </c>
      <c r="G32" s="221"/>
      <c r="H32" s="582" t="s">
        <v>632</v>
      </c>
      <c r="I32" s="137" t="e">
        <f t="shared" si="49"/>
        <v>#DIV/0!</v>
      </c>
      <c r="J32" s="105" t="e">
        <f t="shared" si="48"/>
        <v>#DIV/0!</v>
      </c>
      <c r="K32" s="105" t="e">
        <f t="shared" si="48"/>
        <v>#DIV/0!</v>
      </c>
      <c r="L32" s="105" t="e">
        <f t="shared" si="48"/>
        <v>#DIV/0!</v>
      </c>
      <c r="M32" s="105" t="e">
        <f t="shared" si="48"/>
        <v>#DIV/0!</v>
      </c>
      <c r="N32" s="233" t="e">
        <f t="shared" si="48"/>
        <v>#DIV/0!</v>
      </c>
      <c r="O32" s="137" t="e">
        <f t="shared" si="48"/>
        <v>#DIV/0!</v>
      </c>
      <c r="P32" s="105" t="e">
        <f t="shared" si="48"/>
        <v>#DIV/0!</v>
      </c>
      <c r="Q32" s="105" t="e">
        <f t="shared" si="48"/>
        <v>#DIV/0!</v>
      </c>
      <c r="R32" s="105" t="e">
        <f t="shared" si="48"/>
        <v>#DIV/0!</v>
      </c>
      <c r="S32" s="105" t="e">
        <f t="shared" si="48"/>
        <v>#DIV/0!</v>
      </c>
      <c r="T32" s="246" t="e">
        <f t="shared" si="48"/>
        <v>#DIV/0!</v>
      </c>
      <c r="U32" s="154" t="e">
        <f t="shared" si="19"/>
        <v>#DIV/0!</v>
      </c>
      <c r="V32" s="91" t="e">
        <f t="shared" si="35"/>
        <v>#DIV/0!</v>
      </c>
      <c r="W32" s="55" t="e">
        <f t="shared" si="36"/>
        <v>#DIV/0!</v>
      </c>
      <c r="X32" s="55" t="e">
        <f t="shared" si="37"/>
        <v>#DIV/0!</v>
      </c>
      <c r="Y32" s="55" t="e">
        <f t="shared" si="38"/>
        <v>#DIV/0!</v>
      </c>
      <c r="Z32" s="55" t="e">
        <f t="shared" si="39"/>
        <v>#DIV/0!</v>
      </c>
      <c r="AA32" s="55" t="e">
        <f t="shared" si="40"/>
        <v>#DIV/0!</v>
      </c>
      <c r="AB32" s="55" t="e">
        <f t="shared" si="41"/>
        <v>#DIV/0!</v>
      </c>
      <c r="AC32" s="55" t="e">
        <f t="shared" si="42"/>
        <v>#DIV/0!</v>
      </c>
      <c r="AD32" s="55" t="e">
        <f t="shared" si="43"/>
        <v>#DIV/0!</v>
      </c>
      <c r="AE32" s="55" t="e">
        <f t="shared" si="44"/>
        <v>#DIV/0!</v>
      </c>
      <c r="AF32" s="55" t="e">
        <f t="shared" si="45"/>
        <v>#DIV/0!</v>
      </c>
      <c r="AG32" s="55" t="e">
        <f t="shared" si="46"/>
        <v>#DIV/0!</v>
      </c>
      <c r="AH32" s="288" t="e">
        <f t="shared" si="47"/>
        <v>#DIV/0!</v>
      </c>
      <c r="AI32" s="582" t="s">
        <v>632</v>
      </c>
      <c r="AJ32" s="444">
        <f t="shared" si="0"/>
        <v>-1</v>
      </c>
    </row>
    <row r="33" spans="1:37" x14ac:dyDescent="0.25">
      <c r="A33" s="58">
        <f>'งบกำไรขาดทุน ปี 2025'!A33</f>
        <v>52000008</v>
      </c>
      <c r="B33" s="16" t="str">
        <f>'งบกำไรขาดทุน ปี 2025'!B33</f>
        <v>ค่าบริการวิชาชีพแพทย์</v>
      </c>
      <c r="C33" s="20">
        <f>'งบกำไรขาดทุน ปี 2025'!O33</f>
        <v>0</v>
      </c>
      <c r="D33" s="21">
        <f t="shared" si="15"/>
        <v>0</v>
      </c>
      <c r="E33" s="141">
        <f t="shared" si="33"/>
        <v>0</v>
      </c>
      <c r="F33" s="221" t="e">
        <f t="shared" si="34"/>
        <v>#DIV/0!</v>
      </c>
      <c r="G33" s="221"/>
      <c r="H33" s="582" t="s">
        <v>632</v>
      </c>
      <c r="I33" s="137" t="e">
        <f>((I$18*($F33+$G33))+'การลงระหว่างเดือน ปี 2026'!AO14)</f>
        <v>#DIV/0!</v>
      </c>
      <c r="J33" s="105" t="e">
        <f>((J$18*($F33+$G33))+'การลงระหว่างเดือน ปี 2026'!AP14)</f>
        <v>#DIV/0!</v>
      </c>
      <c r="K33" s="105" t="e">
        <f>((K$18*($F33+$G33))+'การลงระหว่างเดือน ปี 2026'!AQ14)</f>
        <v>#DIV/0!</v>
      </c>
      <c r="L33" s="105" t="e">
        <f>((L$18*($F33+$G33))+'การลงระหว่างเดือน ปี 2026'!AR14)</f>
        <v>#DIV/0!</v>
      </c>
      <c r="M33" s="105" t="e">
        <f>((M$18*($F33+$G33))+'การลงระหว่างเดือน ปี 2026'!AS14)</f>
        <v>#DIV/0!</v>
      </c>
      <c r="N33" s="105" t="e">
        <f>((N$18*($F33+$G33))+'การลงระหว่างเดือน ปี 2026'!AT14)</f>
        <v>#DIV/0!</v>
      </c>
      <c r="O33" s="137" t="e">
        <f>((O$18*($F33+$G33))+'การลงระหว่างเดือน ปี 2026'!AU14)</f>
        <v>#DIV/0!</v>
      </c>
      <c r="P33" s="105" t="e">
        <f>((P$18*($F33+$G33))+'การลงระหว่างเดือน ปี 2026'!AV14)</f>
        <v>#DIV/0!</v>
      </c>
      <c r="Q33" s="105" t="e">
        <f>((Q$18*($F33+$G33))+'การลงระหว่างเดือน ปี 2026'!AW14)</f>
        <v>#DIV/0!</v>
      </c>
      <c r="R33" s="105" t="e">
        <f>((R$18*($F33+$G33))+'การลงระหว่างเดือน ปี 2026'!AX14)</f>
        <v>#DIV/0!</v>
      </c>
      <c r="S33" s="105" t="e">
        <f>((S$18*($F33+$G33))+'การลงระหว่างเดือน ปี 2026'!AY14)</f>
        <v>#DIV/0!</v>
      </c>
      <c r="T33" s="246" t="e">
        <f>((T$18*($F33+$G33))+'การลงระหว่างเดือน ปี 2026'!AZ14)</f>
        <v>#DIV/0!</v>
      </c>
      <c r="U33" s="154" t="e">
        <f t="shared" si="19"/>
        <v>#DIV/0!</v>
      </c>
      <c r="V33" s="91" t="e">
        <f t="shared" si="35"/>
        <v>#DIV/0!</v>
      </c>
      <c r="W33" s="55" t="e">
        <f t="shared" si="36"/>
        <v>#DIV/0!</v>
      </c>
      <c r="X33" s="55" t="e">
        <f t="shared" si="37"/>
        <v>#DIV/0!</v>
      </c>
      <c r="Y33" s="55" t="e">
        <f t="shared" si="38"/>
        <v>#DIV/0!</v>
      </c>
      <c r="Z33" s="55" t="e">
        <f t="shared" si="39"/>
        <v>#DIV/0!</v>
      </c>
      <c r="AA33" s="55" t="e">
        <f t="shared" si="40"/>
        <v>#DIV/0!</v>
      </c>
      <c r="AB33" s="55" t="e">
        <f t="shared" si="41"/>
        <v>#DIV/0!</v>
      </c>
      <c r="AC33" s="55" t="e">
        <f t="shared" si="42"/>
        <v>#DIV/0!</v>
      </c>
      <c r="AD33" s="55" t="e">
        <f t="shared" si="43"/>
        <v>#DIV/0!</v>
      </c>
      <c r="AE33" s="55" t="e">
        <f t="shared" si="44"/>
        <v>#DIV/0!</v>
      </c>
      <c r="AF33" s="55" t="e">
        <f t="shared" si="45"/>
        <v>#DIV/0!</v>
      </c>
      <c r="AG33" s="55" t="e">
        <f t="shared" si="46"/>
        <v>#DIV/0!</v>
      </c>
      <c r="AH33" s="288" t="e">
        <f t="shared" si="47"/>
        <v>#DIV/0!</v>
      </c>
      <c r="AI33" s="583" t="s">
        <v>632</v>
      </c>
      <c r="AJ33" s="444">
        <f t="shared" si="0"/>
        <v>-1</v>
      </c>
    </row>
    <row r="34" spans="1:37" x14ac:dyDescent="0.25">
      <c r="A34" s="58">
        <f>'งบกำไรขาดทุน ปี 2025'!A34</f>
        <v>52000010</v>
      </c>
      <c r="B34" s="16" t="str">
        <f>'งบกำไรขาดทุน ปี 2025'!B34</f>
        <v>ค่าเช่าเครื่องมือแพทย์</v>
      </c>
      <c r="C34" s="20">
        <f>'งบกำไรขาดทุน ปี 2025'!O34</f>
        <v>0</v>
      </c>
      <c r="D34" s="21">
        <f t="shared" ref="D34" si="50">C34/$C$5</f>
        <v>0</v>
      </c>
      <c r="E34" s="141">
        <f t="shared" si="33"/>
        <v>0</v>
      </c>
      <c r="F34" s="221" t="e">
        <f t="shared" si="34"/>
        <v>#DIV/0!</v>
      </c>
      <c r="G34" s="696" t="e">
        <f>$U$2</f>
        <v>#DIV/0!</v>
      </c>
      <c r="H34" s="582" t="s">
        <v>633</v>
      </c>
      <c r="I34" s="137" t="e">
        <f>(($D34*$G34)+$D34)+'การลงระหว่างเดือน ปี 2026'!AO15</f>
        <v>#DIV/0!</v>
      </c>
      <c r="J34" s="105" t="e">
        <f>(($D34*$G34)+$D34)+'การลงระหว่างเดือน ปี 2026'!AP15</f>
        <v>#DIV/0!</v>
      </c>
      <c r="K34" s="105" t="e">
        <f>(($D34*$G34)+$D34)+'การลงระหว่างเดือน ปี 2026'!AQ15</f>
        <v>#DIV/0!</v>
      </c>
      <c r="L34" s="105" t="e">
        <f>(($D34*$G34)+$D34)+'การลงระหว่างเดือน ปี 2026'!AR15</f>
        <v>#DIV/0!</v>
      </c>
      <c r="M34" s="105" t="e">
        <f>(($D34*$G34)+$D34)+'การลงระหว่างเดือน ปี 2026'!AS15</f>
        <v>#DIV/0!</v>
      </c>
      <c r="N34" s="105" t="e">
        <f>(($D34*$G34)+$D34)+'การลงระหว่างเดือน ปี 2026'!AT15</f>
        <v>#DIV/0!</v>
      </c>
      <c r="O34" s="137" t="e">
        <f>(($D34*$G34)+$D34)+'การลงระหว่างเดือน ปี 2026'!AU15</f>
        <v>#DIV/0!</v>
      </c>
      <c r="P34" s="105" t="e">
        <f>(($D34*$G34)+$D34)+'การลงระหว่างเดือน ปี 2026'!AV15</f>
        <v>#DIV/0!</v>
      </c>
      <c r="Q34" s="105" t="e">
        <f>(($D34*$G34)+$D34)+'การลงระหว่างเดือน ปี 2026'!AW15</f>
        <v>#DIV/0!</v>
      </c>
      <c r="R34" s="105" t="e">
        <f>(($D34*$G34)+$D34)+'การลงระหว่างเดือน ปี 2026'!AX15</f>
        <v>#DIV/0!</v>
      </c>
      <c r="S34" s="105" t="e">
        <f>(($D34*$G34)+$D34)+'การลงระหว่างเดือน ปี 2026'!AY15</f>
        <v>#DIV/0!</v>
      </c>
      <c r="T34" s="246" t="e">
        <f>(($D34*$G34)+$D34)+'การลงระหว่างเดือน ปี 2026'!AZ15</f>
        <v>#DIV/0!</v>
      </c>
      <c r="U34" s="154" t="e">
        <f t="shared" ref="U34" si="51">SUM(I34:T34)</f>
        <v>#DIV/0!</v>
      </c>
      <c r="V34" s="91" t="e">
        <f t="shared" si="35"/>
        <v>#DIV/0!</v>
      </c>
      <c r="W34" s="55" t="e">
        <f t="shared" si="36"/>
        <v>#DIV/0!</v>
      </c>
      <c r="X34" s="55" t="e">
        <f t="shared" si="37"/>
        <v>#DIV/0!</v>
      </c>
      <c r="Y34" s="55" t="e">
        <f t="shared" si="38"/>
        <v>#DIV/0!</v>
      </c>
      <c r="Z34" s="55" t="e">
        <f t="shared" si="39"/>
        <v>#DIV/0!</v>
      </c>
      <c r="AA34" s="55" t="e">
        <f t="shared" si="40"/>
        <v>#DIV/0!</v>
      </c>
      <c r="AB34" s="55" t="e">
        <f t="shared" si="41"/>
        <v>#DIV/0!</v>
      </c>
      <c r="AC34" s="55" t="e">
        <f t="shared" si="42"/>
        <v>#DIV/0!</v>
      </c>
      <c r="AD34" s="55" t="e">
        <f t="shared" si="43"/>
        <v>#DIV/0!</v>
      </c>
      <c r="AE34" s="55" t="e">
        <f t="shared" si="44"/>
        <v>#DIV/0!</v>
      </c>
      <c r="AF34" s="55" t="e">
        <f t="shared" si="45"/>
        <v>#DIV/0!</v>
      </c>
      <c r="AG34" s="55" t="e">
        <f t="shared" si="46"/>
        <v>#DIV/0!</v>
      </c>
      <c r="AH34" s="288" t="e">
        <f t="shared" si="47"/>
        <v>#DIV/0!</v>
      </c>
      <c r="AI34" s="582" t="s">
        <v>633</v>
      </c>
      <c r="AJ34" s="444">
        <f t="shared" si="0"/>
        <v>-1</v>
      </c>
    </row>
    <row r="35" spans="1:37" x14ac:dyDescent="0.25">
      <c r="A35" s="58">
        <f>'งบกำไรขาดทุน ปี 2025'!A35</f>
        <v>52000011</v>
      </c>
      <c r="B35" s="16" t="str">
        <f>'งบกำไรขาดทุน ปี 2025'!B35</f>
        <v>ค่าวัสดุเครื่องมือแพทย์</v>
      </c>
      <c r="C35" s="20">
        <f>'งบกำไรขาดทุน ปี 2025'!O35</f>
        <v>0</v>
      </c>
      <c r="D35" s="21">
        <f t="shared" si="15"/>
        <v>0</v>
      </c>
      <c r="E35" s="141">
        <f t="shared" si="33"/>
        <v>0</v>
      </c>
      <c r="F35" s="221" t="e">
        <f t="shared" si="34"/>
        <v>#DIV/0!</v>
      </c>
      <c r="G35" s="221"/>
      <c r="H35" s="582" t="s">
        <v>632</v>
      </c>
      <c r="I35" s="137" t="e">
        <f>((I$18*($F35+$G35))+'การลงระหว่างเดือน ปี 2026'!AO16)</f>
        <v>#DIV/0!</v>
      </c>
      <c r="J35" s="105" t="e">
        <f>((J$18*($F35+$G35))+'การลงระหว่างเดือน ปี 2026'!AP16)</f>
        <v>#DIV/0!</v>
      </c>
      <c r="K35" s="105" t="e">
        <f>((K$18*($F35+$G35))+'การลงระหว่างเดือน ปี 2026'!AQ16)</f>
        <v>#DIV/0!</v>
      </c>
      <c r="L35" s="105" t="e">
        <f>((L$18*($F35+$G35))+'การลงระหว่างเดือน ปี 2026'!AR16)</f>
        <v>#DIV/0!</v>
      </c>
      <c r="M35" s="105" t="e">
        <f>((M$18*($F35+$G35))+'การลงระหว่างเดือน ปี 2026'!AS16)</f>
        <v>#DIV/0!</v>
      </c>
      <c r="N35" s="105" t="e">
        <f>((N$18*($F35+$G35))+'การลงระหว่างเดือน ปี 2026'!AT16)</f>
        <v>#DIV/0!</v>
      </c>
      <c r="O35" s="137" t="e">
        <f>((O$18*($F35+$G35))+'การลงระหว่างเดือน ปี 2026'!AU16)</f>
        <v>#DIV/0!</v>
      </c>
      <c r="P35" s="105" t="e">
        <f>((P$18*($F35+$G35))+'การลงระหว่างเดือน ปี 2026'!AV16)</f>
        <v>#DIV/0!</v>
      </c>
      <c r="Q35" s="105" t="e">
        <f>((Q$18*($F35+$G35))+'การลงระหว่างเดือน ปี 2026'!AW16)</f>
        <v>#DIV/0!</v>
      </c>
      <c r="R35" s="105" t="e">
        <f>((R$18*($F35+$G35))+'การลงระหว่างเดือน ปี 2026'!AX16)</f>
        <v>#DIV/0!</v>
      </c>
      <c r="S35" s="105" t="e">
        <f>((S$18*($F35+$G35))+'การลงระหว่างเดือน ปี 2026'!AY16)</f>
        <v>#DIV/0!</v>
      </c>
      <c r="T35" s="246" t="e">
        <f>((T$18*($F35+$G35))+'การลงระหว่างเดือน ปี 2026'!AZ16)</f>
        <v>#DIV/0!</v>
      </c>
      <c r="U35" s="154" t="e">
        <f t="shared" si="19"/>
        <v>#DIV/0!</v>
      </c>
      <c r="V35" s="91" t="e">
        <f t="shared" si="35"/>
        <v>#DIV/0!</v>
      </c>
      <c r="W35" s="55" t="e">
        <f t="shared" si="36"/>
        <v>#DIV/0!</v>
      </c>
      <c r="X35" s="55" t="e">
        <f t="shared" si="37"/>
        <v>#DIV/0!</v>
      </c>
      <c r="Y35" s="55" t="e">
        <f t="shared" si="38"/>
        <v>#DIV/0!</v>
      </c>
      <c r="Z35" s="55" t="e">
        <f t="shared" si="39"/>
        <v>#DIV/0!</v>
      </c>
      <c r="AA35" s="55" t="e">
        <f t="shared" si="40"/>
        <v>#DIV/0!</v>
      </c>
      <c r="AB35" s="55" t="e">
        <f t="shared" si="41"/>
        <v>#DIV/0!</v>
      </c>
      <c r="AC35" s="55" t="e">
        <f t="shared" si="42"/>
        <v>#DIV/0!</v>
      </c>
      <c r="AD35" s="55" t="e">
        <f t="shared" si="43"/>
        <v>#DIV/0!</v>
      </c>
      <c r="AE35" s="55" t="e">
        <f t="shared" si="44"/>
        <v>#DIV/0!</v>
      </c>
      <c r="AF35" s="55" t="e">
        <f t="shared" si="45"/>
        <v>#DIV/0!</v>
      </c>
      <c r="AG35" s="55" t="e">
        <f t="shared" si="46"/>
        <v>#DIV/0!</v>
      </c>
      <c r="AH35" s="288" t="e">
        <f t="shared" si="47"/>
        <v>#DIV/0!</v>
      </c>
      <c r="AI35" s="582" t="s">
        <v>632</v>
      </c>
      <c r="AJ35" s="444">
        <f t="shared" si="0"/>
        <v>-1</v>
      </c>
      <c r="AK35" s="408"/>
    </row>
    <row r="36" spans="1:37" x14ac:dyDescent="0.25">
      <c r="A36" s="58">
        <f>'งบกำไรขาดทุน ปี 2025'!A36</f>
        <v>52000014</v>
      </c>
      <c r="B36" s="16" t="str">
        <f>'งบกำไรขาดทุน ปี 2025'!B36</f>
        <v>ค่าเช่าอุปกรณ์-เครื่องมือระหว่างสาขา</v>
      </c>
      <c r="C36" s="20">
        <f>'งบกำไรขาดทุน ปี 2025'!O36</f>
        <v>0</v>
      </c>
      <c r="D36" s="21">
        <f t="shared" si="15"/>
        <v>0</v>
      </c>
      <c r="E36" s="141">
        <f t="shared" si="33"/>
        <v>0</v>
      </c>
      <c r="F36" s="221" t="e">
        <f t="shared" si="34"/>
        <v>#DIV/0!</v>
      </c>
      <c r="G36" s="221"/>
      <c r="H36" s="582" t="s">
        <v>633</v>
      </c>
      <c r="I36" s="137">
        <f>(($D36*$G36)+$D36)+'การลงระหว่างเดือน ปี 2026'!AO17</f>
        <v>0</v>
      </c>
      <c r="J36" s="105">
        <f>(($D36*$G36)+$D36)+'การลงระหว่างเดือน ปี 2026'!AP17</f>
        <v>0</v>
      </c>
      <c r="K36" s="105">
        <f>(($D36*$G36)+$D36)+'การลงระหว่างเดือน ปี 2026'!AQ17</f>
        <v>0</v>
      </c>
      <c r="L36" s="105">
        <f>(($D36*$G36)+$D36)+'การลงระหว่างเดือน ปี 2026'!AR17</f>
        <v>0</v>
      </c>
      <c r="M36" s="105">
        <f>(($D36*$G36)+$D36)+'การลงระหว่างเดือน ปี 2026'!AS17</f>
        <v>0</v>
      </c>
      <c r="N36" s="233">
        <f>(($D36*$G36)+$D36)+'การลงระหว่างเดือน ปี 2026'!AT17</f>
        <v>0</v>
      </c>
      <c r="O36" s="137">
        <f>(($D36*$G36)+$D36)+'การลงระหว่างเดือน ปี 2026'!AU17</f>
        <v>0</v>
      </c>
      <c r="P36" s="105">
        <f>(($D36*$G36)+$D36)+'การลงระหว่างเดือน ปี 2026'!AV17</f>
        <v>0</v>
      </c>
      <c r="Q36" s="105">
        <f>(($D36*$G36)+$D36)+'การลงระหว่างเดือน ปี 2026'!AW17</f>
        <v>0</v>
      </c>
      <c r="R36" s="105">
        <f>(($D36*$G36)+$D36)+'การลงระหว่างเดือน ปี 2026'!AX17</f>
        <v>0</v>
      </c>
      <c r="S36" s="105">
        <f>(($D36*$G36)+$D36)+'การลงระหว่างเดือน ปี 2026'!AY17</f>
        <v>0</v>
      </c>
      <c r="T36" s="246">
        <f>(($D36*$G36)+$D36)+'การลงระหว่างเดือน ปี 2026'!AZ17</f>
        <v>0</v>
      </c>
      <c r="U36" s="154">
        <f t="shared" si="19"/>
        <v>0</v>
      </c>
      <c r="V36" s="91" t="e">
        <f t="shared" si="35"/>
        <v>#DIV/0!</v>
      </c>
      <c r="W36" s="55" t="e">
        <f t="shared" si="36"/>
        <v>#DIV/0!</v>
      </c>
      <c r="X36" s="55" t="e">
        <f t="shared" si="37"/>
        <v>#DIV/0!</v>
      </c>
      <c r="Y36" s="55" t="e">
        <f t="shared" si="38"/>
        <v>#DIV/0!</v>
      </c>
      <c r="Z36" s="55" t="e">
        <f t="shared" si="39"/>
        <v>#DIV/0!</v>
      </c>
      <c r="AA36" s="55" t="e">
        <f t="shared" si="40"/>
        <v>#DIV/0!</v>
      </c>
      <c r="AB36" s="55" t="e">
        <f t="shared" si="41"/>
        <v>#DIV/0!</v>
      </c>
      <c r="AC36" s="55" t="e">
        <f t="shared" si="42"/>
        <v>#DIV/0!</v>
      </c>
      <c r="AD36" s="55" t="e">
        <f t="shared" si="43"/>
        <v>#DIV/0!</v>
      </c>
      <c r="AE36" s="55" t="e">
        <f t="shared" si="44"/>
        <v>#DIV/0!</v>
      </c>
      <c r="AF36" s="55" t="e">
        <f t="shared" si="45"/>
        <v>#DIV/0!</v>
      </c>
      <c r="AG36" s="55" t="e">
        <f t="shared" si="46"/>
        <v>#DIV/0!</v>
      </c>
      <c r="AH36" s="288" t="e">
        <f t="shared" si="47"/>
        <v>#DIV/0!</v>
      </c>
      <c r="AI36" s="582" t="s">
        <v>634</v>
      </c>
      <c r="AJ36" s="444">
        <f t="shared" si="0"/>
        <v>-1</v>
      </c>
      <c r="AK36" s="408"/>
    </row>
    <row r="37" spans="1:37" x14ac:dyDescent="0.25">
      <c r="A37" s="58">
        <f>'งบกำไรขาดทุน ปี 2025'!A37</f>
        <v>61300010</v>
      </c>
      <c r="B37" s="16" t="str">
        <f>'งบกำไรขาดทุน ปี 2025'!B37</f>
        <v>ค่าเสื่อมราคา - เครื่องมือแพทย์</v>
      </c>
      <c r="C37" s="20">
        <f>'งบกำไรขาดทุน ปี 2025'!O37</f>
        <v>0</v>
      </c>
      <c r="D37" s="21">
        <f t="shared" si="15"/>
        <v>0</v>
      </c>
      <c r="E37" s="141">
        <f t="shared" si="33"/>
        <v>0</v>
      </c>
      <c r="F37" s="221" t="e">
        <f t="shared" si="34"/>
        <v>#DIV/0!</v>
      </c>
      <c r="G37" s="458"/>
      <c r="H37" s="582" t="s">
        <v>661</v>
      </c>
      <c r="I37" s="137">
        <f>(($D37*$G37)+$D37)+'การลงระหว่างเดือน ปี 2026'!AO18</f>
        <v>0</v>
      </c>
      <c r="J37" s="105">
        <f>(($D37*$G37)+$D37)+'การลงระหว่างเดือน ปี 2026'!AP18</f>
        <v>0</v>
      </c>
      <c r="K37" s="105">
        <f>(($D37*$G37)+$D37)+'การลงระหว่างเดือน ปี 2026'!AQ18</f>
        <v>0</v>
      </c>
      <c r="L37" s="105">
        <f>(($D37*$G37)+$D37)+'การลงระหว่างเดือน ปี 2026'!AR18</f>
        <v>0</v>
      </c>
      <c r="M37" s="105">
        <f>(($D37*$G37)+$D37)+'การลงระหว่างเดือน ปี 2026'!AS18</f>
        <v>0</v>
      </c>
      <c r="N37" s="105">
        <f>(($D37*$G37)+$D37)+'การลงระหว่างเดือน ปี 2026'!AT18</f>
        <v>0</v>
      </c>
      <c r="O37" s="137">
        <f>(($D37*$G37)+$D37)+'การลงระหว่างเดือน ปี 2026'!AU18</f>
        <v>0</v>
      </c>
      <c r="P37" s="105">
        <f>(($D37*$G37)+$D37)+'การลงระหว่างเดือน ปี 2026'!AV18</f>
        <v>0</v>
      </c>
      <c r="Q37" s="105">
        <f>(($D37*$G37)+$D37)+'การลงระหว่างเดือน ปี 2026'!AW18</f>
        <v>0</v>
      </c>
      <c r="R37" s="105">
        <f>(($D37*$G37)+$D37)+'การลงระหว่างเดือน ปี 2026'!AX18</f>
        <v>0</v>
      </c>
      <c r="S37" s="105">
        <f>(($D37*$G37)+$D37)+'การลงระหว่างเดือน ปี 2026'!AY18</f>
        <v>0</v>
      </c>
      <c r="T37" s="246">
        <f>(($D37*$G37)+$D37)+'การลงระหว่างเดือน ปี 2026'!AZ18</f>
        <v>0</v>
      </c>
      <c r="U37" s="154">
        <f t="shared" si="19"/>
        <v>0</v>
      </c>
      <c r="V37" s="91" t="e">
        <f t="shared" si="35"/>
        <v>#DIV/0!</v>
      </c>
      <c r="W37" s="55" t="e">
        <f t="shared" si="36"/>
        <v>#DIV/0!</v>
      </c>
      <c r="X37" s="55" t="e">
        <f t="shared" si="37"/>
        <v>#DIV/0!</v>
      </c>
      <c r="Y37" s="55" t="e">
        <f t="shared" si="38"/>
        <v>#DIV/0!</v>
      </c>
      <c r="Z37" s="55" t="e">
        <f t="shared" si="39"/>
        <v>#DIV/0!</v>
      </c>
      <c r="AA37" s="55" t="e">
        <f t="shared" si="40"/>
        <v>#DIV/0!</v>
      </c>
      <c r="AB37" s="55" t="e">
        <f t="shared" si="41"/>
        <v>#DIV/0!</v>
      </c>
      <c r="AC37" s="55" t="e">
        <f t="shared" si="42"/>
        <v>#DIV/0!</v>
      </c>
      <c r="AD37" s="55" t="e">
        <f t="shared" si="43"/>
        <v>#DIV/0!</v>
      </c>
      <c r="AE37" s="55" t="e">
        <f t="shared" si="44"/>
        <v>#DIV/0!</v>
      </c>
      <c r="AF37" s="55" t="e">
        <f t="shared" si="45"/>
        <v>#DIV/0!</v>
      </c>
      <c r="AG37" s="55" t="e">
        <f t="shared" si="46"/>
        <v>#DIV/0!</v>
      </c>
      <c r="AH37" s="288" t="e">
        <f t="shared" si="47"/>
        <v>#DIV/0!</v>
      </c>
      <c r="AI37" s="582" t="s">
        <v>633</v>
      </c>
      <c r="AJ37" s="444">
        <f t="shared" si="0"/>
        <v>-1</v>
      </c>
      <c r="AK37" s="408"/>
    </row>
    <row r="38" spans="1:37" s="12" customFormat="1" x14ac:dyDescent="0.25">
      <c r="A38" s="161">
        <f>'งบกำไรขาดทุน ปี 2025'!A38</f>
        <v>0</v>
      </c>
      <c r="B38" s="15" t="str">
        <f>'งบกำไรขาดทุน ปี 2025'!B38</f>
        <v>รวมค่าใช้จ่ายในการขาย</v>
      </c>
      <c r="C38" s="25">
        <f>'งบกำไรขาดทุน ปี 2025'!O38</f>
        <v>0</v>
      </c>
      <c r="D38" s="13">
        <f t="shared" si="15"/>
        <v>0</v>
      </c>
      <c r="E38" s="144">
        <f t="shared" si="33"/>
        <v>0</v>
      </c>
      <c r="F38" s="223" t="e">
        <f t="shared" si="34"/>
        <v>#DIV/0!</v>
      </c>
      <c r="G38" s="223"/>
      <c r="H38" s="582"/>
      <c r="I38" s="139" t="e">
        <f t="shared" ref="I38:T38" si="52">SUM(I26:I37)</f>
        <v>#DIV/0!</v>
      </c>
      <c r="J38" s="107" t="e">
        <f t="shared" si="52"/>
        <v>#DIV/0!</v>
      </c>
      <c r="K38" s="107" t="e">
        <f t="shared" si="52"/>
        <v>#DIV/0!</v>
      </c>
      <c r="L38" s="107" t="e">
        <f t="shared" si="52"/>
        <v>#DIV/0!</v>
      </c>
      <c r="M38" s="107" t="e">
        <f t="shared" si="52"/>
        <v>#DIV/0!</v>
      </c>
      <c r="N38" s="235" t="e">
        <f t="shared" si="52"/>
        <v>#DIV/0!</v>
      </c>
      <c r="O38" s="139" t="e">
        <f t="shared" si="52"/>
        <v>#DIV/0!</v>
      </c>
      <c r="P38" s="107" t="e">
        <f t="shared" si="52"/>
        <v>#DIV/0!</v>
      </c>
      <c r="Q38" s="107" t="e">
        <f t="shared" si="52"/>
        <v>#DIV/0!</v>
      </c>
      <c r="R38" s="107" t="e">
        <f t="shared" si="52"/>
        <v>#DIV/0!</v>
      </c>
      <c r="S38" s="107" t="e">
        <f t="shared" si="52"/>
        <v>#DIV/0!</v>
      </c>
      <c r="T38" s="251" t="e">
        <f t="shared" si="52"/>
        <v>#DIV/0!</v>
      </c>
      <c r="U38" s="107" t="e">
        <f>SUM(U25:U37)</f>
        <v>#DIV/0!</v>
      </c>
      <c r="V38" s="94" t="e">
        <f t="shared" si="35"/>
        <v>#DIV/0!</v>
      </c>
      <c r="W38" s="56" t="e">
        <f t="shared" si="36"/>
        <v>#DIV/0!</v>
      </c>
      <c r="X38" s="56" t="e">
        <f t="shared" si="37"/>
        <v>#DIV/0!</v>
      </c>
      <c r="Y38" s="56" t="e">
        <f t="shared" si="38"/>
        <v>#DIV/0!</v>
      </c>
      <c r="Z38" s="56" t="e">
        <f t="shared" si="39"/>
        <v>#DIV/0!</v>
      </c>
      <c r="AA38" s="56" t="e">
        <f t="shared" si="40"/>
        <v>#DIV/0!</v>
      </c>
      <c r="AB38" s="56" t="e">
        <f t="shared" si="41"/>
        <v>#DIV/0!</v>
      </c>
      <c r="AC38" s="56" t="e">
        <f t="shared" si="42"/>
        <v>#DIV/0!</v>
      </c>
      <c r="AD38" s="56" t="e">
        <f t="shared" si="43"/>
        <v>#DIV/0!</v>
      </c>
      <c r="AE38" s="56" t="e">
        <f t="shared" si="44"/>
        <v>#DIV/0!</v>
      </c>
      <c r="AF38" s="56" t="e">
        <f t="shared" si="45"/>
        <v>#DIV/0!</v>
      </c>
      <c r="AG38" s="56" t="e">
        <f t="shared" si="46"/>
        <v>#DIV/0!</v>
      </c>
      <c r="AH38" s="290" t="e">
        <f t="shared" si="47"/>
        <v>#DIV/0!</v>
      </c>
      <c r="AI38" s="582"/>
      <c r="AJ38" s="444">
        <f t="shared" si="0"/>
        <v>-1</v>
      </c>
      <c r="AK38" s="408"/>
    </row>
    <row r="39" spans="1:37" x14ac:dyDescent="0.25">
      <c r="A39" s="58">
        <f>'งบกำไรขาดทุน ปี 2025'!A39</f>
        <v>0</v>
      </c>
      <c r="B39" s="16" t="str">
        <f>'งบกำไรขาดทุน ปี 2025'!B39</f>
        <v>ค่ายานพาหนะ</v>
      </c>
      <c r="C39" s="20">
        <f>'งบกำไรขาดทุน ปี 2025'!O39</f>
        <v>0</v>
      </c>
      <c r="D39" s="21"/>
      <c r="E39" s="141"/>
      <c r="F39" s="221"/>
      <c r="G39" s="221"/>
      <c r="H39" s="580"/>
      <c r="I39" s="190"/>
      <c r="J39" s="181"/>
      <c r="K39" s="181"/>
      <c r="L39" s="181"/>
      <c r="M39" s="181"/>
      <c r="N39" s="236"/>
      <c r="O39" s="190"/>
      <c r="P39" s="181"/>
      <c r="Q39" s="181"/>
      <c r="R39" s="181"/>
      <c r="S39" s="181"/>
      <c r="T39" s="249"/>
      <c r="U39" s="182"/>
      <c r="V39" s="183"/>
      <c r="W39" s="184"/>
      <c r="X39" s="184"/>
      <c r="Y39" s="184"/>
      <c r="Z39" s="184"/>
      <c r="AA39" s="184"/>
      <c r="AB39" s="184"/>
      <c r="AC39" s="184"/>
      <c r="AD39" s="184"/>
      <c r="AE39" s="184"/>
      <c r="AF39" s="184"/>
      <c r="AG39" s="184"/>
      <c r="AH39" s="291"/>
      <c r="AI39" s="580"/>
      <c r="AJ39" s="444">
        <f t="shared" si="0"/>
        <v>-1</v>
      </c>
      <c r="AK39" s="408"/>
    </row>
    <row r="40" spans="1:37" s="3" customFormat="1" x14ac:dyDescent="0.25">
      <c r="A40" s="278">
        <f>'งบกำไรขาดทุน ปี 2025'!A40</f>
        <v>52000015</v>
      </c>
      <c r="B40" s="16" t="str">
        <f>'งบกำไรขาดทุน ปี 2025'!B40</f>
        <v>ค่าขนส่งในประเทศ</v>
      </c>
      <c r="C40" s="28">
        <f>'งบกำไรขาดทุน ปี 2025'!O40</f>
        <v>0</v>
      </c>
      <c r="D40" s="29">
        <f t="shared" si="15"/>
        <v>0</v>
      </c>
      <c r="E40" s="147">
        <f>D40*$E$5</f>
        <v>0</v>
      </c>
      <c r="F40" s="221" t="e">
        <f>E40/$E$18</f>
        <v>#DIV/0!</v>
      </c>
      <c r="G40" s="221"/>
      <c r="H40" s="582" t="s">
        <v>632</v>
      </c>
      <c r="I40" s="140" t="e">
        <f>((I$18*($F40+$G40)))</f>
        <v>#DIV/0!</v>
      </c>
      <c r="J40" s="108" t="e">
        <f t="shared" ref="J40:T40" si="53">((J$18*($F40+$G40)))</f>
        <v>#DIV/0!</v>
      </c>
      <c r="K40" s="108" t="e">
        <f t="shared" si="53"/>
        <v>#DIV/0!</v>
      </c>
      <c r="L40" s="108" t="e">
        <f t="shared" si="53"/>
        <v>#DIV/0!</v>
      </c>
      <c r="M40" s="108" t="e">
        <f t="shared" si="53"/>
        <v>#DIV/0!</v>
      </c>
      <c r="N40" s="237" t="e">
        <f t="shared" si="53"/>
        <v>#DIV/0!</v>
      </c>
      <c r="O40" s="140" t="e">
        <f t="shared" si="53"/>
        <v>#DIV/0!</v>
      </c>
      <c r="P40" s="108" t="e">
        <f t="shared" si="53"/>
        <v>#DIV/0!</v>
      </c>
      <c r="Q40" s="108" t="e">
        <f t="shared" si="53"/>
        <v>#DIV/0!</v>
      </c>
      <c r="R40" s="108" t="e">
        <f t="shared" si="53"/>
        <v>#DIV/0!</v>
      </c>
      <c r="S40" s="108" t="e">
        <f t="shared" si="53"/>
        <v>#DIV/0!</v>
      </c>
      <c r="T40" s="250" t="e">
        <f t="shared" si="53"/>
        <v>#DIV/0!</v>
      </c>
      <c r="U40" s="108" t="e">
        <f t="shared" si="19"/>
        <v>#DIV/0!</v>
      </c>
      <c r="V40" s="95" t="e">
        <f>I40/$I$18</f>
        <v>#DIV/0!</v>
      </c>
      <c r="W40" s="57" t="e">
        <f>J40/$J$18</f>
        <v>#DIV/0!</v>
      </c>
      <c r="X40" s="57" t="e">
        <f>K40/$K$18</f>
        <v>#DIV/0!</v>
      </c>
      <c r="Y40" s="57" t="e">
        <f>L40/$L$18</f>
        <v>#DIV/0!</v>
      </c>
      <c r="Z40" s="57" t="e">
        <f>M40/$M$18</f>
        <v>#DIV/0!</v>
      </c>
      <c r="AA40" s="57" t="e">
        <f>N40/$N$18</f>
        <v>#DIV/0!</v>
      </c>
      <c r="AB40" s="57" t="e">
        <f>O40/$O$18</f>
        <v>#DIV/0!</v>
      </c>
      <c r="AC40" s="57" t="e">
        <f>P40/$P$18</f>
        <v>#DIV/0!</v>
      </c>
      <c r="AD40" s="57" t="e">
        <f>Q40/$Q$18</f>
        <v>#DIV/0!</v>
      </c>
      <c r="AE40" s="57" t="e">
        <f>R40/$R$18</f>
        <v>#DIV/0!</v>
      </c>
      <c r="AF40" s="57" t="e">
        <f>S40/$S$18</f>
        <v>#DIV/0!</v>
      </c>
      <c r="AG40" s="57" t="e">
        <f>T40/$T$18</f>
        <v>#DIV/0!</v>
      </c>
      <c r="AH40" s="292" t="e">
        <f>U40/$U$18</f>
        <v>#DIV/0!</v>
      </c>
      <c r="AI40" s="582" t="s">
        <v>632</v>
      </c>
      <c r="AJ40" s="444">
        <f t="shared" si="0"/>
        <v>-1</v>
      </c>
      <c r="AK40" s="408"/>
    </row>
    <row r="41" spans="1:37" s="12" customFormat="1" x14ac:dyDescent="0.25">
      <c r="A41" s="161">
        <f>'งบกำไรขาดทุน ปี 2025'!A41</f>
        <v>0</v>
      </c>
      <c r="B41" s="15" t="str">
        <f>'งบกำไรขาดทุน ปี 2025'!B41</f>
        <v>รวมค่ายานพาหนะ</v>
      </c>
      <c r="C41" s="25">
        <f>'งบกำไรขาดทุน ปี 2025'!O41</f>
        <v>0</v>
      </c>
      <c r="D41" s="13">
        <f t="shared" si="15"/>
        <v>0</v>
      </c>
      <c r="E41" s="144">
        <f>D41*$E$5</f>
        <v>0</v>
      </c>
      <c r="F41" s="223" t="e">
        <f>E41/$E$18</f>
        <v>#DIV/0!</v>
      </c>
      <c r="G41" s="223"/>
      <c r="H41" s="582"/>
      <c r="I41" s="208" t="e">
        <f t="shared" ref="I41:T41" si="54">SUM(I40:I40)</f>
        <v>#DIV/0!</v>
      </c>
      <c r="J41" s="185" t="e">
        <f t="shared" si="54"/>
        <v>#DIV/0!</v>
      </c>
      <c r="K41" s="185" t="e">
        <f t="shared" si="54"/>
        <v>#DIV/0!</v>
      </c>
      <c r="L41" s="185" t="e">
        <f t="shared" si="54"/>
        <v>#DIV/0!</v>
      </c>
      <c r="M41" s="185" t="e">
        <f t="shared" si="54"/>
        <v>#DIV/0!</v>
      </c>
      <c r="N41" s="238" t="e">
        <f t="shared" si="54"/>
        <v>#DIV/0!</v>
      </c>
      <c r="O41" s="208" t="e">
        <f t="shared" si="54"/>
        <v>#DIV/0!</v>
      </c>
      <c r="P41" s="185" t="e">
        <f t="shared" si="54"/>
        <v>#DIV/0!</v>
      </c>
      <c r="Q41" s="185" t="e">
        <f t="shared" si="54"/>
        <v>#DIV/0!</v>
      </c>
      <c r="R41" s="185" t="e">
        <f t="shared" si="54"/>
        <v>#DIV/0!</v>
      </c>
      <c r="S41" s="185" t="e">
        <f t="shared" si="54"/>
        <v>#DIV/0!</v>
      </c>
      <c r="T41" s="251" t="e">
        <f t="shared" si="54"/>
        <v>#DIV/0!</v>
      </c>
      <c r="U41" s="185" t="e">
        <f>SUM(U39:U40)</f>
        <v>#DIV/0!</v>
      </c>
      <c r="V41" s="186" t="e">
        <f>I41/$I$18</f>
        <v>#DIV/0!</v>
      </c>
      <c r="W41" s="187" t="e">
        <f>J41/$J$18</f>
        <v>#DIV/0!</v>
      </c>
      <c r="X41" s="187" t="e">
        <f>K41/$K$18</f>
        <v>#DIV/0!</v>
      </c>
      <c r="Y41" s="187" t="e">
        <f>L41/$L$18</f>
        <v>#DIV/0!</v>
      </c>
      <c r="Z41" s="187" t="e">
        <f>M41/$M$18</f>
        <v>#DIV/0!</v>
      </c>
      <c r="AA41" s="187" t="e">
        <f>N41/$N$18</f>
        <v>#DIV/0!</v>
      </c>
      <c r="AB41" s="187" t="e">
        <f>O41/$O$18</f>
        <v>#DIV/0!</v>
      </c>
      <c r="AC41" s="187" t="e">
        <f>P41/$P$18</f>
        <v>#DIV/0!</v>
      </c>
      <c r="AD41" s="187" t="e">
        <f>Q41/$Q$18</f>
        <v>#DIV/0!</v>
      </c>
      <c r="AE41" s="187" t="e">
        <f>R41/$R$18</f>
        <v>#DIV/0!</v>
      </c>
      <c r="AF41" s="187" t="e">
        <f>S41/$S$18</f>
        <v>#DIV/0!</v>
      </c>
      <c r="AG41" s="187" t="e">
        <f>T41/$T$18</f>
        <v>#DIV/0!</v>
      </c>
      <c r="AH41" s="293" t="e">
        <f>U41/$U$18</f>
        <v>#DIV/0!</v>
      </c>
      <c r="AI41" s="582"/>
      <c r="AJ41" s="444">
        <f t="shared" si="0"/>
        <v>-1</v>
      </c>
      <c r="AK41" s="408"/>
    </row>
    <row r="42" spans="1:37" s="12" customFormat="1" x14ac:dyDescent="0.25">
      <c r="A42" s="161">
        <f>'งบกำไรขาดทุน ปี 2025'!A42</f>
        <v>0</v>
      </c>
      <c r="B42" s="15" t="str">
        <f>'งบกำไรขาดทุน ปี 2025'!B42</f>
        <v>รวมต้นทุนขายและค่าใช้จ่ายในการขาย</v>
      </c>
      <c r="C42" s="26">
        <f>'งบกำไรขาดทุน ปี 2025'!O42</f>
        <v>0</v>
      </c>
      <c r="D42" s="27">
        <f t="shared" si="15"/>
        <v>0</v>
      </c>
      <c r="E42" s="146">
        <f>D42*$E$5</f>
        <v>0</v>
      </c>
      <c r="F42" s="224" t="e">
        <f>E42/$E$18</f>
        <v>#DIV/0!</v>
      </c>
      <c r="G42" s="224"/>
      <c r="H42" s="582"/>
      <c r="I42" s="139" t="e">
        <f t="shared" ref="I42:T42" si="55">I24+I38+I41</f>
        <v>#DIV/0!</v>
      </c>
      <c r="J42" s="107" t="e">
        <f t="shared" si="55"/>
        <v>#DIV/0!</v>
      </c>
      <c r="K42" s="107" t="e">
        <f t="shared" si="55"/>
        <v>#DIV/0!</v>
      </c>
      <c r="L42" s="107" t="e">
        <f t="shared" si="55"/>
        <v>#DIV/0!</v>
      </c>
      <c r="M42" s="107" t="e">
        <f t="shared" si="55"/>
        <v>#DIV/0!</v>
      </c>
      <c r="N42" s="235" t="e">
        <f t="shared" si="55"/>
        <v>#DIV/0!</v>
      </c>
      <c r="O42" s="139" t="e">
        <f t="shared" si="55"/>
        <v>#DIV/0!</v>
      </c>
      <c r="P42" s="107" t="e">
        <f t="shared" si="55"/>
        <v>#DIV/0!</v>
      </c>
      <c r="Q42" s="107" t="e">
        <f t="shared" si="55"/>
        <v>#DIV/0!</v>
      </c>
      <c r="R42" s="107" t="e">
        <f t="shared" si="55"/>
        <v>#DIV/0!</v>
      </c>
      <c r="S42" s="107" t="e">
        <f t="shared" si="55"/>
        <v>#DIV/0!</v>
      </c>
      <c r="T42" s="248" t="e">
        <f t="shared" si="55"/>
        <v>#DIV/0!</v>
      </c>
      <c r="U42" s="107" t="e">
        <f>SUM(U24,U38,U41)</f>
        <v>#DIV/0!</v>
      </c>
      <c r="V42" s="94" t="e">
        <f>I42/$I$18</f>
        <v>#DIV/0!</v>
      </c>
      <c r="W42" s="56" t="e">
        <f>J42/$J$18</f>
        <v>#DIV/0!</v>
      </c>
      <c r="X42" s="56" t="e">
        <f>K42/$K$18</f>
        <v>#DIV/0!</v>
      </c>
      <c r="Y42" s="56" t="e">
        <f>L42/$L$18</f>
        <v>#DIV/0!</v>
      </c>
      <c r="Z42" s="56" t="e">
        <f>M42/$M$18</f>
        <v>#DIV/0!</v>
      </c>
      <c r="AA42" s="56" t="e">
        <f>N42/$N$18</f>
        <v>#DIV/0!</v>
      </c>
      <c r="AB42" s="56" t="e">
        <f>O42/$O$18</f>
        <v>#DIV/0!</v>
      </c>
      <c r="AC42" s="56" t="e">
        <f>P42/$P$18</f>
        <v>#DIV/0!</v>
      </c>
      <c r="AD42" s="56" t="e">
        <f>Q42/$Q$18</f>
        <v>#DIV/0!</v>
      </c>
      <c r="AE42" s="56" t="e">
        <f>R42/$R$18</f>
        <v>#DIV/0!</v>
      </c>
      <c r="AF42" s="56" t="e">
        <f>S42/$S$18</f>
        <v>#DIV/0!</v>
      </c>
      <c r="AG42" s="56" t="e">
        <f>T42/$T$18</f>
        <v>#DIV/0!</v>
      </c>
      <c r="AH42" s="290" t="e">
        <f>U42/$U$18</f>
        <v>#DIV/0!</v>
      </c>
      <c r="AI42" s="582"/>
      <c r="AJ42" s="444">
        <f t="shared" si="0"/>
        <v>-1</v>
      </c>
      <c r="AK42" s="408"/>
    </row>
    <row r="43" spans="1:37" x14ac:dyDescent="0.25">
      <c r="A43" s="58">
        <f>'งบกำไรขาดทุน ปี 2025'!A43</f>
        <v>0</v>
      </c>
      <c r="B43" s="16" t="str">
        <f>'งบกำไรขาดทุน ปี 2025'!B43</f>
        <v>ค่าใช้จ่ายในการบริหาร</v>
      </c>
      <c r="C43" s="215">
        <f>'งบกำไรขาดทุน ปี 2025'!O43</f>
        <v>0</v>
      </c>
      <c r="D43" s="188"/>
      <c r="E43" s="189"/>
      <c r="F43" s="225"/>
      <c r="G43" s="225"/>
      <c r="H43" s="580"/>
      <c r="I43" s="190"/>
      <c r="J43" s="181"/>
      <c r="K43" s="181"/>
      <c r="L43" s="181"/>
      <c r="M43" s="181"/>
      <c r="N43" s="236"/>
      <c r="O43" s="190"/>
      <c r="P43" s="181"/>
      <c r="Q43" s="181"/>
      <c r="R43" s="181"/>
      <c r="S43" s="181"/>
      <c r="T43" s="249"/>
      <c r="U43" s="182"/>
      <c r="V43" s="183"/>
      <c r="W43" s="184"/>
      <c r="X43" s="184"/>
      <c r="Y43" s="184"/>
      <c r="Z43" s="184"/>
      <c r="AA43" s="184"/>
      <c r="AB43" s="184"/>
      <c r="AC43" s="184"/>
      <c r="AD43" s="184"/>
      <c r="AE43" s="184"/>
      <c r="AF43" s="184"/>
      <c r="AG43" s="184"/>
      <c r="AH43" s="291"/>
      <c r="AI43" s="580"/>
      <c r="AJ43" s="444">
        <f t="shared" si="0"/>
        <v>-1</v>
      </c>
      <c r="AK43" s="408"/>
    </row>
    <row r="44" spans="1:37" x14ac:dyDescent="0.25">
      <c r="A44" s="58">
        <f>'งบกำไรขาดทุน ปี 2025'!A44</f>
        <v>0</v>
      </c>
      <c r="B44" s="16" t="str">
        <f>'งบกำไรขาดทุน ปี 2025'!B44</f>
        <v>เงินเดือนและสวัสดิการพนักงาน</v>
      </c>
      <c r="C44" s="20">
        <f>'งบกำไรขาดทุน ปี 2025'!O44</f>
        <v>0</v>
      </c>
      <c r="D44" s="21"/>
      <c r="E44" s="141"/>
      <c r="F44" s="221"/>
      <c r="G44" s="221"/>
      <c r="H44" s="580"/>
      <c r="I44" s="137"/>
      <c r="J44" s="105"/>
      <c r="K44" s="105"/>
      <c r="L44" s="105"/>
      <c r="M44" s="105"/>
      <c r="N44" s="233"/>
      <c r="O44" s="137"/>
      <c r="P44" s="105"/>
      <c r="Q44" s="105"/>
      <c r="R44" s="105"/>
      <c r="S44" s="105"/>
      <c r="T44" s="246"/>
      <c r="U44" s="154"/>
      <c r="V44" s="91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288"/>
      <c r="AI44" s="580"/>
      <c r="AJ44" s="444">
        <f t="shared" si="0"/>
        <v>-1</v>
      </c>
      <c r="AK44" s="408"/>
    </row>
    <row r="45" spans="1:37" x14ac:dyDescent="0.25">
      <c r="A45" s="58">
        <f>'งบกำไรขาดทุน ปี 2025'!A45</f>
        <v>60100001</v>
      </c>
      <c r="B45" s="16" t="str">
        <f>'งบกำไรขาดทุน ปี 2025'!B45</f>
        <v>เงินเดือน</v>
      </c>
      <c r="C45" s="20">
        <f>'งบกำไรขาดทุน ปี 2025'!O45</f>
        <v>0</v>
      </c>
      <c r="D45" s="21">
        <f t="shared" si="15"/>
        <v>0</v>
      </c>
      <c r="E45" s="141">
        <f t="shared" ref="E45:E63" si="56">D45*$E$5</f>
        <v>0</v>
      </c>
      <c r="F45" s="221" t="e">
        <f>E45/$E$18</f>
        <v>#DIV/0!</v>
      </c>
      <c r="G45" s="697">
        <v>0.04</v>
      </c>
      <c r="H45" s="582" t="s">
        <v>633</v>
      </c>
      <c r="I45" s="137">
        <f>(($D45*$G45)+$D45)+'การลงระหว่างเดือน ปี 2026'!AO20</f>
        <v>0</v>
      </c>
      <c r="J45" s="105">
        <f>(($D45*$G45)+$D45)+'การลงระหว่างเดือน ปี 2026'!AP20</f>
        <v>0</v>
      </c>
      <c r="K45" s="105">
        <f>(($D45*$G45)+$D45)+'การลงระหว่างเดือน ปี 2026'!AQ20</f>
        <v>0</v>
      </c>
      <c r="L45" s="105">
        <f>(($D45*$G45)+$D45)+'การลงระหว่างเดือน ปี 2026'!AR20</f>
        <v>0</v>
      </c>
      <c r="M45" s="105">
        <f>(($D45*$G45)+$D45)+'การลงระหว่างเดือน ปี 2026'!AS20</f>
        <v>0</v>
      </c>
      <c r="N45" s="233">
        <f>(($D45*$G45)+$D45)+'การลงระหว่างเดือน ปี 2026'!AT20</f>
        <v>0</v>
      </c>
      <c r="O45" s="137">
        <f>(($D45*$G45)+$D45)+'การลงระหว่างเดือน ปี 2026'!AU20</f>
        <v>0</v>
      </c>
      <c r="P45" s="105">
        <f>(($D45*$G45)+$D45)+'การลงระหว่างเดือน ปี 2026'!AV20</f>
        <v>0</v>
      </c>
      <c r="Q45" s="105">
        <f>(($D45*$G45)+$D45)+'การลงระหว่างเดือน ปี 2026'!AW20</f>
        <v>0</v>
      </c>
      <c r="R45" s="105">
        <f>(($D45*$G45)+$D45)+'การลงระหว่างเดือน ปี 2026'!AX20</f>
        <v>0</v>
      </c>
      <c r="S45" s="105">
        <f>(($D45*$G45)+$D45)+'การลงระหว่างเดือน ปี 2026'!AY20</f>
        <v>0</v>
      </c>
      <c r="T45" s="246">
        <f>(($D45*$G45)+$D45)+'การลงระหว่างเดือน ปี 2026'!AZ20</f>
        <v>0</v>
      </c>
      <c r="U45" s="154">
        <f t="shared" si="19"/>
        <v>0</v>
      </c>
      <c r="V45" s="91" t="e">
        <f t="shared" ref="V45:V62" si="57">I45/$I$18</f>
        <v>#DIV/0!</v>
      </c>
      <c r="W45" s="55" t="e">
        <f t="shared" ref="W45:W63" si="58">J45/$J$18</f>
        <v>#DIV/0!</v>
      </c>
      <c r="X45" s="55" t="e">
        <f t="shared" ref="X45:X63" si="59">K45/$K$18</f>
        <v>#DIV/0!</v>
      </c>
      <c r="Y45" s="55" t="e">
        <f t="shared" ref="Y45:Y63" si="60">L45/$L$18</f>
        <v>#DIV/0!</v>
      </c>
      <c r="Z45" s="55" t="e">
        <f t="shared" ref="Z45:Z63" si="61">M45/$M$18</f>
        <v>#DIV/0!</v>
      </c>
      <c r="AA45" s="55" t="e">
        <f t="shared" ref="AA45:AA63" si="62">N45/$N$18</f>
        <v>#DIV/0!</v>
      </c>
      <c r="AB45" s="55" t="e">
        <f t="shared" ref="AB45:AB63" si="63">O45/$O$18</f>
        <v>#DIV/0!</v>
      </c>
      <c r="AC45" s="55" t="e">
        <f t="shared" ref="AC45:AC63" si="64">P45/$P$18</f>
        <v>#DIV/0!</v>
      </c>
      <c r="AD45" s="55" t="e">
        <f t="shared" ref="AD45:AD63" si="65">Q45/$Q$18</f>
        <v>#DIV/0!</v>
      </c>
      <c r="AE45" s="55" t="e">
        <f t="shared" ref="AE45:AE63" si="66">R45/$R$18</f>
        <v>#DIV/0!</v>
      </c>
      <c r="AF45" s="55" t="e">
        <f t="shared" ref="AF45:AF63" si="67">S45/$S$18</f>
        <v>#DIV/0!</v>
      </c>
      <c r="AG45" s="55" t="e">
        <f t="shared" ref="AG45:AG63" si="68">T45/$T$18</f>
        <v>#DIV/0!</v>
      </c>
      <c r="AH45" s="288" t="e">
        <f t="shared" ref="AH45:AH62" si="69">U45/$U$18</f>
        <v>#DIV/0!</v>
      </c>
      <c r="AI45" s="582" t="s">
        <v>634</v>
      </c>
      <c r="AJ45" s="444">
        <f t="shared" si="0"/>
        <v>-1</v>
      </c>
      <c r="AK45" s="408"/>
    </row>
    <row r="46" spans="1:37" x14ac:dyDescent="0.25">
      <c r="A46" s="58">
        <f>'งบกำไรขาดทุน ปี 2025'!A46</f>
        <v>52000009</v>
      </c>
      <c r="B46" s="16" t="str">
        <f>'งบกำไรขาดทุน ปี 2025'!B46</f>
        <v>ค่าหัวหน้าฝ่ายวิชาการแพทย์</v>
      </c>
      <c r="C46" s="20">
        <f>'งบกำไรขาดทุน ปี 2025'!O46</f>
        <v>0</v>
      </c>
      <c r="D46" s="21">
        <f t="shared" si="15"/>
        <v>0</v>
      </c>
      <c r="E46" s="141">
        <f t="shared" si="56"/>
        <v>0</v>
      </c>
      <c r="F46" s="221" t="e">
        <f t="shared" ref="F46:F62" si="70">E46/$E$18</f>
        <v>#DIV/0!</v>
      </c>
      <c r="G46" s="697">
        <f>$G$45</f>
        <v>0.04</v>
      </c>
      <c r="H46" s="582" t="s">
        <v>633</v>
      </c>
      <c r="I46" s="137">
        <f>(($D46*$G46)+$D46)+'การลงระหว่างเดือน ปี 2026'!AO21</f>
        <v>0</v>
      </c>
      <c r="J46" s="105">
        <f>(($D46*$G46)+$D46)+'การลงระหว่างเดือน ปี 2026'!AP21</f>
        <v>0</v>
      </c>
      <c r="K46" s="105">
        <f>(($D46*$G46)+$D46)+'การลงระหว่างเดือน ปี 2026'!AQ21</f>
        <v>0</v>
      </c>
      <c r="L46" s="105">
        <f>(($D46*$G46)+$D46)+'การลงระหว่างเดือน ปี 2026'!AR21</f>
        <v>0</v>
      </c>
      <c r="M46" s="105">
        <f>(($D46*$G46)+$D46)+'การลงระหว่างเดือน ปี 2026'!AS21</f>
        <v>0</v>
      </c>
      <c r="N46" s="233">
        <f>(($D46*$G46)+$D46)+'การลงระหว่างเดือน ปี 2026'!AT21</f>
        <v>0</v>
      </c>
      <c r="O46" s="137">
        <f>(($D46*$G46)+$D46)+'การลงระหว่างเดือน ปี 2026'!AU21</f>
        <v>0</v>
      </c>
      <c r="P46" s="105">
        <f>(($D46*$G46)+$D46)+'การลงระหว่างเดือน ปี 2026'!AV21</f>
        <v>0</v>
      </c>
      <c r="Q46" s="105">
        <f>(($D46*$G46)+$D46)+'การลงระหว่างเดือน ปี 2026'!AW21</f>
        <v>0</v>
      </c>
      <c r="R46" s="105">
        <f>(($D46*$G46)+$D46)+'การลงระหว่างเดือน ปี 2026'!AX21</f>
        <v>0</v>
      </c>
      <c r="S46" s="105">
        <f>(($D46*$G46)+$D46)+'การลงระหว่างเดือน ปี 2026'!AY21</f>
        <v>0</v>
      </c>
      <c r="T46" s="246">
        <f>(($D46*$G46)+$D46)+'การลงระหว่างเดือน ปี 2026'!AZ21</f>
        <v>0</v>
      </c>
      <c r="U46" s="154">
        <f t="shared" si="19"/>
        <v>0</v>
      </c>
      <c r="V46" s="91" t="e">
        <f t="shared" si="57"/>
        <v>#DIV/0!</v>
      </c>
      <c r="W46" s="55" t="e">
        <f t="shared" si="58"/>
        <v>#DIV/0!</v>
      </c>
      <c r="X46" s="55" t="e">
        <f t="shared" si="59"/>
        <v>#DIV/0!</v>
      </c>
      <c r="Y46" s="55" t="e">
        <f t="shared" si="60"/>
        <v>#DIV/0!</v>
      </c>
      <c r="Z46" s="55" t="e">
        <f t="shared" si="61"/>
        <v>#DIV/0!</v>
      </c>
      <c r="AA46" s="55" t="e">
        <f t="shared" si="62"/>
        <v>#DIV/0!</v>
      </c>
      <c r="AB46" s="55" t="e">
        <f t="shared" si="63"/>
        <v>#DIV/0!</v>
      </c>
      <c r="AC46" s="55" t="e">
        <f t="shared" si="64"/>
        <v>#DIV/0!</v>
      </c>
      <c r="AD46" s="55" t="e">
        <f t="shared" si="65"/>
        <v>#DIV/0!</v>
      </c>
      <c r="AE46" s="55" t="e">
        <f t="shared" si="66"/>
        <v>#DIV/0!</v>
      </c>
      <c r="AF46" s="55" t="e">
        <f t="shared" si="67"/>
        <v>#DIV/0!</v>
      </c>
      <c r="AG46" s="55" t="e">
        <f t="shared" si="68"/>
        <v>#DIV/0!</v>
      </c>
      <c r="AH46" s="288" t="e">
        <f t="shared" si="69"/>
        <v>#DIV/0!</v>
      </c>
      <c r="AI46" s="582" t="s">
        <v>634</v>
      </c>
      <c r="AJ46" s="444">
        <f t="shared" si="0"/>
        <v>-1</v>
      </c>
      <c r="AK46" s="408"/>
    </row>
    <row r="47" spans="1:37" x14ac:dyDescent="0.25">
      <c r="A47" s="58">
        <f>'งบกำไรขาดทุน ปี 2025'!A47</f>
        <v>52000012</v>
      </c>
      <c r="B47" s="16" t="str">
        <f>'งบกำไรขาดทุน ปี 2025'!B47</f>
        <v>เงินเดือนพยาบาล</v>
      </c>
      <c r="C47" s="20">
        <f>'งบกำไรขาดทุน ปี 2025'!O47</f>
        <v>0</v>
      </c>
      <c r="D47" s="21">
        <f t="shared" si="15"/>
        <v>0</v>
      </c>
      <c r="E47" s="141">
        <f t="shared" si="56"/>
        <v>0</v>
      </c>
      <c r="F47" s="221" t="e">
        <f t="shared" si="70"/>
        <v>#DIV/0!</v>
      </c>
      <c r="G47" s="697">
        <f t="shared" ref="G47:G50" si="71">$G$45</f>
        <v>0.04</v>
      </c>
      <c r="H47" s="582" t="s">
        <v>633</v>
      </c>
      <c r="I47" s="137">
        <f>(($D47*$G47)+$D47)+'การลงระหว่างเดือน ปี 2026'!AO22</f>
        <v>0</v>
      </c>
      <c r="J47" s="105">
        <f>(($D47*$G47)+$D47)+'การลงระหว่างเดือน ปี 2026'!AP22</f>
        <v>0</v>
      </c>
      <c r="K47" s="105">
        <f>(($D47*$G47)+$D47)+'การลงระหว่างเดือน ปี 2026'!AQ22</f>
        <v>0</v>
      </c>
      <c r="L47" s="105">
        <f>(($D47*$G47)+$D47)+'การลงระหว่างเดือน ปี 2026'!AR22</f>
        <v>0</v>
      </c>
      <c r="M47" s="105">
        <f>(($D47*$G47)+$D47)+'การลงระหว่างเดือน ปี 2026'!AS22</f>
        <v>0</v>
      </c>
      <c r="N47" s="233">
        <f>(($D47*$G47)+$D47)+'การลงระหว่างเดือน ปี 2026'!AT22</f>
        <v>0</v>
      </c>
      <c r="O47" s="137">
        <f>(($D47*$G47)+$D47)+'การลงระหว่างเดือน ปี 2026'!AU22</f>
        <v>0</v>
      </c>
      <c r="P47" s="105">
        <f>(($D47*$G47)+$D47)+'การลงระหว่างเดือน ปี 2026'!AV22</f>
        <v>0</v>
      </c>
      <c r="Q47" s="105">
        <f>(($D47*$G47)+$D47)+'การลงระหว่างเดือน ปี 2026'!AW22</f>
        <v>0</v>
      </c>
      <c r="R47" s="105">
        <f>(($D47*$G47)+$D47)+'การลงระหว่างเดือน ปี 2026'!AX22</f>
        <v>0</v>
      </c>
      <c r="S47" s="105">
        <f>(($D47*$G47)+$D47)+'การลงระหว่างเดือน ปี 2026'!AY22</f>
        <v>0</v>
      </c>
      <c r="T47" s="246">
        <f>(($D47*$G47)+$D47)+'การลงระหว่างเดือน ปี 2026'!AZ22</f>
        <v>0</v>
      </c>
      <c r="U47" s="154">
        <f t="shared" si="19"/>
        <v>0</v>
      </c>
      <c r="V47" s="91" t="e">
        <f t="shared" si="57"/>
        <v>#DIV/0!</v>
      </c>
      <c r="W47" s="55" t="e">
        <f t="shared" si="58"/>
        <v>#DIV/0!</v>
      </c>
      <c r="X47" s="55" t="e">
        <f t="shared" si="59"/>
        <v>#DIV/0!</v>
      </c>
      <c r="Y47" s="55" t="e">
        <f t="shared" si="60"/>
        <v>#DIV/0!</v>
      </c>
      <c r="Z47" s="55" t="e">
        <f t="shared" si="61"/>
        <v>#DIV/0!</v>
      </c>
      <c r="AA47" s="55" t="e">
        <f t="shared" si="62"/>
        <v>#DIV/0!</v>
      </c>
      <c r="AB47" s="55" t="e">
        <f t="shared" si="63"/>
        <v>#DIV/0!</v>
      </c>
      <c r="AC47" s="55" t="e">
        <f t="shared" si="64"/>
        <v>#DIV/0!</v>
      </c>
      <c r="AD47" s="55" t="e">
        <f t="shared" si="65"/>
        <v>#DIV/0!</v>
      </c>
      <c r="AE47" s="55" t="e">
        <f t="shared" si="66"/>
        <v>#DIV/0!</v>
      </c>
      <c r="AF47" s="55" t="e">
        <f t="shared" si="67"/>
        <v>#DIV/0!</v>
      </c>
      <c r="AG47" s="55" t="e">
        <f t="shared" si="68"/>
        <v>#DIV/0!</v>
      </c>
      <c r="AH47" s="288" t="e">
        <f t="shared" si="69"/>
        <v>#DIV/0!</v>
      </c>
      <c r="AI47" s="583" t="s">
        <v>634</v>
      </c>
      <c r="AJ47" s="444">
        <f t="shared" si="0"/>
        <v>-1</v>
      </c>
      <c r="AK47" s="408"/>
    </row>
    <row r="48" spans="1:37" x14ac:dyDescent="0.25">
      <c r="A48" s="58">
        <f>'งบกำไรขาดทุน ปี 2025'!A48</f>
        <v>52000013</v>
      </c>
      <c r="B48" s="16" t="str">
        <f>'งบกำไรขาดทุน ปี 2025'!B48</f>
        <v>ค่าพยาบาลพิเศษ</v>
      </c>
      <c r="C48" s="20">
        <f>'งบกำไรขาดทุน ปี 2025'!O48</f>
        <v>0</v>
      </c>
      <c r="D48" s="21">
        <f t="shared" si="15"/>
        <v>0</v>
      </c>
      <c r="E48" s="141">
        <f t="shared" si="56"/>
        <v>0</v>
      </c>
      <c r="F48" s="221" t="e">
        <f t="shared" si="70"/>
        <v>#DIV/0!</v>
      </c>
      <c r="G48" s="697">
        <f t="shared" si="71"/>
        <v>0.04</v>
      </c>
      <c r="H48" s="582" t="s">
        <v>633</v>
      </c>
      <c r="I48" s="137">
        <f>(($D48*$G48)+$D48)</f>
        <v>0</v>
      </c>
      <c r="J48" s="105">
        <f t="shared" ref="J48:T48" si="72">(($D48*$G48)+$D48)</f>
        <v>0</v>
      </c>
      <c r="K48" s="105">
        <f t="shared" si="72"/>
        <v>0</v>
      </c>
      <c r="L48" s="105">
        <f t="shared" si="72"/>
        <v>0</v>
      </c>
      <c r="M48" s="105">
        <f t="shared" si="72"/>
        <v>0</v>
      </c>
      <c r="N48" s="233">
        <f t="shared" si="72"/>
        <v>0</v>
      </c>
      <c r="O48" s="137">
        <f t="shared" si="72"/>
        <v>0</v>
      </c>
      <c r="P48" s="105">
        <f t="shared" si="72"/>
        <v>0</v>
      </c>
      <c r="Q48" s="105">
        <f t="shared" si="72"/>
        <v>0</v>
      </c>
      <c r="R48" s="105">
        <f t="shared" si="72"/>
        <v>0</v>
      </c>
      <c r="S48" s="105">
        <f t="shared" si="72"/>
        <v>0</v>
      </c>
      <c r="T48" s="246">
        <f t="shared" si="72"/>
        <v>0</v>
      </c>
      <c r="U48" s="154">
        <f t="shared" si="19"/>
        <v>0</v>
      </c>
      <c r="V48" s="91" t="e">
        <f t="shared" si="57"/>
        <v>#DIV/0!</v>
      </c>
      <c r="W48" s="55" t="e">
        <f t="shared" si="58"/>
        <v>#DIV/0!</v>
      </c>
      <c r="X48" s="55" t="e">
        <f t="shared" si="59"/>
        <v>#DIV/0!</v>
      </c>
      <c r="Y48" s="55" t="e">
        <f t="shared" si="60"/>
        <v>#DIV/0!</v>
      </c>
      <c r="Z48" s="55" t="e">
        <f t="shared" si="61"/>
        <v>#DIV/0!</v>
      </c>
      <c r="AA48" s="55" t="e">
        <f t="shared" si="62"/>
        <v>#DIV/0!</v>
      </c>
      <c r="AB48" s="55" t="e">
        <f t="shared" si="63"/>
        <v>#DIV/0!</v>
      </c>
      <c r="AC48" s="55" t="e">
        <f t="shared" si="64"/>
        <v>#DIV/0!</v>
      </c>
      <c r="AD48" s="55" t="e">
        <f t="shared" si="65"/>
        <v>#DIV/0!</v>
      </c>
      <c r="AE48" s="55" t="e">
        <f t="shared" si="66"/>
        <v>#DIV/0!</v>
      </c>
      <c r="AF48" s="55" t="e">
        <f t="shared" si="67"/>
        <v>#DIV/0!</v>
      </c>
      <c r="AG48" s="55" t="e">
        <f t="shared" si="68"/>
        <v>#DIV/0!</v>
      </c>
      <c r="AH48" s="288" t="e">
        <f t="shared" si="69"/>
        <v>#DIV/0!</v>
      </c>
      <c r="AI48" s="582" t="s">
        <v>634</v>
      </c>
      <c r="AJ48" s="444">
        <f t="shared" si="0"/>
        <v>-1</v>
      </c>
      <c r="AK48" s="408"/>
    </row>
    <row r="49" spans="1:37" x14ac:dyDescent="0.25">
      <c r="A49" s="58">
        <f>'งบกำไรขาดทุน ปี 2025'!A49</f>
        <v>52000016</v>
      </c>
      <c r="B49" s="16" t="str">
        <f>'งบกำไรขาดทุน ปี 2025'!B49</f>
        <v>ค่าเช่ายานพาหนะ</v>
      </c>
      <c r="C49" s="20">
        <f>'งบกำไรขาดทุน ปี 2025'!O49</f>
        <v>0</v>
      </c>
      <c r="D49" s="21">
        <f t="shared" si="15"/>
        <v>0</v>
      </c>
      <c r="E49" s="141">
        <f t="shared" si="56"/>
        <v>0</v>
      </c>
      <c r="F49" s="221" t="e">
        <f t="shared" si="70"/>
        <v>#DIV/0!</v>
      </c>
      <c r="G49" s="697">
        <f t="shared" si="71"/>
        <v>0.04</v>
      </c>
      <c r="H49" s="582" t="s">
        <v>633</v>
      </c>
      <c r="I49" s="137">
        <f>(($D49*$G49)+$D49)+'การลงระหว่างเดือน ปี 2026'!AO23</f>
        <v>0</v>
      </c>
      <c r="J49" s="105">
        <f>(($D49*$G49)+$D49)+'การลงระหว่างเดือน ปี 2026'!AP23</f>
        <v>0</v>
      </c>
      <c r="K49" s="105">
        <f>(($D49*$G49)+$D49)+'การลงระหว่างเดือน ปี 2026'!AQ23</f>
        <v>0</v>
      </c>
      <c r="L49" s="105">
        <f>(($D49*$G49)+$D49)+'การลงระหว่างเดือน ปี 2026'!AR23</f>
        <v>0</v>
      </c>
      <c r="M49" s="105">
        <f>(($D49*$G49)+$D49)+'การลงระหว่างเดือน ปี 2026'!AS23</f>
        <v>0</v>
      </c>
      <c r="N49" s="233">
        <f>(($D49*$G49)+$D49)+'การลงระหว่างเดือน ปี 2026'!AT23</f>
        <v>0</v>
      </c>
      <c r="O49" s="137">
        <f>(($D49*$G49)+$D49)+'การลงระหว่างเดือน ปี 2026'!AU23</f>
        <v>0</v>
      </c>
      <c r="P49" s="105">
        <f>(($D49*$G49)+$D49)+'การลงระหว่างเดือน ปี 2026'!AV23</f>
        <v>0</v>
      </c>
      <c r="Q49" s="105">
        <f>(($D49*$G49)+$D49)+'การลงระหว่างเดือน ปี 2026'!AW23</f>
        <v>0</v>
      </c>
      <c r="R49" s="105">
        <f>(($D49*$G49)+$D49)+'การลงระหว่างเดือน ปี 2026'!AX23</f>
        <v>0</v>
      </c>
      <c r="S49" s="105">
        <f>(($D49*$G49)+$D49)+'การลงระหว่างเดือน ปี 2026'!AY23</f>
        <v>0</v>
      </c>
      <c r="T49" s="246">
        <f>(($D49*$G49)+$D49)+'การลงระหว่างเดือน ปี 2026'!AZ23</f>
        <v>0</v>
      </c>
      <c r="U49" s="154">
        <f t="shared" si="19"/>
        <v>0</v>
      </c>
      <c r="V49" s="91" t="e">
        <f t="shared" si="57"/>
        <v>#DIV/0!</v>
      </c>
      <c r="W49" s="55" t="e">
        <f t="shared" si="58"/>
        <v>#DIV/0!</v>
      </c>
      <c r="X49" s="55" t="e">
        <f t="shared" si="59"/>
        <v>#DIV/0!</v>
      </c>
      <c r="Y49" s="55" t="e">
        <f t="shared" si="60"/>
        <v>#DIV/0!</v>
      </c>
      <c r="Z49" s="55" t="e">
        <f t="shared" si="61"/>
        <v>#DIV/0!</v>
      </c>
      <c r="AA49" s="55" t="e">
        <f t="shared" si="62"/>
        <v>#DIV/0!</v>
      </c>
      <c r="AB49" s="55" t="e">
        <f t="shared" si="63"/>
        <v>#DIV/0!</v>
      </c>
      <c r="AC49" s="55" t="e">
        <f t="shared" si="64"/>
        <v>#DIV/0!</v>
      </c>
      <c r="AD49" s="55" t="e">
        <f t="shared" si="65"/>
        <v>#DIV/0!</v>
      </c>
      <c r="AE49" s="55" t="e">
        <f t="shared" si="66"/>
        <v>#DIV/0!</v>
      </c>
      <c r="AF49" s="55" t="e">
        <f t="shared" si="67"/>
        <v>#DIV/0!</v>
      </c>
      <c r="AG49" s="55" t="e">
        <f t="shared" si="68"/>
        <v>#DIV/0!</v>
      </c>
      <c r="AH49" s="288" t="e">
        <f t="shared" si="69"/>
        <v>#DIV/0!</v>
      </c>
      <c r="AI49" s="582" t="s">
        <v>633</v>
      </c>
      <c r="AJ49" s="444">
        <f t="shared" si="0"/>
        <v>-1</v>
      </c>
      <c r="AK49" s="408"/>
    </row>
    <row r="50" spans="1:37" x14ac:dyDescent="0.25">
      <c r="A50" s="58">
        <f>'งบกำไรขาดทุน ปี 2025'!A50</f>
        <v>60100002</v>
      </c>
      <c r="B50" s="16" t="str">
        <f>'งบกำไรขาดทุน ปี 2025'!B50</f>
        <v>ค่าวัดระดับ</v>
      </c>
      <c r="C50" s="20">
        <f>'งบกำไรขาดทุน ปี 2025'!O50</f>
        <v>0</v>
      </c>
      <c r="D50" s="21">
        <f t="shared" si="15"/>
        <v>0</v>
      </c>
      <c r="E50" s="141">
        <f t="shared" si="56"/>
        <v>0</v>
      </c>
      <c r="F50" s="221" t="e">
        <f t="shared" si="70"/>
        <v>#DIV/0!</v>
      </c>
      <c r="G50" s="697">
        <f t="shared" si="71"/>
        <v>0.04</v>
      </c>
      <c r="H50" s="582" t="s">
        <v>633</v>
      </c>
      <c r="I50" s="137">
        <f>(($D50*$G50)+$D50)+'การลงระหว่างเดือน ปี 2026'!AO24</f>
        <v>0</v>
      </c>
      <c r="J50" s="105">
        <f>(($D50*$G50)+$D50)+'การลงระหว่างเดือน ปี 2026'!AP24</f>
        <v>0</v>
      </c>
      <c r="K50" s="105">
        <f>(($D50*$G50)+$D50)+'การลงระหว่างเดือน ปี 2026'!AQ24</f>
        <v>0</v>
      </c>
      <c r="L50" s="105">
        <f>(($D50*$G50)+$D50)+'การลงระหว่างเดือน ปี 2026'!AR24</f>
        <v>0</v>
      </c>
      <c r="M50" s="105">
        <f>(($D50*$G50)+$D50)+'การลงระหว่างเดือน ปี 2026'!AS24</f>
        <v>0</v>
      </c>
      <c r="N50" s="233">
        <f>(($D50*$G50)+$D50)+'การลงระหว่างเดือน ปี 2026'!AT24</f>
        <v>0</v>
      </c>
      <c r="O50" s="137">
        <f>(($D50*$G50)+$D50)+'การลงระหว่างเดือน ปี 2026'!AU24</f>
        <v>0</v>
      </c>
      <c r="P50" s="105">
        <f>(($D50*$G50)+$D50)+'การลงระหว่างเดือน ปี 2026'!AV24</f>
        <v>0</v>
      </c>
      <c r="Q50" s="105">
        <f>(($D50*$G50)+$D50)+'การลงระหว่างเดือน ปี 2026'!AW24</f>
        <v>0</v>
      </c>
      <c r="R50" s="105">
        <f>(($D50*$G50)+$D50)+'การลงระหว่างเดือน ปี 2026'!AX24</f>
        <v>0</v>
      </c>
      <c r="S50" s="105">
        <f>(($D50*$G50)+$D50)+'การลงระหว่างเดือน ปี 2026'!AY24</f>
        <v>0</v>
      </c>
      <c r="T50" s="246">
        <f>(($D50*$G50)+$D50)+'การลงระหว่างเดือน ปี 2026'!AZ24</f>
        <v>0</v>
      </c>
      <c r="U50" s="154">
        <f t="shared" si="19"/>
        <v>0</v>
      </c>
      <c r="V50" s="91" t="e">
        <f t="shared" si="57"/>
        <v>#DIV/0!</v>
      </c>
      <c r="W50" s="55" t="e">
        <f t="shared" si="58"/>
        <v>#DIV/0!</v>
      </c>
      <c r="X50" s="55" t="e">
        <f t="shared" si="59"/>
        <v>#DIV/0!</v>
      </c>
      <c r="Y50" s="55" t="e">
        <f t="shared" si="60"/>
        <v>#DIV/0!</v>
      </c>
      <c r="Z50" s="55" t="e">
        <f t="shared" si="61"/>
        <v>#DIV/0!</v>
      </c>
      <c r="AA50" s="55" t="e">
        <f t="shared" si="62"/>
        <v>#DIV/0!</v>
      </c>
      <c r="AB50" s="55" t="e">
        <f t="shared" si="63"/>
        <v>#DIV/0!</v>
      </c>
      <c r="AC50" s="55" t="e">
        <f t="shared" si="64"/>
        <v>#DIV/0!</v>
      </c>
      <c r="AD50" s="55" t="e">
        <f t="shared" si="65"/>
        <v>#DIV/0!</v>
      </c>
      <c r="AE50" s="55" t="e">
        <f t="shared" si="66"/>
        <v>#DIV/0!</v>
      </c>
      <c r="AF50" s="55" t="e">
        <f t="shared" si="67"/>
        <v>#DIV/0!</v>
      </c>
      <c r="AG50" s="55" t="e">
        <f t="shared" si="68"/>
        <v>#DIV/0!</v>
      </c>
      <c r="AH50" s="288" t="e">
        <f t="shared" si="69"/>
        <v>#DIV/0!</v>
      </c>
      <c r="AI50" s="582" t="s">
        <v>634</v>
      </c>
      <c r="AJ50" s="444">
        <f t="shared" si="0"/>
        <v>-1</v>
      </c>
      <c r="AK50" s="408"/>
    </row>
    <row r="51" spans="1:37" x14ac:dyDescent="0.25">
      <c r="A51" s="58">
        <f>'งบกำไรขาดทุน ปี 2025'!A51</f>
        <v>60100003</v>
      </c>
      <c r="B51" s="16" t="str">
        <f>'งบกำไรขาดทุน ปี 2025'!B51</f>
        <v>ค่าล่วงเวลา</v>
      </c>
      <c r="C51" s="20">
        <f>'งบกำไรขาดทุน ปี 2025'!O51</f>
        <v>0</v>
      </c>
      <c r="D51" s="21">
        <f t="shared" si="15"/>
        <v>0</v>
      </c>
      <c r="E51" s="141">
        <f t="shared" si="56"/>
        <v>0</v>
      </c>
      <c r="F51" s="221" t="e">
        <f t="shared" si="70"/>
        <v>#DIV/0!</v>
      </c>
      <c r="G51" s="221"/>
      <c r="H51" s="444" t="s">
        <v>632</v>
      </c>
      <c r="I51" s="137" t="e">
        <f>((I$18*($F51+$G51)))</f>
        <v>#DIV/0!</v>
      </c>
      <c r="J51" s="105" t="e">
        <f t="shared" ref="J51:T52" si="73">((J$18*($F51+$G51)))</f>
        <v>#DIV/0!</v>
      </c>
      <c r="K51" s="105" t="e">
        <f t="shared" si="73"/>
        <v>#DIV/0!</v>
      </c>
      <c r="L51" s="105" t="e">
        <f t="shared" si="73"/>
        <v>#DIV/0!</v>
      </c>
      <c r="M51" s="105" t="e">
        <f t="shared" si="73"/>
        <v>#DIV/0!</v>
      </c>
      <c r="N51" s="233" t="e">
        <f t="shared" si="73"/>
        <v>#DIV/0!</v>
      </c>
      <c r="O51" s="137" t="e">
        <f t="shared" si="73"/>
        <v>#DIV/0!</v>
      </c>
      <c r="P51" s="105" t="e">
        <f t="shared" si="73"/>
        <v>#DIV/0!</v>
      </c>
      <c r="Q51" s="105" t="e">
        <f t="shared" si="73"/>
        <v>#DIV/0!</v>
      </c>
      <c r="R51" s="105" t="e">
        <f t="shared" si="73"/>
        <v>#DIV/0!</v>
      </c>
      <c r="S51" s="105" t="e">
        <f t="shared" si="73"/>
        <v>#DIV/0!</v>
      </c>
      <c r="T51" s="246" t="e">
        <f t="shared" si="73"/>
        <v>#DIV/0!</v>
      </c>
      <c r="U51" s="154" t="e">
        <f t="shared" si="19"/>
        <v>#DIV/0!</v>
      </c>
      <c r="V51" s="91" t="e">
        <f t="shared" si="57"/>
        <v>#DIV/0!</v>
      </c>
      <c r="W51" s="55" t="e">
        <f t="shared" si="58"/>
        <v>#DIV/0!</v>
      </c>
      <c r="X51" s="55" t="e">
        <f t="shared" si="59"/>
        <v>#DIV/0!</v>
      </c>
      <c r="Y51" s="55" t="e">
        <f t="shared" si="60"/>
        <v>#DIV/0!</v>
      </c>
      <c r="Z51" s="55" t="e">
        <f t="shared" si="61"/>
        <v>#DIV/0!</v>
      </c>
      <c r="AA51" s="55" t="e">
        <f t="shared" si="62"/>
        <v>#DIV/0!</v>
      </c>
      <c r="AB51" s="55" t="e">
        <f t="shared" si="63"/>
        <v>#DIV/0!</v>
      </c>
      <c r="AC51" s="55" t="e">
        <f t="shared" si="64"/>
        <v>#DIV/0!</v>
      </c>
      <c r="AD51" s="55" t="e">
        <f t="shared" si="65"/>
        <v>#DIV/0!</v>
      </c>
      <c r="AE51" s="55" t="e">
        <f t="shared" si="66"/>
        <v>#DIV/0!</v>
      </c>
      <c r="AF51" s="55" t="e">
        <f t="shared" si="67"/>
        <v>#DIV/0!</v>
      </c>
      <c r="AG51" s="55" t="e">
        <f t="shared" si="68"/>
        <v>#DIV/0!</v>
      </c>
      <c r="AH51" s="288" t="e">
        <f t="shared" si="69"/>
        <v>#DIV/0!</v>
      </c>
      <c r="AI51" s="444" t="s">
        <v>632</v>
      </c>
      <c r="AJ51" s="444">
        <f t="shared" si="0"/>
        <v>-1</v>
      </c>
      <c r="AK51" s="408"/>
    </row>
    <row r="52" spans="1:37" x14ac:dyDescent="0.25">
      <c r="A52" s="58">
        <f>'งบกำไรขาดทุน ปี 2025'!A52</f>
        <v>60100004</v>
      </c>
      <c r="B52" s="16" t="str">
        <f>'งบกำไรขาดทุน ปี 2025'!B52</f>
        <v>โบนัส</v>
      </c>
      <c r="C52" s="20">
        <f>'งบกำไรขาดทุน ปี 2025'!O52</f>
        <v>0</v>
      </c>
      <c r="D52" s="21">
        <f t="shared" si="15"/>
        <v>0</v>
      </c>
      <c r="E52" s="141">
        <f t="shared" si="56"/>
        <v>0</v>
      </c>
      <c r="F52" s="221" t="e">
        <f t="shared" si="70"/>
        <v>#DIV/0!</v>
      </c>
      <c r="G52" s="221"/>
      <c r="H52" s="582" t="s">
        <v>632</v>
      </c>
      <c r="I52" s="137" t="e">
        <f>((I$18*($F52+$G52)))</f>
        <v>#DIV/0!</v>
      </c>
      <c r="J52" s="105" t="e">
        <f t="shared" si="73"/>
        <v>#DIV/0!</v>
      </c>
      <c r="K52" s="105" t="e">
        <f t="shared" si="73"/>
        <v>#DIV/0!</v>
      </c>
      <c r="L52" s="105" t="e">
        <f t="shared" si="73"/>
        <v>#DIV/0!</v>
      </c>
      <c r="M52" s="105" t="e">
        <f t="shared" si="73"/>
        <v>#DIV/0!</v>
      </c>
      <c r="N52" s="233" t="e">
        <f t="shared" si="73"/>
        <v>#DIV/0!</v>
      </c>
      <c r="O52" s="137" t="e">
        <f t="shared" si="73"/>
        <v>#DIV/0!</v>
      </c>
      <c r="P52" s="105" t="e">
        <f t="shared" si="73"/>
        <v>#DIV/0!</v>
      </c>
      <c r="Q52" s="105" t="e">
        <f t="shared" si="73"/>
        <v>#DIV/0!</v>
      </c>
      <c r="R52" s="105" t="e">
        <f t="shared" si="73"/>
        <v>#DIV/0!</v>
      </c>
      <c r="S52" s="105" t="e">
        <f t="shared" si="73"/>
        <v>#DIV/0!</v>
      </c>
      <c r="T52" s="246" t="e">
        <f t="shared" si="73"/>
        <v>#DIV/0!</v>
      </c>
      <c r="U52" s="154" t="e">
        <f t="shared" si="19"/>
        <v>#DIV/0!</v>
      </c>
      <c r="V52" s="91" t="e">
        <f t="shared" si="57"/>
        <v>#DIV/0!</v>
      </c>
      <c r="W52" s="55" t="e">
        <f t="shared" si="58"/>
        <v>#DIV/0!</v>
      </c>
      <c r="X52" s="55" t="e">
        <f t="shared" si="59"/>
        <v>#DIV/0!</v>
      </c>
      <c r="Y52" s="55" t="e">
        <f t="shared" si="60"/>
        <v>#DIV/0!</v>
      </c>
      <c r="Z52" s="55" t="e">
        <f t="shared" si="61"/>
        <v>#DIV/0!</v>
      </c>
      <c r="AA52" s="55" t="e">
        <f t="shared" si="62"/>
        <v>#DIV/0!</v>
      </c>
      <c r="AB52" s="55" t="e">
        <f t="shared" si="63"/>
        <v>#DIV/0!</v>
      </c>
      <c r="AC52" s="55" t="e">
        <f t="shared" si="64"/>
        <v>#DIV/0!</v>
      </c>
      <c r="AD52" s="55" t="e">
        <f t="shared" si="65"/>
        <v>#DIV/0!</v>
      </c>
      <c r="AE52" s="55" t="e">
        <f t="shared" si="66"/>
        <v>#DIV/0!</v>
      </c>
      <c r="AF52" s="55" t="e">
        <f t="shared" si="67"/>
        <v>#DIV/0!</v>
      </c>
      <c r="AG52" s="55" t="e">
        <f t="shared" si="68"/>
        <v>#DIV/0!</v>
      </c>
      <c r="AH52" s="288" t="e">
        <f t="shared" si="69"/>
        <v>#DIV/0!</v>
      </c>
      <c r="AI52" s="582" t="s">
        <v>632</v>
      </c>
      <c r="AJ52" s="444">
        <f t="shared" si="0"/>
        <v>-1</v>
      </c>
      <c r="AK52" s="408"/>
    </row>
    <row r="53" spans="1:37" x14ac:dyDescent="0.25">
      <c r="A53" s="58">
        <f>'งบกำไรขาดทุน ปี 2025'!A53</f>
        <v>60100005</v>
      </c>
      <c r="B53" s="16" t="str">
        <f>'งบกำไรขาดทุน ปี 2025'!B53</f>
        <v>เงินกองทุนสำรองเลี้ยงชีพ</v>
      </c>
      <c r="C53" s="20">
        <f>'งบกำไรขาดทุน ปี 2025'!O53</f>
        <v>0</v>
      </c>
      <c r="D53" s="21">
        <f t="shared" si="15"/>
        <v>0</v>
      </c>
      <c r="E53" s="141">
        <f t="shared" si="56"/>
        <v>0</v>
      </c>
      <c r="F53" s="221" t="e">
        <f t="shared" si="70"/>
        <v>#DIV/0!</v>
      </c>
      <c r="G53" s="697">
        <v>0.02</v>
      </c>
      <c r="H53" s="582" t="s">
        <v>633</v>
      </c>
      <c r="I53" s="137">
        <f>(($D53*$G53)+$D53)+'การลงระหว่างเดือน ปี 2026'!AO25</f>
        <v>0</v>
      </c>
      <c r="J53" s="105">
        <f>(($D53*$G53)+$D53)+'การลงระหว่างเดือน ปี 2026'!AP25</f>
        <v>0</v>
      </c>
      <c r="K53" s="105">
        <f>(($D53*$G53)+$D53)+'การลงระหว่างเดือน ปี 2026'!AQ25</f>
        <v>0</v>
      </c>
      <c r="L53" s="105">
        <f>(($D53*$G53)+$D53)+'การลงระหว่างเดือน ปี 2026'!AR25</f>
        <v>0</v>
      </c>
      <c r="M53" s="105">
        <f>(($D53*$G53)+$D53)+'การลงระหว่างเดือน ปี 2026'!AS25</f>
        <v>0</v>
      </c>
      <c r="N53" s="233">
        <f>(($D53*$G53)+$D53)+'การลงระหว่างเดือน ปี 2026'!AT25</f>
        <v>0</v>
      </c>
      <c r="O53" s="137">
        <f>(($D53*$G53)+$D53)+'การลงระหว่างเดือน ปี 2026'!AU25</f>
        <v>0</v>
      </c>
      <c r="P53" s="105">
        <f>(($D53*$G53)+$D53)+'การลงระหว่างเดือน ปี 2026'!AV25</f>
        <v>0</v>
      </c>
      <c r="Q53" s="105">
        <f>(($D53*$G53)+$D53)+'การลงระหว่างเดือน ปี 2026'!AW25</f>
        <v>0</v>
      </c>
      <c r="R53" s="105">
        <f>(($D53*$G53)+$D53)+'การลงระหว่างเดือน ปี 2026'!AX25</f>
        <v>0</v>
      </c>
      <c r="S53" s="105">
        <f>(($D53*$G53)+$D53)+'การลงระหว่างเดือน ปี 2026'!AY25</f>
        <v>0</v>
      </c>
      <c r="T53" s="246">
        <f>(($D53*$G53)+$D53)+'การลงระหว่างเดือน ปี 2026'!AZ25</f>
        <v>0</v>
      </c>
      <c r="U53" s="154">
        <f t="shared" si="19"/>
        <v>0</v>
      </c>
      <c r="V53" s="91" t="e">
        <f t="shared" si="57"/>
        <v>#DIV/0!</v>
      </c>
      <c r="W53" s="55" t="e">
        <f t="shared" si="58"/>
        <v>#DIV/0!</v>
      </c>
      <c r="X53" s="55" t="e">
        <f t="shared" si="59"/>
        <v>#DIV/0!</v>
      </c>
      <c r="Y53" s="55" t="e">
        <f t="shared" si="60"/>
        <v>#DIV/0!</v>
      </c>
      <c r="Z53" s="55" t="e">
        <f t="shared" si="61"/>
        <v>#DIV/0!</v>
      </c>
      <c r="AA53" s="55" t="e">
        <f t="shared" si="62"/>
        <v>#DIV/0!</v>
      </c>
      <c r="AB53" s="55" t="e">
        <f t="shared" si="63"/>
        <v>#DIV/0!</v>
      </c>
      <c r="AC53" s="55" t="e">
        <f t="shared" si="64"/>
        <v>#DIV/0!</v>
      </c>
      <c r="AD53" s="55" t="e">
        <f t="shared" si="65"/>
        <v>#DIV/0!</v>
      </c>
      <c r="AE53" s="55" t="e">
        <f t="shared" si="66"/>
        <v>#DIV/0!</v>
      </c>
      <c r="AF53" s="55" t="e">
        <f t="shared" si="67"/>
        <v>#DIV/0!</v>
      </c>
      <c r="AG53" s="55" t="e">
        <f t="shared" si="68"/>
        <v>#DIV/0!</v>
      </c>
      <c r="AH53" s="288" t="e">
        <f t="shared" si="69"/>
        <v>#DIV/0!</v>
      </c>
      <c r="AI53" s="582" t="s">
        <v>634</v>
      </c>
      <c r="AJ53" s="444">
        <f t="shared" si="0"/>
        <v>-1</v>
      </c>
      <c r="AK53" s="408"/>
    </row>
    <row r="54" spans="1:37" x14ac:dyDescent="0.25">
      <c r="A54" s="58">
        <f>'งบกำไรขาดทุน ปี 2025'!A54</f>
        <v>60100007</v>
      </c>
      <c r="B54" s="16" t="str">
        <f>'งบกำไรขาดทุน ปี 2025'!B54</f>
        <v>ค่าสวัสดิการพนักงาน</v>
      </c>
      <c r="C54" s="20">
        <f>'งบกำไรขาดทุน ปี 2025'!O54</f>
        <v>0</v>
      </c>
      <c r="D54" s="21">
        <f t="shared" si="15"/>
        <v>0</v>
      </c>
      <c r="E54" s="141">
        <f>D54*$E$5</f>
        <v>0</v>
      </c>
      <c r="F54" s="221" t="e">
        <f t="shared" si="70"/>
        <v>#DIV/0!</v>
      </c>
      <c r="G54" s="221"/>
      <c r="H54" s="582" t="s">
        <v>632</v>
      </c>
      <c r="I54" s="137" t="e">
        <f>((I$18*($F54+$G54)))+'การลงระหว่างเดือน ปี 2026'!AO26</f>
        <v>#DIV/0!</v>
      </c>
      <c r="J54" s="105" t="e">
        <f>((J$18*($F54+$G54)))+'การลงระหว่างเดือน ปี 2026'!AP26</f>
        <v>#DIV/0!</v>
      </c>
      <c r="K54" s="105" t="e">
        <f>((K$18*($F54+$G54)))+'การลงระหว่างเดือน ปี 2026'!AQ26</f>
        <v>#DIV/0!</v>
      </c>
      <c r="L54" s="105" t="e">
        <f>((L$18*($F54+$G54)))+'การลงระหว่างเดือน ปี 2026'!AR26</f>
        <v>#DIV/0!</v>
      </c>
      <c r="M54" s="105" t="e">
        <f>((M$18*($F54+$G54)))+'การลงระหว่างเดือน ปี 2026'!AS26</f>
        <v>#DIV/0!</v>
      </c>
      <c r="N54" s="233" t="e">
        <f>((N$18*($F54+$G54)))+'การลงระหว่างเดือน ปี 2026'!AT26</f>
        <v>#DIV/0!</v>
      </c>
      <c r="O54" s="137" t="e">
        <f>((O$18*($F54+$G54)))+'การลงระหว่างเดือน ปี 2026'!AU26</f>
        <v>#DIV/0!</v>
      </c>
      <c r="P54" s="105" t="e">
        <f>((P$18*($F54+$G54)))+'การลงระหว่างเดือน ปี 2026'!AV26</f>
        <v>#DIV/0!</v>
      </c>
      <c r="Q54" s="105" t="e">
        <f>((Q$18*($F54+$G54)))+'การลงระหว่างเดือน ปี 2026'!AW26</f>
        <v>#DIV/0!</v>
      </c>
      <c r="R54" s="105" t="e">
        <f>((R$18*($F54+$G54)))+'การลงระหว่างเดือน ปี 2026'!AX26</f>
        <v>#DIV/0!</v>
      </c>
      <c r="S54" s="105" t="e">
        <f>((S$18*($F54+$G54)))+'การลงระหว่างเดือน ปี 2026'!AY26</f>
        <v>#DIV/0!</v>
      </c>
      <c r="T54" s="246" t="e">
        <f>((T$18*($F54+$G54)))+'การลงระหว่างเดือน ปี 2026'!AZ26</f>
        <v>#DIV/0!</v>
      </c>
      <c r="U54" s="154" t="e">
        <f t="shared" si="19"/>
        <v>#DIV/0!</v>
      </c>
      <c r="V54" s="91" t="e">
        <f t="shared" si="57"/>
        <v>#DIV/0!</v>
      </c>
      <c r="W54" s="55" t="e">
        <f t="shared" si="58"/>
        <v>#DIV/0!</v>
      </c>
      <c r="X54" s="55" t="e">
        <f t="shared" si="59"/>
        <v>#DIV/0!</v>
      </c>
      <c r="Y54" s="55" t="e">
        <f t="shared" si="60"/>
        <v>#DIV/0!</v>
      </c>
      <c r="Z54" s="55" t="e">
        <f t="shared" si="61"/>
        <v>#DIV/0!</v>
      </c>
      <c r="AA54" s="55" t="e">
        <f t="shared" si="62"/>
        <v>#DIV/0!</v>
      </c>
      <c r="AB54" s="55" t="e">
        <f t="shared" si="63"/>
        <v>#DIV/0!</v>
      </c>
      <c r="AC54" s="55" t="e">
        <f t="shared" si="64"/>
        <v>#DIV/0!</v>
      </c>
      <c r="AD54" s="55" t="e">
        <f t="shared" si="65"/>
        <v>#DIV/0!</v>
      </c>
      <c r="AE54" s="55" t="e">
        <f t="shared" si="66"/>
        <v>#DIV/0!</v>
      </c>
      <c r="AF54" s="55" t="e">
        <f t="shared" si="67"/>
        <v>#DIV/0!</v>
      </c>
      <c r="AG54" s="55" t="e">
        <f t="shared" si="68"/>
        <v>#DIV/0!</v>
      </c>
      <c r="AH54" s="288" t="e">
        <f t="shared" si="69"/>
        <v>#DIV/0!</v>
      </c>
      <c r="AI54" s="582" t="s">
        <v>632</v>
      </c>
      <c r="AJ54" s="444">
        <f t="shared" si="0"/>
        <v>-1</v>
      </c>
      <c r="AK54" s="408"/>
    </row>
    <row r="55" spans="1:37" x14ac:dyDescent="0.25">
      <c r="A55" s="58">
        <f>'งบกำไรขาดทุน ปี 2025'!A55</f>
        <v>60100008</v>
      </c>
      <c r="B55" s="16" t="str">
        <f>'งบกำไรขาดทุน ปี 2025'!B55</f>
        <v>เงินกองทุนประกันสังคม</v>
      </c>
      <c r="C55" s="20">
        <f>'งบกำไรขาดทุน ปี 2025'!O55</f>
        <v>0</v>
      </c>
      <c r="D55" s="21">
        <f t="shared" si="15"/>
        <v>0</v>
      </c>
      <c r="E55" s="141">
        <f t="shared" si="56"/>
        <v>0</v>
      </c>
      <c r="F55" s="221" t="e">
        <f t="shared" si="70"/>
        <v>#DIV/0!</v>
      </c>
      <c r="G55" s="697">
        <f t="shared" ref="G55:G58" si="74">$G$45</f>
        <v>0.04</v>
      </c>
      <c r="H55" s="582" t="s">
        <v>633</v>
      </c>
      <c r="I55" s="137">
        <f>(($D55*$G55)+$D55)+'การลงระหว่างเดือน ปี 2026'!AO27</f>
        <v>0</v>
      </c>
      <c r="J55" s="105">
        <f>(($D55*$G55)+$D55)+'การลงระหว่างเดือน ปี 2026'!AP27</f>
        <v>0</v>
      </c>
      <c r="K55" s="105">
        <f>(($D55*$G55)+$D55)+'การลงระหว่างเดือน ปี 2026'!AQ27</f>
        <v>0</v>
      </c>
      <c r="L55" s="105">
        <f>(($D55*$G55)+$D55)+'การลงระหว่างเดือน ปี 2026'!AR27</f>
        <v>0</v>
      </c>
      <c r="M55" s="105">
        <f>(($D55*$G55)+$D55)+'การลงระหว่างเดือน ปี 2026'!AS27</f>
        <v>0</v>
      </c>
      <c r="N55" s="233">
        <f>(($D55*$G55)+$D55)+'การลงระหว่างเดือน ปี 2026'!AT27</f>
        <v>0</v>
      </c>
      <c r="O55" s="137">
        <f>(($D55*$G55)+$D55)+'การลงระหว่างเดือน ปี 2026'!AU27</f>
        <v>0</v>
      </c>
      <c r="P55" s="105">
        <f>(($D55*$G55)+$D55)+'การลงระหว่างเดือน ปี 2026'!AV27</f>
        <v>0</v>
      </c>
      <c r="Q55" s="105">
        <f>(($D55*$G55)+$D55)+'การลงระหว่างเดือน ปี 2026'!AW27</f>
        <v>0</v>
      </c>
      <c r="R55" s="105">
        <f>(($D55*$G55)+$D55)+'การลงระหว่างเดือน ปี 2026'!AX27</f>
        <v>0</v>
      </c>
      <c r="S55" s="105">
        <f>(($D55*$G55)+$D55)+'การลงระหว่างเดือน ปี 2026'!AY27</f>
        <v>0</v>
      </c>
      <c r="T55" s="246">
        <f>(($D55*$G55)+$D55)+'การลงระหว่างเดือน ปี 2026'!AZ27</f>
        <v>0</v>
      </c>
      <c r="U55" s="154">
        <f t="shared" si="19"/>
        <v>0</v>
      </c>
      <c r="V55" s="91" t="e">
        <f t="shared" si="57"/>
        <v>#DIV/0!</v>
      </c>
      <c r="W55" s="55" t="e">
        <f t="shared" si="58"/>
        <v>#DIV/0!</v>
      </c>
      <c r="X55" s="55" t="e">
        <f t="shared" si="59"/>
        <v>#DIV/0!</v>
      </c>
      <c r="Y55" s="55" t="e">
        <f t="shared" si="60"/>
        <v>#DIV/0!</v>
      </c>
      <c r="Z55" s="55" t="e">
        <f t="shared" si="61"/>
        <v>#DIV/0!</v>
      </c>
      <c r="AA55" s="55" t="e">
        <f t="shared" si="62"/>
        <v>#DIV/0!</v>
      </c>
      <c r="AB55" s="55" t="e">
        <f t="shared" si="63"/>
        <v>#DIV/0!</v>
      </c>
      <c r="AC55" s="55" t="e">
        <f t="shared" si="64"/>
        <v>#DIV/0!</v>
      </c>
      <c r="AD55" s="55" t="e">
        <f t="shared" si="65"/>
        <v>#DIV/0!</v>
      </c>
      <c r="AE55" s="55" t="e">
        <f t="shared" si="66"/>
        <v>#DIV/0!</v>
      </c>
      <c r="AF55" s="55" t="e">
        <f t="shared" si="67"/>
        <v>#DIV/0!</v>
      </c>
      <c r="AG55" s="55" t="e">
        <f t="shared" si="68"/>
        <v>#DIV/0!</v>
      </c>
      <c r="AH55" s="288" t="e">
        <f t="shared" si="69"/>
        <v>#DIV/0!</v>
      </c>
      <c r="AI55" s="582" t="s">
        <v>634</v>
      </c>
      <c r="AJ55" s="444">
        <f t="shared" si="0"/>
        <v>-1</v>
      </c>
      <c r="AK55" s="408"/>
    </row>
    <row r="56" spans="1:37" x14ac:dyDescent="0.25">
      <c r="A56" s="58">
        <f>'งบกำไรขาดทุน ปี 2025'!A56</f>
        <v>60100009</v>
      </c>
      <c r="B56" s="16" t="str">
        <f>'งบกำไรขาดทุน ปี 2025'!B56</f>
        <v>ค่าเบี้ยประกันชีวิตพนักงาน</v>
      </c>
      <c r="C56" s="20">
        <f>'งบกำไรขาดทุน ปี 2025'!O56</f>
        <v>0</v>
      </c>
      <c r="D56" s="21">
        <f t="shared" si="15"/>
        <v>0</v>
      </c>
      <c r="E56" s="141">
        <f t="shared" si="56"/>
        <v>0</v>
      </c>
      <c r="F56" s="221" t="e">
        <f t="shared" si="70"/>
        <v>#DIV/0!</v>
      </c>
      <c r="G56" s="697">
        <f t="shared" si="74"/>
        <v>0.04</v>
      </c>
      <c r="H56" s="582" t="s">
        <v>633</v>
      </c>
      <c r="I56" s="137">
        <f>(($D56*$G56)+$D56)</f>
        <v>0</v>
      </c>
      <c r="J56" s="105">
        <f t="shared" ref="J56:T58" si="75">(($D56*$G56)+$D56)</f>
        <v>0</v>
      </c>
      <c r="K56" s="105">
        <f t="shared" si="75"/>
        <v>0</v>
      </c>
      <c r="L56" s="105">
        <f t="shared" si="75"/>
        <v>0</v>
      </c>
      <c r="M56" s="105">
        <f t="shared" si="75"/>
        <v>0</v>
      </c>
      <c r="N56" s="233">
        <f t="shared" si="75"/>
        <v>0</v>
      </c>
      <c r="O56" s="137">
        <f t="shared" si="75"/>
        <v>0</v>
      </c>
      <c r="P56" s="105">
        <f t="shared" si="75"/>
        <v>0</v>
      </c>
      <c r="Q56" s="105">
        <f t="shared" si="75"/>
        <v>0</v>
      </c>
      <c r="R56" s="105">
        <f t="shared" si="75"/>
        <v>0</v>
      </c>
      <c r="S56" s="105">
        <f t="shared" si="75"/>
        <v>0</v>
      </c>
      <c r="T56" s="246">
        <f t="shared" si="75"/>
        <v>0</v>
      </c>
      <c r="U56" s="154">
        <f t="shared" si="19"/>
        <v>0</v>
      </c>
      <c r="V56" s="91" t="e">
        <f t="shared" si="57"/>
        <v>#DIV/0!</v>
      </c>
      <c r="W56" s="55" t="e">
        <f t="shared" si="58"/>
        <v>#DIV/0!</v>
      </c>
      <c r="X56" s="55" t="e">
        <f t="shared" si="59"/>
        <v>#DIV/0!</v>
      </c>
      <c r="Y56" s="55" t="e">
        <f t="shared" si="60"/>
        <v>#DIV/0!</v>
      </c>
      <c r="Z56" s="55" t="e">
        <f t="shared" si="61"/>
        <v>#DIV/0!</v>
      </c>
      <c r="AA56" s="55" t="e">
        <f t="shared" si="62"/>
        <v>#DIV/0!</v>
      </c>
      <c r="AB56" s="55" t="e">
        <f t="shared" si="63"/>
        <v>#DIV/0!</v>
      </c>
      <c r="AC56" s="55" t="e">
        <f t="shared" si="64"/>
        <v>#DIV/0!</v>
      </c>
      <c r="AD56" s="55" t="e">
        <f t="shared" si="65"/>
        <v>#DIV/0!</v>
      </c>
      <c r="AE56" s="55" t="e">
        <f t="shared" si="66"/>
        <v>#DIV/0!</v>
      </c>
      <c r="AF56" s="55" t="e">
        <f t="shared" si="67"/>
        <v>#DIV/0!</v>
      </c>
      <c r="AG56" s="55" t="e">
        <f t="shared" si="68"/>
        <v>#DIV/0!</v>
      </c>
      <c r="AH56" s="288" t="e">
        <f t="shared" si="69"/>
        <v>#DIV/0!</v>
      </c>
      <c r="AI56" s="582" t="s">
        <v>634</v>
      </c>
      <c r="AJ56" s="444">
        <f t="shared" si="0"/>
        <v>-1</v>
      </c>
      <c r="AK56" s="408"/>
    </row>
    <row r="57" spans="1:37" x14ac:dyDescent="0.25">
      <c r="A57" s="58">
        <f>'งบกำไรขาดทุน ปี 2025'!A57</f>
        <v>60100010</v>
      </c>
      <c r="B57" s="16" t="str">
        <f>'งบกำไรขาดทุน ปี 2025'!B57</f>
        <v>ค่าเงินเดือน,โอที โอนย้ายระหว่างสาขา</v>
      </c>
      <c r="C57" s="20">
        <f>'งบกำไรขาดทุน ปี 2025'!O57</f>
        <v>0</v>
      </c>
      <c r="D57" s="21">
        <f t="shared" si="15"/>
        <v>0</v>
      </c>
      <c r="E57" s="141">
        <f t="shared" si="56"/>
        <v>0</v>
      </c>
      <c r="F57" s="221" t="e">
        <f t="shared" si="70"/>
        <v>#DIV/0!</v>
      </c>
      <c r="G57" s="697">
        <f t="shared" si="74"/>
        <v>0.04</v>
      </c>
      <c r="H57" s="582" t="s">
        <v>633</v>
      </c>
      <c r="I57" s="137">
        <f>(($D57*$G57)+$D57)</f>
        <v>0</v>
      </c>
      <c r="J57" s="105">
        <f t="shared" si="75"/>
        <v>0</v>
      </c>
      <c r="K57" s="105">
        <f t="shared" si="75"/>
        <v>0</v>
      </c>
      <c r="L57" s="105">
        <f t="shared" si="75"/>
        <v>0</v>
      </c>
      <c r="M57" s="105">
        <f t="shared" si="75"/>
        <v>0</v>
      </c>
      <c r="N57" s="233">
        <f t="shared" si="75"/>
        <v>0</v>
      </c>
      <c r="O57" s="137">
        <f t="shared" si="75"/>
        <v>0</v>
      </c>
      <c r="P57" s="105">
        <f t="shared" si="75"/>
        <v>0</v>
      </c>
      <c r="Q57" s="105">
        <f t="shared" si="75"/>
        <v>0</v>
      </c>
      <c r="R57" s="105">
        <f t="shared" si="75"/>
        <v>0</v>
      </c>
      <c r="S57" s="105">
        <f t="shared" si="75"/>
        <v>0</v>
      </c>
      <c r="T57" s="246">
        <f t="shared" si="75"/>
        <v>0</v>
      </c>
      <c r="U57" s="154">
        <f t="shared" si="19"/>
        <v>0</v>
      </c>
      <c r="V57" s="91" t="e">
        <f t="shared" si="57"/>
        <v>#DIV/0!</v>
      </c>
      <c r="W57" s="55" t="e">
        <f t="shared" si="58"/>
        <v>#DIV/0!</v>
      </c>
      <c r="X57" s="55" t="e">
        <f t="shared" si="59"/>
        <v>#DIV/0!</v>
      </c>
      <c r="Y57" s="55" t="e">
        <f t="shared" si="60"/>
        <v>#DIV/0!</v>
      </c>
      <c r="Z57" s="55" t="e">
        <f t="shared" si="61"/>
        <v>#DIV/0!</v>
      </c>
      <c r="AA57" s="55" t="e">
        <f t="shared" si="62"/>
        <v>#DIV/0!</v>
      </c>
      <c r="AB57" s="55" t="e">
        <f t="shared" si="63"/>
        <v>#DIV/0!</v>
      </c>
      <c r="AC57" s="55" t="e">
        <f t="shared" si="64"/>
        <v>#DIV/0!</v>
      </c>
      <c r="AD57" s="55" t="e">
        <f t="shared" si="65"/>
        <v>#DIV/0!</v>
      </c>
      <c r="AE57" s="55" t="e">
        <f t="shared" si="66"/>
        <v>#DIV/0!</v>
      </c>
      <c r="AF57" s="55" t="e">
        <f t="shared" si="67"/>
        <v>#DIV/0!</v>
      </c>
      <c r="AG57" s="55" t="e">
        <f t="shared" si="68"/>
        <v>#DIV/0!</v>
      </c>
      <c r="AH57" s="288" t="e">
        <f t="shared" si="69"/>
        <v>#DIV/0!</v>
      </c>
      <c r="AI57" s="582" t="s">
        <v>633</v>
      </c>
      <c r="AJ57" s="444">
        <f t="shared" si="0"/>
        <v>-1</v>
      </c>
      <c r="AK57" s="408"/>
    </row>
    <row r="58" spans="1:37" x14ac:dyDescent="0.25">
      <c r="A58" s="58">
        <f>'งบกำไรขาดทุน ปี 2025'!A58</f>
        <v>60100011</v>
      </c>
      <c r="B58" s="16" t="str">
        <f>'งบกำไรขาดทุน ปี 2025'!B58</f>
        <v>ค่าแรงงาน</v>
      </c>
      <c r="C58" s="20">
        <f>'งบกำไรขาดทุน ปี 2025'!O58</f>
        <v>0</v>
      </c>
      <c r="D58" s="21">
        <f t="shared" si="15"/>
        <v>0</v>
      </c>
      <c r="E58" s="141">
        <f t="shared" si="56"/>
        <v>0</v>
      </c>
      <c r="F58" s="221" t="e">
        <f t="shared" si="70"/>
        <v>#DIV/0!</v>
      </c>
      <c r="G58" s="697">
        <f t="shared" si="74"/>
        <v>0.04</v>
      </c>
      <c r="H58" s="582" t="s">
        <v>633</v>
      </c>
      <c r="I58" s="137">
        <f>(($D58*$G58)+$D58)</f>
        <v>0</v>
      </c>
      <c r="J58" s="105">
        <f t="shared" si="75"/>
        <v>0</v>
      </c>
      <c r="K58" s="105">
        <f t="shared" si="75"/>
        <v>0</v>
      </c>
      <c r="L58" s="105">
        <f t="shared" si="75"/>
        <v>0</v>
      </c>
      <c r="M58" s="105">
        <f t="shared" si="75"/>
        <v>0</v>
      </c>
      <c r="N58" s="233">
        <f t="shared" si="75"/>
        <v>0</v>
      </c>
      <c r="O58" s="137">
        <f t="shared" si="75"/>
        <v>0</v>
      </c>
      <c r="P58" s="105">
        <f t="shared" si="75"/>
        <v>0</v>
      </c>
      <c r="Q58" s="105">
        <f t="shared" si="75"/>
        <v>0</v>
      </c>
      <c r="R58" s="105">
        <f t="shared" si="75"/>
        <v>0</v>
      </c>
      <c r="S58" s="105">
        <f t="shared" si="75"/>
        <v>0</v>
      </c>
      <c r="T58" s="246">
        <f t="shared" si="75"/>
        <v>0</v>
      </c>
      <c r="U58" s="154">
        <f t="shared" si="19"/>
        <v>0</v>
      </c>
      <c r="V58" s="91" t="e">
        <f t="shared" si="57"/>
        <v>#DIV/0!</v>
      </c>
      <c r="W58" s="55" t="e">
        <f t="shared" si="58"/>
        <v>#DIV/0!</v>
      </c>
      <c r="X58" s="55" t="e">
        <f t="shared" si="59"/>
        <v>#DIV/0!</v>
      </c>
      <c r="Y58" s="55" t="e">
        <f t="shared" si="60"/>
        <v>#DIV/0!</v>
      </c>
      <c r="Z58" s="55" t="e">
        <f t="shared" si="61"/>
        <v>#DIV/0!</v>
      </c>
      <c r="AA58" s="55" t="e">
        <f t="shared" si="62"/>
        <v>#DIV/0!</v>
      </c>
      <c r="AB58" s="55" t="e">
        <f t="shared" si="63"/>
        <v>#DIV/0!</v>
      </c>
      <c r="AC58" s="55" t="e">
        <f t="shared" si="64"/>
        <v>#DIV/0!</v>
      </c>
      <c r="AD58" s="55" t="e">
        <f t="shared" si="65"/>
        <v>#DIV/0!</v>
      </c>
      <c r="AE58" s="55" t="e">
        <f t="shared" si="66"/>
        <v>#DIV/0!</v>
      </c>
      <c r="AF58" s="55" t="e">
        <f t="shared" si="67"/>
        <v>#DIV/0!</v>
      </c>
      <c r="AG58" s="55" t="e">
        <f t="shared" si="68"/>
        <v>#DIV/0!</v>
      </c>
      <c r="AH58" s="288" t="e">
        <f t="shared" si="69"/>
        <v>#DIV/0!</v>
      </c>
      <c r="AI58" s="582" t="s">
        <v>634</v>
      </c>
      <c r="AJ58" s="444">
        <f t="shared" si="0"/>
        <v>-1</v>
      </c>
      <c r="AK58" s="408"/>
    </row>
    <row r="59" spans="1:37" x14ac:dyDescent="0.25">
      <c r="A59" s="58">
        <f>'งบกำไรขาดทุน ปี 2025'!A59</f>
        <v>60100012</v>
      </c>
      <c r="B59" s="16" t="str">
        <f>'งบกำไรขาดทุน ปี 2025'!B59</f>
        <v>ค่า Incentive</v>
      </c>
      <c r="C59" s="20">
        <f>'งบกำไรขาดทุน ปี 2025'!O59</f>
        <v>0</v>
      </c>
      <c r="D59" s="21">
        <f t="shared" si="15"/>
        <v>0</v>
      </c>
      <c r="E59" s="141">
        <f t="shared" si="56"/>
        <v>0</v>
      </c>
      <c r="F59" s="221" t="e">
        <f t="shared" si="70"/>
        <v>#DIV/0!</v>
      </c>
      <c r="G59" s="221"/>
      <c r="H59" s="582" t="s">
        <v>632</v>
      </c>
      <c r="I59" s="137" t="e">
        <f>((I$18*($F59+$G59)))</f>
        <v>#DIV/0!</v>
      </c>
      <c r="J59" s="105" t="e">
        <f t="shared" ref="J59:T60" si="76">((J$18*($F59+$G59)))</f>
        <v>#DIV/0!</v>
      </c>
      <c r="K59" s="105" t="e">
        <f t="shared" si="76"/>
        <v>#DIV/0!</v>
      </c>
      <c r="L59" s="105" t="e">
        <f t="shared" si="76"/>
        <v>#DIV/0!</v>
      </c>
      <c r="M59" s="105" t="e">
        <f t="shared" si="76"/>
        <v>#DIV/0!</v>
      </c>
      <c r="N59" s="233" t="e">
        <f t="shared" si="76"/>
        <v>#DIV/0!</v>
      </c>
      <c r="O59" s="137" t="e">
        <f t="shared" si="76"/>
        <v>#DIV/0!</v>
      </c>
      <c r="P59" s="105" t="e">
        <f t="shared" si="76"/>
        <v>#DIV/0!</v>
      </c>
      <c r="Q59" s="105" t="e">
        <f t="shared" si="76"/>
        <v>#DIV/0!</v>
      </c>
      <c r="R59" s="105" t="e">
        <f t="shared" si="76"/>
        <v>#DIV/0!</v>
      </c>
      <c r="S59" s="105" t="e">
        <f t="shared" si="76"/>
        <v>#DIV/0!</v>
      </c>
      <c r="T59" s="246" t="e">
        <f t="shared" si="76"/>
        <v>#DIV/0!</v>
      </c>
      <c r="U59" s="154" t="e">
        <f t="shared" si="19"/>
        <v>#DIV/0!</v>
      </c>
      <c r="V59" s="91" t="e">
        <f t="shared" si="57"/>
        <v>#DIV/0!</v>
      </c>
      <c r="W59" s="55" t="e">
        <f t="shared" si="58"/>
        <v>#DIV/0!</v>
      </c>
      <c r="X59" s="55" t="e">
        <f t="shared" si="59"/>
        <v>#DIV/0!</v>
      </c>
      <c r="Y59" s="55" t="e">
        <f t="shared" si="60"/>
        <v>#DIV/0!</v>
      </c>
      <c r="Z59" s="55" t="e">
        <f t="shared" si="61"/>
        <v>#DIV/0!</v>
      </c>
      <c r="AA59" s="55" t="e">
        <f t="shared" si="62"/>
        <v>#DIV/0!</v>
      </c>
      <c r="AB59" s="55" t="e">
        <f t="shared" si="63"/>
        <v>#DIV/0!</v>
      </c>
      <c r="AC59" s="55" t="e">
        <f t="shared" si="64"/>
        <v>#DIV/0!</v>
      </c>
      <c r="AD59" s="55" t="e">
        <f t="shared" si="65"/>
        <v>#DIV/0!</v>
      </c>
      <c r="AE59" s="55" t="e">
        <f t="shared" si="66"/>
        <v>#DIV/0!</v>
      </c>
      <c r="AF59" s="55" t="e">
        <f t="shared" si="67"/>
        <v>#DIV/0!</v>
      </c>
      <c r="AG59" s="55" t="e">
        <f t="shared" si="68"/>
        <v>#DIV/0!</v>
      </c>
      <c r="AH59" s="288" t="e">
        <f t="shared" si="69"/>
        <v>#DIV/0!</v>
      </c>
      <c r="AI59" s="582" t="s">
        <v>632</v>
      </c>
      <c r="AJ59" s="444">
        <f t="shared" si="0"/>
        <v>-1</v>
      </c>
      <c r="AK59" s="408"/>
    </row>
    <row r="60" spans="1:37" x14ac:dyDescent="0.25">
      <c r="A60" s="58">
        <f>'งบกำไรขาดทุน ปี 2025'!A60</f>
        <v>60100013</v>
      </c>
      <c r="B60" s="16" t="str">
        <f>'งบกำไรขาดทุน ปี 2025'!B60</f>
        <v>ค่า GF</v>
      </c>
      <c r="C60" s="20">
        <f>'งบกำไรขาดทุน ปี 2025'!O60</f>
        <v>0</v>
      </c>
      <c r="D60" s="21">
        <f t="shared" si="15"/>
        <v>0</v>
      </c>
      <c r="E60" s="141">
        <f t="shared" si="56"/>
        <v>0</v>
      </c>
      <c r="F60" s="221" t="e">
        <f t="shared" si="70"/>
        <v>#DIV/0!</v>
      </c>
      <c r="G60" s="221"/>
      <c r="H60" s="582" t="s">
        <v>632</v>
      </c>
      <c r="I60" s="137" t="e">
        <f>((I$18*($F60+$G60)))</f>
        <v>#DIV/0!</v>
      </c>
      <c r="J60" s="105" t="e">
        <f t="shared" si="76"/>
        <v>#DIV/0!</v>
      </c>
      <c r="K60" s="105" t="e">
        <f t="shared" si="76"/>
        <v>#DIV/0!</v>
      </c>
      <c r="L60" s="105" t="e">
        <f t="shared" si="76"/>
        <v>#DIV/0!</v>
      </c>
      <c r="M60" s="105" t="e">
        <f t="shared" si="76"/>
        <v>#DIV/0!</v>
      </c>
      <c r="N60" s="233" t="e">
        <f t="shared" si="76"/>
        <v>#DIV/0!</v>
      </c>
      <c r="O60" s="137" t="e">
        <f t="shared" si="76"/>
        <v>#DIV/0!</v>
      </c>
      <c r="P60" s="105" t="e">
        <f t="shared" si="76"/>
        <v>#DIV/0!</v>
      </c>
      <c r="Q60" s="105" t="e">
        <f t="shared" si="76"/>
        <v>#DIV/0!</v>
      </c>
      <c r="R60" s="105" t="e">
        <f t="shared" si="76"/>
        <v>#DIV/0!</v>
      </c>
      <c r="S60" s="105" t="e">
        <f t="shared" si="76"/>
        <v>#DIV/0!</v>
      </c>
      <c r="T60" s="246" t="e">
        <f t="shared" si="76"/>
        <v>#DIV/0!</v>
      </c>
      <c r="U60" s="154" t="e">
        <f t="shared" si="19"/>
        <v>#DIV/0!</v>
      </c>
      <c r="V60" s="91" t="e">
        <f t="shared" si="57"/>
        <v>#DIV/0!</v>
      </c>
      <c r="W60" s="55" t="e">
        <f t="shared" si="58"/>
        <v>#DIV/0!</v>
      </c>
      <c r="X60" s="55" t="e">
        <f t="shared" si="59"/>
        <v>#DIV/0!</v>
      </c>
      <c r="Y60" s="55" t="e">
        <f t="shared" si="60"/>
        <v>#DIV/0!</v>
      </c>
      <c r="Z60" s="55" t="e">
        <f t="shared" si="61"/>
        <v>#DIV/0!</v>
      </c>
      <c r="AA60" s="55" t="e">
        <f t="shared" si="62"/>
        <v>#DIV/0!</v>
      </c>
      <c r="AB60" s="55" t="e">
        <f t="shared" si="63"/>
        <v>#DIV/0!</v>
      </c>
      <c r="AC60" s="55" t="e">
        <f t="shared" si="64"/>
        <v>#DIV/0!</v>
      </c>
      <c r="AD60" s="55" t="e">
        <f t="shared" si="65"/>
        <v>#DIV/0!</v>
      </c>
      <c r="AE60" s="55" t="e">
        <f t="shared" si="66"/>
        <v>#DIV/0!</v>
      </c>
      <c r="AF60" s="55" t="e">
        <f t="shared" si="67"/>
        <v>#DIV/0!</v>
      </c>
      <c r="AG60" s="55" t="e">
        <f t="shared" si="68"/>
        <v>#DIV/0!</v>
      </c>
      <c r="AH60" s="288" t="e">
        <f t="shared" si="69"/>
        <v>#DIV/0!</v>
      </c>
      <c r="AI60" s="582" t="s">
        <v>632</v>
      </c>
      <c r="AJ60" s="444">
        <f t="shared" si="0"/>
        <v>-1</v>
      </c>
      <c r="AK60" s="408"/>
    </row>
    <row r="61" spans="1:37" x14ac:dyDescent="0.25">
      <c r="A61" s="58">
        <f>'งบกำไรขาดทุน ปี 2025'!A61</f>
        <v>60100014</v>
      </c>
      <c r="B61" s="16" t="str">
        <f>'งบกำไรขาดทุน ปี 2025'!B61</f>
        <v>ค่าตอบแทนและค่าเบี้ยประชุมกรรมการ</v>
      </c>
      <c r="C61" s="20">
        <f>'งบกำไรขาดทุน ปี 2025'!O61</f>
        <v>0</v>
      </c>
      <c r="D61" s="21">
        <f t="shared" si="15"/>
        <v>0</v>
      </c>
      <c r="E61" s="141">
        <f t="shared" si="56"/>
        <v>0</v>
      </c>
      <c r="F61" s="221" t="e">
        <f t="shared" si="70"/>
        <v>#DIV/0!</v>
      </c>
      <c r="G61" s="697">
        <f t="shared" ref="G61:G62" si="77">$G$45</f>
        <v>0.04</v>
      </c>
      <c r="H61" s="582" t="s">
        <v>633</v>
      </c>
      <c r="I61" s="137">
        <f>(($D61*$G61)+$D61)</f>
        <v>0</v>
      </c>
      <c r="J61" s="105">
        <f t="shared" ref="J61:T62" si="78">(($D61*$G61)+$D61)</f>
        <v>0</v>
      </c>
      <c r="K61" s="105">
        <f t="shared" si="78"/>
        <v>0</v>
      </c>
      <c r="L61" s="105">
        <f t="shared" si="78"/>
        <v>0</v>
      </c>
      <c r="M61" s="105">
        <f t="shared" si="78"/>
        <v>0</v>
      </c>
      <c r="N61" s="233">
        <f t="shared" si="78"/>
        <v>0</v>
      </c>
      <c r="O61" s="137">
        <f t="shared" si="78"/>
        <v>0</v>
      </c>
      <c r="P61" s="105">
        <f t="shared" si="78"/>
        <v>0</v>
      </c>
      <c r="Q61" s="105">
        <f t="shared" si="78"/>
        <v>0</v>
      </c>
      <c r="R61" s="105">
        <f t="shared" si="78"/>
        <v>0</v>
      </c>
      <c r="S61" s="105">
        <f t="shared" si="78"/>
        <v>0</v>
      </c>
      <c r="T61" s="246">
        <f t="shared" si="78"/>
        <v>0</v>
      </c>
      <c r="U61" s="154">
        <f t="shared" si="19"/>
        <v>0</v>
      </c>
      <c r="V61" s="91" t="e">
        <f t="shared" si="57"/>
        <v>#DIV/0!</v>
      </c>
      <c r="W61" s="55" t="e">
        <f t="shared" si="58"/>
        <v>#DIV/0!</v>
      </c>
      <c r="X61" s="55" t="e">
        <f t="shared" si="59"/>
        <v>#DIV/0!</v>
      </c>
      <c r="Y61" s="55" t="e">
        <f t="shared" si="60"/>
        <v>#DIV/0!</v>
      </c>
      <c r="Z61" s="55" t="e">
        <f t="shared" si="61"/>
        <v>#DIV/0!</v>
      </c>
      <c r="AA61" s="55" t="e">
        <f t="shared" si="62"/>
        <v>#DIV/0!</v>
      </c>
      <c r="AB61" s="55" t="e">
        <f t="shared" si="63"/>
        <v>#DIV/0!</v>
      </c>
      <c r="AC61" s="55" t="e">
        <f t="shared" si="64"/>
        <v>#DIV/0!</v>
      </c>
      <c r="AD61" s="55" t="e">
        <f t="shared" si="65"/>
        <v>#DIV/0!</v>
      </c>
      <c r="AE61" s="55" t="e">
        <f t="shared" si="66"/>
        <v>#DIV/0!</v>
      </c>
      <c r="AF61" s="55" t="e">
        <f t="shared" si="67"/>
        <v>#DIV/0!</v>
      </c>
      <c r="AG61" s="55" t="e">
        <f t="shared" si="68"/>
        <v>#DIV/0!</v>
      </c>
      <c r="AH61" s="288" t="e">
        <f t="shared" si="69"/>
        <v>#DIV/0!</v>
      </c>
      <c r="AI61" s="582" t="s">
        <v>633</v>
      </c>
      <c r="AJ61" s="444">
        <f t="shared" si="0"/>
        <v>-1</v>
      </c>
      <c r="AK61" s="408"/>
    </row>
    <row r="62" spans="1:37" x14ac:dyDescent="0.25">
      <c r="A62" s="58">
        <f>'งบกำไรขาดทุน ปี 2025'!A62</f>
        <v>60100015</v>
      </c>
      <c r="B62" s="16" t="str">
        <f>'งบกำไรขาดทุน ปี 2025'!B62</f>
        <v>ต้นทุนบริการผลประโยชน์พนักงาน</v>
      </c>
      <c r="C62" s="121">
        <f>'งบกำไรขาดทุน ปี 2025'!O62</f>
        <v>0</v>
      </c>
      <c r="D62" s="136">
        <f t="shared" si="15"/>
        <v>0</v>
      </c>
      <c r="E62" s="145">
        <f t="shared" si="56"/>
        <v>0</v>
      </c>
      <c r="F62" s="96" t="e">
        <f t="shared" si="70"/>
        <v>#DIV/0!</v>
      </c>
      <c r="G62" s="697">
        <f t="shared" si="77"/>
        <v>0.04</v>
      </c>
      <c r="H62" s="582" t="s">
        <v>633</v>
      </c>
      <c r="I62" s="138">
        <f>(($D62*$G62)+$D62)</f>
        <v>0</v>
      </c>
      <c r="J62" s="106">
        <f t="shared" si="78"/>
        <v>0</v>
      </c>
      <c r="K62" s="106">
        <f t="shared" si="78"/>
        <v>0</v>
      </c>
      <c r="L62" s="106">
        <f t="shared" si="78"/>
        <v>0</v>
      </c>
      <c r="M62" s="106">
        <f t="shared" si="78"/>
        <v>0</v>
      </c>
      <c r="N62" s="239">
        <f t="shared" si="78"/>
        <v>0</v>
      </c>
      <c r="O62" s="138">
        <f t="shared" si="78"/>
        <v>0</v>
      </c>
      <c r="P62" s="106">
        <f t="shared" si="78"/>
        <v>0</v>
      </c>
      <c r="Q62" s="106">
        <f t="shared" si="78"/>
        <v>0</v>
      </c>
      <c r="R62" s="106">
        <f t="shared" si="78"/>
        <v>0</v>
      </c>
      <c r="S62" s="106">
        <f t="shared" si="78"/>
        <v>0</v>
      </c>
      <c r="T62" s="252">
        <f t="shared" si="78"/>
        <v>0</v>
      </c>
      <c r="U62" s="157">
        <f t="shared" si="19"/>
        <v>0</v>
      </c>
      <c r="V62" s="92" t="e">
        <f t="shared" si="57"/>
        <v>#DIV/0!</v>
      </c>
      <c r="W62" s="93" t="e">
        <f t="shared" si="58"/>
        <v>#DIV/0!</v>
      </c>
      <c r="X62" s="93" t="e">
        <f t="shared" si="59"/>
        <v>#DIV/0!</v>
      </c>
      <c r="Y62" s="93" t="e">
        <f t="shared" si="60"/>
        <v>#DIV/0!</v>
      </c>
      <c r="Z62" s="93" t="e">
        <f t="shared" si="61"/>
        <v>#DIV/0!</v>
      </c>
      <c r="AA62" s="93" t="e">
        <f t="shared" si="62"/>
        <v>#DIV/0!</v>
      </c>
      <c r="AB62" s="93" t="e">
        <f t="shared" si="63"/>
        <v>#DIV/0!</v>
      </c>
      <c r="AC62" s="93" t="e">
        <f t="shared" si="64"/>
        <v>#DIV/0!</v>
      </c>
      <c r="AD62" s="93" t="e">
        <f t="shared" si="65"/>
        <v>#DIV/0!</v>
      </c>
      <c r="AE62" s="93" t="e">
        <f t="shared" si="66"/>
        <v>#DIV/0!</v>
      </c>
      <c r="AF62" s="93" t="e">
        <f t="shared" si="67"/>
        <v>#DIV/0!</v>
      </c>
      <c r="AG62" s="93" t="e">
        <f t="shared" si="68"/>
        <v>#DIV/0!</v>
      </c>
      <c r="AH62" s="294" t="e">
        <f t="shared" si="69"/>
        <v>#DIV/0!</v>
      </c>
      <c r="AI62" s="582" t="s">
        <v>633</v>
      </c>
      <c r="AJ62" s="444">
        <f t="shared" si="0"/>
        <v>-1</v>
      </c>
      <c r="AK62" s="408"/>
    </row>
    <row r="63" spans="1:37" s="12" customFormat="1" x14ac:dyDescent="0.25">
      <c r="A63" s="161">
        <f>'งบกำไรขาดทุน ปี 2025'!A63</f>
        <v>0</v>
      </c>
      <c r="B63" s="15" t="str">
        <f>'งบกำไรขาดทุน ปี 2025'!B63</f>
        <v>รวมเงินเดือนและสวัสดิการพนักงาน</v>
      </c>
      <c r="C63" s="26">
        <f>'งบกำไรขาดทุน ปี 2025'!O63</f>
        <v>0</v>
      </c>
      <c r="D63" s="27">
        <f t="shared" si="15"/>
        <v>0</v>
      </c>
      <c r="E63" s="146">
        <f t="shared" si="56"/>
        <v>0</v>
      </c>
      <c r="F63" s="224" t="e">
        <f>E63/$E$18</f>
        <v>#DIV/0!</v>
      </c>
      <c r="G63" s="224"/>
      <c r="H63" s="582"/>
      <c r="I63" s="139" t="e">
        <f>SUM(I45:I62)</f>
        <v>#DIV/0!</v>
      </c>
      <c r="J63" s="107" t="e">
        <f t="shared" ref="J63:T63" si="79">SUM(J45:J62)</f>
        <v>#DIV/0!</v>
      </c>
      <c r="K63" s="107" t="e">
        <f t="shared" si="79"/>
        <v>#DIV/0!</v>
      </c>
      <c r="L63" s="107" t="e">
        <f t="shared" si="79"/>
        <v>#DIV/0!</v>
      </c>
      <c r="M63" s="107" t="e">
        <f t="shared" si="79"/>
        <v>#DIV/0!</v>
      </c>
      <c r="N63" s="235" t="e">
        <f t="shared" si="79"/>
        <v>#DIV/0!</v>
      </c>
      <c r="O63" s="139" t="e">
        <f t="shared" si="79"/>
        <v>#DIV/0!</v>
      </c>
      <c r="P63" s="107" t="e">
        <f t="shared" si="79"/>
        <v>#DIV/0!</v>
      </c>
      <c r="Q63" s="107" t="e">
        <f t="shared" si="79"/>
        <v>#DIV/0!</v>
      </c>
      <c r="R63" s="107" t="e">
        <f t="shared" si="79"/>
        <v>#DIV/0!</v>
      </c>
      <c r="S63" s="107" t="e">
        <f t="shared" si="79"/>
        <v>#DIV/0!</v>
      </c>
      <c r="T63" s="248" t="e">
        <f t="shared" si="79"/>
        <v>#DIV/0!</v>
      </c>
      <c r="U63" s="107" t="e">
        <f>SUM(U45:U62)</f>
        <v>#DIV/0!</v>
      </c>
      <c r="V63" s="94" t="e">
        <f>I63/$I$18</f>
        <v>#DIV/0!</v>
      </c>
      <c r="W63" s="56" t="e">
        <f t="shared" si="58"/>
        <v>#DIV/0!</v>
      </c>
      <c r="X63" s="56" t="e">
        <f t="shared" si="59"/>
        <v>#DIV/0!</v>
      </c>
      <c r="Y63" s="56" t="e">
        <f t="shared" si="60"/>
        <v>#DIV/0!</v>
      </c>
      <c r="Z63" s="56" t="e">
        <f t="shared" si="61"/>
        <v>#DIV/0!</v>
      </c>
      <c r="AA63" s="56" t="e">
        <f t="shared" si="62"/>
        <v>#DIV/0!</v>
      </c>
      <c r="AB63" s="56" t="e">
        <f t="shared" si="63"/>
        <v>#DIV/0!</v>
      </c>
      <c r="AC63" s="56" t="e">
        <f t="shared" si="64"/>
        <v>#DIV/0!</v>
      </c>
      <c r="AD63" s="56" t="e">
        <f t="shared" si="65"/>
        <v>#DIV/0!</v>
      </c>
      <c r="AE63" s="56" t="e">
        <f t="shared" si="66"/>
        <v>#DIV/0!</v>
      </c>
      <c r="AF63" s="56" t="e">
        <f t="shared" si="67"/>
        <v>#DIV/0!</v>
      </c>
      <c r="AG63" s="56" t="e">
        <f t="shared" si="68"/>
        <v>#DIV/0!</v>
      </c>
      <c r="AH63" s="290" t="e">
        <f>U63/$U$18</f>
        <v>#DIV/0!</v>
      </c>
      <c r="AI63" s="582"/>
      <c r="AJ63" s="444">
        <f t="shared" si="0"/>
        <v>-1</v>
      </c>
      <c r="AK63" s="408"/>
    </row>
    <row r="64" spans="1:37" x14ac:dyDescent="0.25">
      <c r="A64" s="58">
        <f>'งบกำไรขาดทุน ปี 2025'!A64</f>
        <v>0</v>
      </c>
      <c r="B64" s="16" t="str">
        <f>'งบกำไรขาดทุน ปี 2025'!B64</f>
        <v>ค่าอบรมสัมมนา</v>
      </c>
      <c r="C64" s="215">
        <f>'งบกำไรขาดทุน ปี 2025'!O64</f>
        <v>0</v>
      </c>
      <c r="D64" s="188"/>
      <c r="E64" s="189"/>
      <c r="F64" s="225"/>
      <c r="G64" s="225"/>
      <c r="H64" s="580"/>
      <c r="I64" s="190"/>
      <c r="J64" s="181"/>
      <c r="K64" s="181"/>
      <c r="L64" s="181"/>
      <c r="M64" s="181"/>
      <c r="N64" s="236"/>
      <c r="O64" s="190"/>
      <c r="P64" s="181"/>
      <c r="Q64" s="181"/>
      <c r="R64" s="181"/>
      <c r="S64" s="181"/>
      <c r="T64" s="249"/>
      <c r="U64" s="182"/>
      <c r="V64" s="183"/>
      <c r="W64" s="184"/>
      <c r="X64" s="184"/>
      <c r="Y64" s="184"/>
      <c r="Z64" s="184"/>
      <c r="AA64" s="184"/>
      <c r="AB64" s="184"/>
      <c r="AC64" s="184"/>
      <c r="AD64" s="184"/>
      <c r="AE64" s="184"/>
      <c r="AF64" s="184"/>
      <c r="AG64" s="184"/>
      <c r="AH64" s="291"/>
      <c r="AI64" s="580"/>
      <c r="AJ64" s="444">
        <f t="shared" si="0"/>
        <v>-1</v>
      </c>
      <c r="AK64" s="408"/>
    </row>
    <row r="65" spans="1:37" x14ac:dyDescent="0.25">
      <c r="A65" s="58">
        <f>'งบกำไรขาดทุน ปี 2025'!A65</f>
        <v>60100017</v>
      </c>
      <c r="B65" s="16" t="str">
        <f>'งบกำไรขาดทุน ปี 2025'!B65</f>
        <v>ค่าอบรม&amp;สัมมนาพนักงาน</v>
      </c>
      <c r="C65" s="20">
        <f>'งบกำไรขาดทุน ปี 2025'!O65</f>
        <v>0</v>
      </c>
      <c r="D65" s="21">
        <f t="shared" si="15"/>
        <v>0</v>
      </c>
      <c r="E65" s="141">
        <f>D65*$E$5</f>
        <v>0</v>
      </c>
      <c r="F65" s="221" t="e">
        <f>E65/$E$18</f>
        <v>#DIV/0!</v>
      </c>
      <c r="G65" s="221"/>
      <c r="H65" s="439" t="s">
        <v>653</v>
      </c>
      <c r="I65" s="137">
        <f>+'การลงระหว่างเดือน ปี 2026'!AO31</f>
        <v>0</v>
      </c>
      <c r="J65" s="105">
        <f>+'การลงระหว่างเดือน ปี 2026'!AP31</f>
        <v>0</v>
      </c>
      <c r="K65" s="105">
        <f>+'การลงระหว่างเดือน ปี 2026'!AQ31</f>
        <v>0</v>
      </c>
      <c r="L65" s="105">
        <f>+'การลงระหว่างเดือน ปี 2026'!AR31</f>
        <v>0</v>
      </c>
      <c r="M65" s="105">
        <f>+'การลงระหว่างเดือน ปี 2026'!AS31</f>
        <v>0</v>
      </c>
      <c r="N65" s="233">
        <f>+'การลงระหว่างเดือน ปี 2026'!AT31</f>
        <v>0</v>
      </c>
      <c r="O65" s="137">
        <f>+'การลงระหว่างเดือน ปี 2026'!AU31</f>
        <v>0</v>
      </c>
      <c r="P65" s="105">
        <f>+'การลงระหว่างเดือน ปี 2026'!AV31</f>
        <v>0</v>
      </c>
      <c r="Q65" s="105">
        <f>+'การลงระหว่างเดือน ปี 2026'!AW31</f>
        <v>0</v>
      </c>
      <c r="R65" s="105">
        <f>+'การลงระหว่างเดือน ปี 2026'!AX31</f>
        <v>0</v>
      </c>
      <c r="S65" s="105">
        <f>+'การลงระหว่างเดือน ปี 2026'!AY31</f>
        <v>0</v>
      </c>
      <c r="T65" s="246">
        <f>+'การลงระหว่างเดือน ปี 2026'!AZ31</f>
        <v>0</v>
      </c>
      <c r="U65" s="154">
        <f t="shared" si="19"/>
        <v>0</v>
      </c>
      <c r="V65" s="91" t="e">
        <f>I65/$I$18</f>
        <v>#DIV/0!</v>
      </c>
      <c r="W65" s="55" t="e">
        <f>J65/$J$18</f>
        <v>#DIV/0!</v>
      </c>
      <c r="X65" s="55" t="e">
        <f>K65/$K$18</f>
        <v>#DIV/0!</v>
      </c>
      <c r="Y65" s="55" t="e">
        <f>L65/$L$18</f>
        <v>#DIV/0!</v>
      </c>
      <c r="Z65" s="55" t="e">
        <f>M65/$M$18</f>
        <v>#DIV/0!</v>
      </c>
      <c r="AA65" s="55" t="e">
        <f>N65/$N$18</f>
        <v>#DIV/0!</v>
      </c>
      <c r="AB65" s="55" t="e">
        <f>O65/$O$18</f>
        <v>#DIV/0!</v>
      </c>
      <c r="AC65" s="55" t="e">
        <f>P65/$P$18</f>
        <v>#DIV/0!</v>
      </c>
      <c r="AD65" s="55" t="e">
        <f>Q65/$Q$18</f>
        <v>#DIV/0!</v>
      </c>
      <c r="AE65" s="55" t="e">
        <f>R65/$R$18</f>
        <v>#DIV/0!</v>
      </c>
      <c r="AF65" s="55" t="e">
        <f>S65/$S$18</f>
        <v>#DIV/0!</v>
      </c>
      <c r="AG65" s="55" t="e">
        <f>T65/$T$18</f>
        <v>#DIV/0!</v>
      </c>
      <c r="AH65" s="288" t="e">
        <f>U65/$U$18</f>
        <v>#DIV/0!</v>
      </c>
      <c r="AI65" s="582" t="s">
        <v>634</v>
      </c>
      <c r="AJ65" s="444">
        <f t="shared" si="0"/>
        <v>-1</v>
      </c>
      <c r="AK65" s="408"/>
    </row>
    <row r="66" spans="1:37" x14ac:dyDescent="0.25">
      <c r="A66" s="58">
        <f>'งบกำไรขาดทุน ปี 2025'!A66</f>
        <v>60100018</v>
      </c>
      <c r="B66" s="16" t="str">
        <f>'งบกำไรขาดทุน ปี 2025'!B66</f>
        <v>ค่าอบรม&amp;สัมมนาหมอ</v>
      </c>
      <c r="C66" s="20">
        <f>'งบกำไรขาดทุน ปี 2025'!O66</f>
        <v>0</v>
      </c>
      <c r="D66" s="21">
        <f t="shared" si="15"/>
        <v>0</v>
      </c>
      <c r="E66" s="141">
        <f>D66*$E$5</f>
        <v>0</v>
      </c>
      <c r="F66" s="221" t="e">
        <f>E66/$E$18</f>
        <v>#DIV/0!</v>
      </c>
      <c r="G66" s="221"/>
      <c r="H66" s="439" t="s">
        <v>653</v>
      </c>
      <c r="I66" s="137">
        <f>+'การลงระหว่างเดือน ปี 2026'!AO32</f>
        <v>0</v>
      </c>
      <c r="J66" s="105">
        <f>+'การลงระหว่างเดือน ปี 2026'!AP32</f>
        <v>0</v>
      </c>
      <c r="K66" s="105">
        <f>+'การลงระหว่างเดือน ปี 2026'!AQ32</f>
        <v>0</v>
      </c>
      <c r="L66" s="105">
        <f>+'การลงระหว่างเดือน ปี 2026'!AR32</f>
        <v>0</v>
      </c>
      <c r="M66" s="105">
        <f>+'การลงระหว่างเดือน ปี 2026'!AS32</f>
        <v>0</v>
      </c>
      <c r="N66" s="233">
        <f>+'การลงระหว่างเดือน ปี 2026'!AT32</f>
        <v>0</v>
      </c>
      <c r="O66" s="137">
        <f>+'การลงระหว่างเดือน ปี 2026'!AU32</f>
        <v>0</v>
      </c>
      <c r="P66" s="105">
        <f>+'การลงระหว่างเดือน ปี 2026'!AV32</f>
        <v>0</v>
      </c>
      <c r="Q66" s="105">
        <f>+'การลงระหว่างเดือน ปี 2026'!AW32</f>
        <v>0</v>
      </c>
      <c r="R66" s="105">
        <f>+'การลงระหว่างเดือน ปี 2026'!AX32</f>
        <v>0</v>
      </c>
      <c r="S66" s="105">
        <f>+'การลงระหว่างเดือน ปี 2026'!AY32</f>
        <v>0</v>
      </c>
      <c r="T66" s="246">
        <f>+'การลงระหว่างเดือน ปี 2026'!AZ32</f>
        <v>0</v>
      </c>
      <c r="U66" s="154">
        <f t="shared" si="19"/>
        <v>0</v>
      </c>
      <c r="V66" s="91" t="e">
        <f>I66/$I$18</f>
        <v>#DIV/0!</v>
      </c>
      <c r="W66" s="55" t="e">
        <f>J66/$J$18</f>
        <v>#DIV/0!</v>
      </c>
      <c r="X66" s="55" t="e">
        <f>K66/$K$18</f>
        <v>#DIV/0!</v>
      </c>
      <c r="Y66" s="55" t="e">
        <f>L66/$L$18</f>
        <v>#DIV/0!</v>
      </c>
      <c r="Z66" s="55" t="e">
        <f>M66/$M$18</f>
        <v>#DIV/0!</v>
      </c>
      <c r="AA66" s="55" t="e">
        <f>N66/$N$18</f>
        <v>#DIV/0!</v>
      </c>
      <c r="AB66" s="55" t="e">
        <f>O66/$O$18</f>
        <v>#DIV/0!</v>
      </c>
      <c r="AC66" s="55" t="e">
        <f>P66/$P$18</f>
        <v>#DIV/0!</v>
      </c>
      <c r="AD66" s="55" t="e">
        <f>Q66/$Q$18</f>
        <v>#DIV/0!</v>
      </c>
      <c r="AE66" s="55" t="e">
        <f>R66/$R$18</f>
        <v>#DIV/0!</v>
      </c>
      <c r="AF66" s="55" t="e">
        <f>S66/$S$18</f>
        <v>#DIV/0!</v>
      </c>
      <c r="AG66" s="55" t="e">
        <f>T66/$T$18</f>
        <v>#DIV/0!</v>
      </c>
      <c r="AH66" s="288" t="e">
        <f>U66/$U$18</f>
        <v>#DIV/0!</v>
      </c>
      <c r="AI66" s="582" t="s">
        <v>634</v>
      </c>
      <c r="AJ66" s="444">
        <f t="shared" si="0"/>
        <v>-1</v>
      </c>
      <c r="AK66" s="408"/>
    </row>
    <row r="67" spans="1:37" x14ac:dyDescent="0.25">
      <c r="A67" s="58">
        <f>'งบกำไรขาดทุน ปี 2025'!A67</f>
        <v>60100019</v>
      </c>
      <c r="B67" s="16" t="str">
        <f>'งบกำไรขาดทุน ปี 2025'!B67</f>
        <v>ค่าอบรมISO</v>
      </c>
      <c r="C67" s="121">
        <f>'งบกำไรขาดทุน ปี 2025'!O67</f>
        <v>0</v>
      </c>
      <c r="D67" s="136">
        <f t="shared" si="15"/>
        <v>0</v>
      </c>
      <c r="E67" s="145">
        <f>D67*$E$5</f>
        <v>0</v>
      </c>
      <c r="F67" s="96" t="e">
        <f>E67/$E$18</f>
        <v>#DIV/0!</v>
      </c>
      <c r="G67" s="696"/>
      <c r="H67" s="582" t="s">
        <v>633</v>
      </c>
      <c r="I67" s="138">
        <f>(($D67*$G67)+$D67)+'การลงระหว่างเดือน ปี 2026'!AO33</f>
        <v>0</v>
      </c>
      <c r="J67" s="106">
        <f>(($D67*$G67)+$D67)+'การลงระหว่างเดือน ปี 2026'!AP33</f>
        <v>0</v>
      </c>
      <c r="K67" s="106">
        <f>(($D67*$G67)+$D67)+'การลงระหว่างเดือน ปี 2026'!AQ33</f>
        <v>0</v>
      </c>
      <c r="L67" s="106">
        <f>(($D67*$G67)+$D67)+'การลงระหว่างเดือน ปี 2026'!AR33</f>
        <v>0</v>
      </c>
      <c r="M67" s="106">
        <f>(($D67*$G67)+$D67)+'การลงระหว่างเดือน ปี 2026'!AS33</f>
        <v>0</v>
      </c>
      <c r="N67" s="239">
        <f>(($D67*$G67)+$D67)+'การลงระหว่างเดือน ปี 2026'!AT33</f>
        <v>0</v>
      </c>
      <c r="O67" s="138">
        <f>(($D67*$G67)+$D67)+'การลงระหว่างเดือน ปี 2026'!AU33</f>
        <v>0</v>
      </c>
      <c r="P67" s="106">
        <f>(($D67*$G67)+$D67)+'การลงระหว่างเดือน ปี 2026'!AV33</f>
        <v>0</v>
      </c>
      <c r="Q67" s="106">
        <f>(($D67*$G67)+$D67)+'การลงระหว่างเดือน ปี 2026'!AW33</f>
        <v>0</v>
      </c>
      <c r="R67" s="106">
        <f>(($D67*$G67)+$D67)+'การลงระหว่างเดือน ปี 2026'!AX33</f>
        <v>0</v>
      </c>
      <c r="S67" s="106">
        <f>(($D67*$G67)+$D67)+'การลงระหว่างเดือน ปี 2026'!AY33</f>
        <v>0</v>
      </c>
      <c r="T67" s="252">
        <f>(($D67*$G67)+$D67)+'การลงระหว่างเดือน ปี 2026'!AZ33</f>
        <v>0</v>
      </c>
      <c r="U67" s="157">
        <f t="shared" si="19"/>
        <v>0</v>
      </c>
      <c r="V67" s="92" t="e">
        <f>I67/$I$18</f>
        <v>#DIV/0!</v>
      </c>
      <c r="W67" s="93" t="e">
        <f>J67/$J$18</f>
        <v>#DIV/0!</v>
      </c>
      <c r="X67" s="93" t="e">
        <f>K67/$K$18</f>
        <v>#DIV/0!</v>
      </c>
      <c r="Y67" s="93" t="e">
        <f>L67/$L$18</f>
        <v>#DIV/0!</v>
      </c>
      <c r="Z67" s="93" t="e">
        <f>M67/$M$18</f>
        <v>#DIV/0!</v>
      </c>
      <c r="AA67" s="93" t="e">
        <f>N67/$N$18</f>
        <v>#DIV/0!</v>
      </c>
      <c r="AB67" s="93" t="e">
        <f>O67/$O$18</f>
        <v>#DIV/0!</v>
      </c>
      <c r="AC67" s="93" t="e">
        <f>P67/$P$18</f>
        <v>#DIV/0!</v>
      </c>
      <c r="AD67" s="93" t="e">
        <f>Q67/$Q$18</f>
        <v>#DIV/0!</v>
      </c>
      <c r="AE67" s="93" t="e">
        <f>R67/$R$18</f>
        <v>#DIV/0!</v>
      </c>
      <c r="AF67" s="93" t="e">
        <f>S67/$S$18</f>
        <v>#DIV/0!</v>
      </c>
      <c r="AG67" s="93" t="e">
        <f>T67/$T$18</f>
        <v>#DIV/0!</v>
      </c>
      <c r="AH67" s="294" t="e">
        <f>U67/$U$18</f>
        <v>#DIV/0!</v>
      </c>
      <c r="AI67" s="582" t="s">
        <v>633</v>
      </c>
      <c r="AJ67" s="444">
        <f t="shared" si="0"/>
        <v>-1</v>
      </c>
      <c r="AK67" s="408"/>
    </row>
    <row r="68" spans="1:37" s="12" customFormat="1" x14ac:dyDescent="0.25">
      <c r="A68" s="161">
        <f>'งบกำไรขาดทุน ปี 2025'!A68</f>
        <v>0</v>
      </c>
      <c r="B68" s="15" t="str">
        <f>'งบกำไรขาดทุน ปี 2025'!B68</f>
        <v>รวมค่าอบรมสัมมนา</v>
      </c>
      <c r="C68" s="26">
        <f>'งบกำไรขาดทุน ปี 2025'!O68</f>
        <v>0</v>
      </c>
      <c r="D68" s="27">
        <f t="shared" si="15"/>
        <v>0</v>
      </c>
      <c r="E68" s="146">
        <f>D68*$E$5</f>
        <v>0</v>
      </c>
      <c r="F68" s="224" t="e">
        <f>E68/$E$18</f>
        <v>#DIV/0!</v>
      </c>
      <c r="G68" s="224"/>
      <c r="H68" s="582"/>
      <c r="I68" s="139">
        <f t="shared" ref="I68:U68" si="80">SUM(I65:I67)</f>
        <v>0</v>
      </c>
      <c r="J68" s="107">
        <f t="shared" si="80"/>
        <v>0</v>
      </c>
      <c r="K68" s="107">
        <f t="shared" si="80"/>
        <v>0</v>
      </c>
      <c r="L68" s="107">
        <f t="shared" si="80"/>
        <v>0</v>
      </c>
      <c r="M68" s="107">
        <f t="shared" si="80"/>
        <v>0</v>
      </c>
      <c r="N68" s="235">
        <f t="shared" si="80"/>
        <v>0</v>
      </c>
      <c r="O68" s="139">
        <f t="shared" si="80"/>
        <v>0</v>
      </c>
      <c r="P68" s="107">
        <f t="shared" si="80"/>
        <v>0</v>
      </c>
      <c r="Q68" s="107">
        <f t="shared" si="80"/>
        <v>0</v>
      </c>
      <c r="R68" s="107">
        <f t="shared" si="80"/>
        <v>0</v>
      </c>
      <c r="S68" s="107">
        <f t="shared" si="80"/>
        <v>0</v>
      </c>
      <c r="T68" s="248">
        <f t="shared" si="80"/>
        <v>0</v>
      </c>
      <c r="U68" s="107">
        <f t="shared" si="80"/>
        <v>0</v>
      </c>
      <c r="V68" s="94" t="e">
        <f>I68/$I$18</f>
        <v>#DIV/0!</v>
      </c>
      <c r="W68" s="56" t="e">
        <f>J68/$J$18</f>
        <v>#DIV/0!</v>
      </c>
      <c r="X68" s="56" t="e">
        <f>K68/$K$18</f>
        <v>#DIV/0!</v>
      </c>
      <c r="Y68" s="56" t="e">
        <f>L68/$L$18</f>
        <v>#DIV/0!</v>
      </c>
      <c r="Z68" s="56" t="e">
        <f>M68/$M$18</f>
        <v>#DIV/0!</v>
      </c>
      <c r="AA68" s="56" t="e">
        <f>N68/$N$18</f>
        <v>#DIV/0!</v>
      </c>
      <c r="AB68" s="56" t="e">
        <f>O68/$O$18</f>
        <v>#DIV/0!</v>
      </c>
      <c r="AC68" s="56" t="e">
        <f>P68/$P$18</f>
        <v>#DIV/0!</v>
      </c>
      <c r="AD68" s="56" t="e">
        <f>Q68/$Q$18</f>
        <v>#DIV/0!</v>
      </c>
      <c r="AE68" s="56" t="e">
        <f>R68/$R$18</f>
        <v>#DIV/0!</v>
      </c>
      <c r="AF68" s="56" t="e">
        <f>S68/$S$18</f>
        <v>#DIV/0!</v>
      </c>
      <c r="AG68" s="56" t="e">
        <f>T68/$T$18</f>
        <v>#DIV/0!</v>
      </c>
      <c r="AH68" s="290" t="e">
        <f>U68/$U$18</f>
        <v>#DIV/0!</v>
      </c>
      <c r="AI68" s="582"/>
      <c r="AJ68" s="444">
        <f t="shared" si="0"/>
        <v>-1</v>
      </c>
      <c r="AK68" s="408"/>
    </row>
    <row r="69" spans="1:37" x14ac:dyDescent="0.25">
      <c r="A69" s="58">
        <f>'งบกำไรขาดทุน ปี 2025'!A69</f>
        <v>0</v>
      </c>
      <c r="B69" s="16" t="str">
        <f>'งบกำไรขาดทุน ปี 2025'!B69</f>
        <v>Professional Fees</v>
      </c>
      <c r="C69" s="215">
        <f>'งบกำไรขาดทุน ปี 2025'!O69</f>
        <v>0</v>
      </c>
      <c r="D69" s="188"/>
      <c r="E69" s="189"/>
      <c r="F69" s="225"/>
      <c r="G69" s="225"/>
      <c r="H69" s="580"/>
      <c r="I69" s="190"/>
      <c r="J69" s="181"/>
      <c r="K69" s="181"/>
      <c r="L69" s="181"/>
      <c r="M69" s="181"/>
      <c r="N69" s="236"/>
      <c r="O69" s="190"/>
      <c r="P69" s="181"/>
      <c r="Q69" s="181"/>
      <c r="R69" s="181"/>
      <c r="S69" s="181"/>
      <c r="T69" s="249"/>
      <c r="U69" s="182"/>
      <c r="V69" s="183"/>
      <c r="W69" s="184"/>
      <c r="X69" s="184"/>
      <c r="Y69" s="184"/>
      <c r="Z69" s="184"/>
      <c r="AA69" s="184"/>
      <c r="AB69" s="184"/>
      <c r="AC69" s="184"/>
      <c r="AD69" s="184"/>
      <c r="AE69" s="184"/>
      <c r="AF69" s="184"/>
      <c r="AG69" s="184"/>
      <c r="AH69" s="291"/>
      <c r="AI69" s="580"/>
      <c r="AJ69" s="444">
        <f t="shared" si="0"/>
        <v>-1</v>
      </c>
      <c r="AK69" s="408"/>
    </row>
    <row r="70" spans="1:37" x14ac:dyDescent="0.25">
      <c r="A70" s="58">
        <f>'งบกำไรขาดทุน ปี 2025'!A70</f>
        <v>60200004</v>
      </c>
      <c r="B70" s="16" t="str">
        <f>'งบกำไรขาดทุน ปี 2025'!B70</f>
        <v>ค่าสอบบัญชี</v>
      </c>
      <c r="C70" s="20">
        <f>'งบกำไรขาดทุน ปี 2025'!O70</f>
        <v>0</v>
      </c>
      <c r="D70" s="21">
        <f t="shared" si="15"/>
        <v>0</v>
      </c>
      <c r="E70" s="141">
        <f>D70*$E$5</f>
        <v>0</v>
      </c>
      <c r="F70" s="221" t="e">
        <f>E70/$E$18</f>
        <v>#DIV/0!</v>
      </c>
      <c r="G70" s="696" t="e">
        <f>$U$2</f>
        <v>#DIV/0!</v>
      </c>
      <c r="H70" s="582" t="s">
        <v>633</v>
      </c>
      <c r="I70" s="137" t="e">
        <f t="shared" ref="I70:T73" si="81">(($D70*$G70)+$D70)</f>
        <v>#DIV/0!</v>
      </c>
      <c r="J70" s="105" t="e">
        <f t="shared" si="81"/>
        <v>#DIV/0!</v>
      </c>
      <c r="K70" s="105" t="e">
        <f t="shared" si="81"/>
        <v>#DIV/0!</v>
      </c>
      <c r="L70" s="105" t="e">
        <f t="shared" si="81"/>
        <v>#DIV/0!</v>
      </c>
      <c r="M70" s="105" t="e">
        <f t="shared" si="81"/>
        <v>#DIV/0!</v>
      </c>
      <c r="N70" s="233" t="e">
        <f t="shared" si="81"/>
        <v>#DIV/0!</v>
      </c>
      <c r="O70" s="137" t="e">
        <f t="shared" si="81"/>
        <v>#DIV/0!</v>
      </c>
      <c r="P70" s="105" t="e">
        <f t="shared" si="81"/>
        <v>#DIV/0!</v>
      </c>
      <c r="Q70" s="105" t="e">
        <f t="shared" si="81"/>
        <v>#DIV/0!</v>
      </c>
      <c r="R70" s="105" t="e">
        <f t="shared" si="81"/>
        <v>#DIV/0!</v>
      </c>
      <c r="S70" s="105" t="e">
        <f t="shared" si="81"/>
        <v>#DIV/0!</v>
      </c>
      <c r="T70" s="246" t="e">
        <f t="shared" si="81"/>
        <v>#DIV/0!</v>
      </c>
      <c r="U70" s="154" t="e">
        <f t="shared" si="19"/>
        <v>#DIV/0!</v>
      </c>
      <c r="V70" s="91" t="e">
        <f>I70/$I$18</f>
        <v>#DIV/0!</v>
      </c>
      <c r="W70" s="55" t="e">
        <f>J70/$J$18</f>
        <v>#DIV/0!</v>
      </c>
      <c r="X70" s="55" t="e">
        <f>K70/$K$18</f>
        <v>#DIV/0!</v>
      </c>
      <c r="Y70" s="55" t="e">
        <f>L70/$L$18</f>
        <v>#DIV/0!</v>
      </c>
      <c r="Z70" s="55" t="e">
        <f>M70/$M$18</f>
        <v>#DIV/0!</v>
      </c>
      <c r="AA70" s="55" t="e">
        <f>N70/$N$18</f>
        <v>#DIV/0!</v>
      </c>
      <c r="AB70" s="55" t="e">
        <f>O70/$O$18</f>
        <v>#DIV/0!</v>
      </c>
      <c r="AC70" s="55" t="e">
        <f>P70/$P$18</f>
        <v>#DIV/0!</v>
      </c>
      <c r="AD70" s="55" t="e">
        <f>Q70/$Q$18</f>
        <v>#DIV/0!</v>
      </c>
      <c r="AE70" s="55" t="e">
        <f>R70/$R$18</f>
        <v>#DIV/0!</v>
      </c>
      <c r="AF70" s="55" t="e">
        <f>S70/$S$18</f>
        <v>#DIV/0!</v>
      </c>
      <c r="AG70" s="55" t="e">
        <f>T70/$T$18</f>
        <v>#DIV/0!</v>
      </c>
      <c r="AH70" s="288" t="e">
        <f>U70/$U$18</f>
        <v>#DIV/0!</v>
      </c>
      <c r="AI70" s="582" t="s">
        <v>633</v>
      </c>
      <c r="AJ70" s="444">
        <f t="shared" si="0"/>
        <v>-1</v>
      </c>
      <c r="AK70" s="408"/>
    </row>
    <row r="71" spans="1:37" x14ac:dyDescent="0.25">
      <c r="A71" s="58">
        <f>'งบกำไรขาดทุน ปี 2025'!A71</f>
        <v>60100020</v>
      </c>
      <c r="B71" s="16" t="str">
        <f>'งบกำไรขาดทุน ปี 2025'!B71</f>
        <v>ค่าที่ปรึกษา</v>
      </c>
      <c r="C71" s="20">
        <f>'งบกำไรขาดทุน ปี 2025'!O71</f>
        <v>0</v>
      </c>
      <c r="D71" s="21">
        <f t="shared" si="15"/>
        <v>0</v>
      </c>
      <c r="E71" s="141">
        <f>D71*$E$5</f>
        <v>0</v>
      </c>
      <c r="F71" s="221" t="e">
        <f>E71/$E$18</f>
        <v>#DIV/0!</v>
      </c>
      <c r="G71" s="696" t="e">
        <f>$U$2</f>
        <v>#DIV/0!</v>
      </c>
      <c r="H71" s="582" t="s">
        <v>633</v>
      </c>
      <c r="I71" s="137" t="e">
        <f t="shared" si="81"/>
        <v>#DIV/0!</v>
      </c>
      <c r="J71" s="105" t="e">
        <f t="shared" si="81"/>
        <v>#DIV/0!</v>
      </c>
      <c r="K71" s="105" t="e">
        <f t="shared" si="81"/>
        <v>#DIV/0!</v>
      </c>
      <c r="L71" s="105" t="e">
        <f t="shared" si="81"/>
        <v>#DIV/0!</v>
      </c>
      <c r="M71" s="105" t="e">
        <f t="shared" si="81"/>
        <v>#DIV/0!</v>
      </c>
      <c r="N71" s="233" t="e">
        <f t="shared" si="81"/>
        <v>#DIV/0!</v>
      </c>
      <c r="O71" s="137" t="e">
        <f t="shared" si="81"/>
        <v>#DIV/0!</v>
      </c>
      <c r="P71" s="105" t="e">
        <f t="shared" si="81"/>
        <v>#DIV/0!</v>
      </c>
      <c r="Q71" s="105" t="e">
        <f t="shared" si="81"/>
        <v>#DIV/0!</v>
      </c>
      <c r="R71" s="105" t="e">
        <f t="shared" si="81"/>
        <v>#DIV/0!</v>
      </c>
      <c r="S71" s="105" t="e">
        <f t="shared" si="81"/>
        <v>#DIV/0!</v>
      </c>
      <c r="T71" s="246" t="e">
        <f t="shared" si="81"/>
        <v>#DIV/0!</v>
      </c>
      <c r="U71" s="154" t="e">
        <f t="shared" ref="U71:U115" si="82">SUM(I71:T71)</f>
        <v>#DIV/0!</v>
      </c>
      <c r="V71" s="91" t="e">
        <f>I71/$I$18</f>
        <v>#DIV/0!</v>
      </c>
      <c r="W71" s="55" t="e">
        <f>J71/$J$18</f>
        <v>#DIV/0!</v>
      </c>
      <c r="X71" s="55" t="e">
        <f>K71/$K$18</f>
        <v>#DIV/0!</v>
      </c>
      <c r="Y71" s="55" t="e">
        <f>L71/$L$18</f>
        <v>#DIV/0!</v>
      </c>
      <c r="Z71" s="55" t="e">
        <f>M71/$M$18</f>
        <v>#DIV/0!</v>
      </c>
      <c r="AA71" s="55" t="e">
        <f>N71/$N$18</f>
        <v>#DIV/0!</v>
      </c>
      <c r="AB71" s="55" t="e">
        <f>O71/$O$18</f>
        <v>#DIV/0!</v>
      </c>
      <c r="AC71" s="55" t="e">
        <f>P71/$P$18</f>
        <v>#DIV/0!</v>
      </c>
      <c r="AD71" s="55" t="e">
        <f>Q71/$Q$18</f>
        <v>#DIV/0!</v>
      </c>
      <c r="AE71" s="55" t="e">
        <f>R71/$R$18</f>
        <v>#DIV/0!</v>
      </c>
      <c r="AF71" s="55" t="e">
        <f>S71/$S$18</f>
        <v>#DIV/0!</v>
      </c>
      <c r="AG71" s="55" t="e">
        <f>T71/$T$18</f>
        <v>#DIV/0!</v>
      </c>
      <c r="AH71" s="288" t="e">
        <f>U71/$U$18</f>
        <v>#DIV/0!</v>
      </c>
      <c r="AI71" s="582" t="s">
        <v>633</v>
      </c>
      <c r="AJ71" s="444">
        <f t="shared" si="0"/>
        <v>-1</v>
      </c>
      <c r="AK71" s="408"/>
    </row>
    <row r="72" spans="1:37" x14ac:dyDescent="0.25">
      <c r="A72" s="58">
        <f>'งบกำไรขาดทุน ปี 2025'!A72</f>
        <v>60100021</v>
      </c>
      <c r="B72" s="16" t="str">
        <f>'งบกำไรขาดทุน ปี 2025'!B72</f>
        <v>ค่าที่ปรึกษากฎหมาย</v>
      </c>
      <c r="C72" s="20">
        <f>'งบกำไรขาดทุน ปี 2025'!O72</f>
        <v>0</v>
      </c>
      <c r="D72" s="21">
        <f t="shared" si="15"/>
        <v>0</v>
      </c>
      <c r="E72" s="141">
        <f>D72*$E$5</f>
        <v>0</v>
      </c>
      <c r="F72" s="221" t="e">
        <f>E72/$E$18</f>
        <v>#DIV/0!</v>
      </c>
      <c r="G72" s="696" t="e">
        <f>$U$2</f>
        <v>#DIV/0!</v>
      </c>
      <c r="H72" s="582" t="s">
        <v>633</v>
      </c>
      <c r="I72" s="137" t="e">
        <f t="shared" si="81"/>
        <v>#DIV/0!</v>
      </c>
      <c r="J72" s="105" t="e">
        <f t="shared" si="81"/>
        <v>#DIV/0!</v>
      </c>
      <c r="K72" s="105" t="e">
        <f t="shared" si="81"/>
        <v>#DIV/0!</v>
      </c>
      <c r="L72" s="105" t="e">
        <f t="shared" si="81"/>
        <v>#DIV/0!</v>
      </c>
      <c r="M72" s="105" t="e">
        <f t="shared" si="81"/>
        <v>#DIV/0!</v>
      </c>
      <c r="N72" s="233" t="e">
        <f t="shared" si="81"/>
        <v>#DIV/0!</v>
      </c>
      <c r="O72" s="137" t="e">
        <f t="shared" si="81"/>
        <v>#DIV/0!</v>
      </c>
      <c r="P72" s="105" t="e">
        <f t="shared" si="81"/>
        <v>#DIV/0!</v>
      </c>
      <c r="Q72" s="105" t="e">
        <f t="shared" si="81"/>
        <v>#DIV/0!</v>
      </c>
      <c r="R72" s="105" t="e">
        <f t="shared" si="81"/>
        <v>#DIV/0!</v>
      </c>
      <c r="S72" s="105" t="e">
        <f t="shared" si="81"/>
        <v>#DIV/0!</v>
      </c>
      <c r="T72" s="246" t="e">
        <f t="shared" si="81"/>
        <v>#DIV/0!</v>
      </c>
      <c r="U72" s="154" t="e">
        <f t="shared" si="82"/>
        <v>#DIV/0!</v>
      </c>
      <c r="V72" s="91" t="e">
        <f>I72/$I$18</f>
        <v>#DIV/0!</v>
      </c>
      <c r="W72" s="55" t="e">
        <f>J72/$J$18</f>
        <v>#DIV/0!</v>
      </c>
      <c r="X72" s="55" t="e">
        <f>K72/$K$18</f>
        <v>#DIV/0!</v>
      </c>
      <c r="Y72" s="55" t="e">
        <f>L72/$L$18</f>
        <v>#DIV/0!</v>
      </c>
      <c r="Z72" s="55" t="e">
        <f>M72/$M$18</f>
        <v>#DIV/0!</v>
      </c>
      <c r="AA72" s="55" t="e">
        <f>N72/$N$18</f>
        <v>#DIV/0!</v>
      </c>
      <c r="AB72" s="55" t="e">
        <f>O72/$O$18</f>
        <v>#DIV/0!</v>
      </c>
      <c r="AC72" s="55" t="e">
        <f>P72/$P$18</f>
        <v>#DIV/0!</v>
      </c>
      <c r="AD72" s="55" t="e">
        <f>Q72/$Q$18</f>
        <v>#DIV/0!</v>
      </c>
      <c r="AE72" s="55" t="e">
        <f>R72/$R$18</f>
        <v>#DIV/0!</v>
      </c>
      <c r="AF72" s="55" t="e">
        <f>S72/$S$18</f>
        <v>#DIV/0!</v>
      </c>
      <c r="AG72" s="55" t="e">
        <f>T72/$T$18</f>
        <v>#DIV/0!</v>
      </c>
      <c r="AH72" s="288" t="e">
        <f>U72/$U$18</f>
        <v>#DIV/0!</v>
      </c>
      <c r="AI72" s="582" t="s">
        <v>633</v>
      </c>
      <c r="AJ72" s="444">
        <f t="shared" ref="AJ72:AJ135" si="83">IFERROR(U72/E72,0)-1</f>
        <v>-1</v>
      </c>
      <c r="AK72" s="408"/>
    </row>
    <row r="73" spans="1:37" x14ac:dyDescent="0.25">
      <c r="A73" s="58">
        <f>'งบกำไรขาดทุน ปี 2025'!A73</f>
        <v>60100022</v>
      </c>
      <c r="B73" s="16" t="str">
        <f>'งบกำไรขาดทุน ปี 2025'!B73</f>
        <v>เงินเดือนล่าม</v>
      </c>
      <c r="C73" s="121">
        <f>'งบกำไรขาดทุน ปี 2025'!O73</f>
        <v>0</v>
      </c>
      <c r="D73" s="136">
        <f t="shared" si="15"/>
        <v>0</v>
      </c>
      <c r="E73" s="145">
        <f>D73*$E$5</f>
        <v>0</v>
      </c>
      <c r="F73" s="96" t="e">
        <f>E73/$E$18</f>
        <v>#DIV/0!</v>
      </c>
      <c r="G73" s="696" t="e">
        <f>$U$2</f>
        <v>#DIV/0!</v>
      </c>
      <c r="H73" s="582" t="s">
        <v>633</v>
      </c>
      <c r="I73" s="138" t="e">
        <f t="shared" si="81"/>
        <v>#DIV/0!</v>
      </c>
      <c r="J73" s="106" t="e">
        <f t="shared" si="81"/>
        <v>#DIV/0!</v>
      </c>
      <c r="K73" s="106" t="e">
        <f t="shared" si="81"/>
        <v>#DIV/0!</v>
      </c>
      <c r="L73" s="106" t="e">
        <f t="shared" si="81"/>
        <v>#DIV/0!</v>
      </c>
      <c r="M73" s="106" t="e">
        <f t="shared" si="81"/>
        <v>#DIV/0!</v>
      </c>
      <c r="N73" s="239" t="e">
        <f t="shared" si="81"/>
        <v>#DIV/0!</v>
      </c>
      <c r="O73" s="138" t="e">
        <f t="shared" si="81"/>
        <v>#DIV/0!</v>
      </c>
      <c r="P73" s="106" t="e">
        <f t="shared" si="81"/>
        <v>#DIV/0!</v>
      </c>
      <c r="Q73" s="106" t="e">
        <f t="shared" si="81"/>
        <v>#DIV/0!</v>
      </c>
      <c r="R73" s="106" t="e">
        <f t="shared" si="81"/>
        <v>#DIV/0!</v>
      </c>
      <c r="S73" s="106" t="e">
        <f t="shared" si="81"/>
        <v>#DIV/0!</v>
      </c>
      <c r="T73" s="252" t="e">
        <f t="shared" si="81"/>
        <v>#DIV/0!</v>
      </c>
      <c r="U73" s="157" t="e">
        <f t="shared" si="82"/>
        <v>#DIV/0!</v>
      </c>
      <c r="V73" s="92" t="e">
        <f>I73/$I$18</f>
        <v>#DIV/0!</v>
      </c>
      <c r="W73" s="93" t="e">
        <f>J73/$J$18</f>
        <v>#DIV/0!</v>
      </c>
      <c r="X73" s="93" t="e">
        <f>K73/$K$18</f>
        <v>#DIV/0!</v>
      </c>
      <c r="Y73" s="93" t="e">
        <f>L73/$L$18</f>
        <v>#DIV/0!</v>
      </c>
      <c r="Z73" s="93" t="e">
        <f>M73/$M$18</f>
        <v>#DIV/0!</v>
      </c>
      <c r="AA73" s="93" t="e">
        <f>N73/$N$18</f>
        <v>#DIV/0!</v>
      </c>
      <c r="AB73" s="93" t="e">
        <f>O73/$O$18</f>
        <v>#DIV/0!</v>
      </c>
      <c r="AC73" s="93" t="e">
        <f>P73/$P$18</f>
        <v>#DIV/0!</v>
      </c>
      <c r="AD73" s="93" t="e">
        <f>Q73/$Q$18</f>
        <v>#DIV/0!</v>
      </c>
      <c r="AE73" s="93" t="e">
        <f>R73/$R$18</f>
        <v>#DIV/0!</v>
      </c>
      <c r="AF73" s="93" t="e">
        <f>S73/$S$18</f>
        <v>#DIV/0!</v>
      </c>
      <c r="AG73" s="93" t="e">
        <f>T73/$T$18</f>
        <v>#DIV/0!</v>
      </c>
      <c r="AH73" s="294" t="e">
        <f>U73/$U$18</f>
        <v>#DIV/0!</v>
      </c>
      <c r="AI73" s="582" t="s">
        <v>633</v>
      </c>
      <c r="AJ73" s="444">
        <f t="shared" si="83"/>
        <v>-1</v>
      </c>
      <c r="AK73" s="408"/>
    </row>
    <row r="74" spans="1:37" s="12" customFormat="1" x14ac:dyDescent="0.25">
      <c r="A74" s="161">
        <f>'งบกำไรขาดทุน ปี 2025'!A74</f>
        <v>0</v>
      </c>
      <c r="B74" s="15" t="str">
        <f>'งบกำไรขาดทุน ปี 2025'!B74</f>
        <v>รวม Professional Fees</v>
      </c>
      <c r="C74" s="26">
        <f>'งบกำไรขาดทุน ปี 2025'!O74</f>
        <v>0</v>
      </c>
      <c r="D74" s="27">
        <f t="shared" si="15"/>
        <v>0</v>
      </c>
      <c r="E74" s="146">
        <f>D74*$E$5</f>
        <v>0</v>
      </c>
      <c r="F74" s="224" t="e">
        <f>E74/$E$18</f>
        <v>#DIV/0!</v>
      </c>
      <c r="G74" s="224"/>
      <c r="H74" s="582"/>
      <c r="I74" s="139" t="e">
        <f>SUM(I70:I73)</f>
        <v>#DIV/0!</v>
      </c>
      <c r="J74" s="107" t="e">
        <f t="shared" ref="J74:T74" si="84">SUM(J70:J73)</f>
        <v>#DIV/0!</v>
      </c>
      <c r="K74" s="107" t="e">
        <f t="shared" si="84"/>
        <v>#DIV/0!</v>
      </c>
      <c r="L74" s="107" t="e">
        <f t="shared" si="84"/>
        <v>#DIV/0!</v>
      </c>
      <c r="M74" s="107" t="e">
        <f t="shared" si="84"/>
        <v>#DIV/0!</v>
      </c>
      <c r="N74" s="235" t="e">
        <f t="shared" si="84"/>
        <v>#DIV/0!</v>
      </c>
      <c r="O74" s="139" t="e">
        <f t="shared" si="84"/>
        <v>#DIV/0!</v>
      </c>
      <c r="P74" s="107" t="e">
        <f t="shared" si="84"/>
        <v>#DIV/0!</v>
      </c>
      <c r="Q74" s="107" t="e">
        <f t="shared" si="84"/>
        <v>#DIV/0!</v>
      </c>
      <c r="R74" s="107" t="e">
        <f t="shared" si="84"/>
        <v>#DIV/0!</v>
      </c>
      <c r="S74" s="107" t="e">
        <f t="shared" si="84"/>
        <v>#DIV/0!</v>
      </c>
      <c r="T74" s="248" t="e">
        <f t="shared" si="84"/>
        <v>#DIV/0!</v>
      </c>
      <c r="U74" s="154" t="e">
        <f>SUM(U69:U73)</f>
        <v>#DIV/0!</v>
      </c>
      <c r="V74" s="94" t="e">
        <f>I74/$I$18</f>
        <v>#DIV/0!</v>
      </c>
      <c r="W74" s="56" t="e">
        <f>J74/$J$18</f>
        <v>#DIV/0!</v>
      </c>
      <c r="X74" s="56" t="e">
        <f>K74/$K$18</f>
        <v>#DIV/0!</v>
      </c>
      <c r="Y74" s="56" t="e">
        <f>L74/$L$18</f>
        <v>#DIV/0!</v>
      </c>
      <c r="Z74" s="56" t="e">
        <f>M74/$M$18</f>
        <v>#DIV/0!</v>
      </c>
      <c r="AA74" s="56" t="e">
        <f>N74/$N$18</f>
        <v>#DIV/0!</v>
      </c>
      <c r="AB74" s="56" t="e">
        <f>O74/$O$18</f>
        <v>#DIV/0!</v>
      </c>
      <c r="AC74" s="56" t="e">
        <f>P74/$P$18</f>
        <v>#DIV/0!</v>
      </c>
      <c r="AD74" s="56" t="e">
        <f>Q74/$Q$18</f>
        <v>#DIV/0!</v>
      </c>
      <c r="AE74" s="56" t="e">
        <f>R74/$R$18</f>
        <v>#DIV/0!</v>
      </c>
      <c r="AF74" s="56" t="e">
        <f>S74/$S$18</f>
        <v>#DIV/0!</v>
      </c>
      <c r="AG74" s="56" t="e">
        <f>T74/$T$18</f>
        <v>#DIV/0!</v>
      </c>
      <c r="AH74" s="288" t="e">
        <f>U74/$U$18</f>
        <v>#DIV/0!</v>
      </c>
      <c r="AI74" s="582"/>
      <c r="AJ74" s="444">
        <f t="shared" si="83"/>
        <v>-1</v>
      </c>
      <c r="AK74" s="408"/>
    </row>
    <row r="75" spans="1:37" x14ac:dyDescent="0.25">
      <c r="A75" s="58">
        <f>'งบกำไรขาดทุน ปี 2025'!A75</f>
        <v>0</v>
      </c>
      <c r="B75" s="16" t="str">
        <f>'งบกำไรขาดทุน ปี 2025'!B75</f>
        <v>ค่าธรรมเนียม</v>
      </c>
      <c r="C75" s="215">
        <f>'งบกำไรขาดทุน ปี 2025'!O75</f>
        <v>0</v>
      </c>
      <c r="D75" s="188"/>
      <c r="E75" s="189"/>
      <c r="F75" s="225"/>
      <c r="G75" s="225"/>
      <c r="H75" s="580"/>
      <c r="I75" s="190"/>
      <c r="J75" s="181"/>
      <c r="K75" s="181"/>
      <c r="L75" s="181"/>
      <c r="M75" s="181"/>
      <c r="N75" s="236"/>
      <c r="O75" s="190"/>
      <c r="P75" s="181"/>
      <c r="Q75" s="181"/>
      <c r="R75" s="181"/>
      <c r="S75" s="181"/>
      <c r="T75" s="249"/>
      <c r="U75" s="182"/>
      <c r="V75" s="183"/>
      <c r="W75" s="184"/>
      <c r="X75" s="184"/>
      <c r="Y75" s="184"/>
      <c r="Z75" s="184"/>
      <c r="AA75" s="184"/>
      <c r="AB75" s="184"/>
      <c r="AC75" s="184"/>
      <c r="AD75" s="184"/>
      <c r="AE75" s="184"/>
      <c r="AF75" s="184"/>
      <c r="AG75" s="184"/>
      <c r="AH75" s="291"/>
      <c r="AI75" s="580"/>
      <c r="AJ75" s="444">
        <f t="shared" si="83"/>
        <v>-1</v>
      </c>
      <c r="AK75" s="408"/>
    </row>
    <row r="76" spans="1:37" x14ac:dyDescent="0.25">
      <c r="A76" s="58">
        <f>'งบกำไรขาดทุน ปี 2025'!A76</f>
        <v>60200001</v>
      </c>
      <c r="B76" s="16" t="str">
        <f>'งบกำไรขาดทุน ปี 2025'!B76</f>
        <v>ค่าบริการสอบเทียบ</v>
      </c>
      <c r="C76" s="20">
        <f>'งบกำไรขาดทุน ปี 2025'!O76</f>
        <v>0</v>
      </c>
      <c r="D76" s="21">
        <f t="shared" si="15"/>
        <v>0</v>
      </c>
      <c r="E76" s="141">
        <f>D76*$E$5</f>
        <v>0</v>
      </c>
      <c r="F76" s="221" t="e">
        <f>E76/$E$18</f>
        <v>#DIV/0!</v>
      </c>
      <c r="G76" s="458" t="e">
        <f>F76</f>
        <v>#DIV/0!</v>
      </c>
      <c r="H76" s="584" t="s">
        <v>661</v>
      </c>
      <c r="I76" s="137" t="e">
        <f>((I$18*(+$G76)))</f>
        <v>#DIV/0!</v>
      </c>
      <c r="J76" s="105" t="e">
        <f t="shared" ref="J76:T76" si="85">((J$18*(+$G76)))</f>
        <v>#DIV/0!</v>
      </c>
      <c r="K76" s="105" t="e">
        <f t="shared" si="85"/>
        <v>#DIV/0!</v>
      </c>
      <c r="L76" s="105" t="e">
        <f t="shared" si="85"/>
        <v>#DIV/0!</v>
      </c>
      <c r="M76" s="105" t="e">
        <f t="shared" si="85"/>
        <v>#DIV/0!</v>
      </c>
      <c r="N76" s="233" t="e">
        <f t="shared" si="85"/>
        <v>#DIV/0!</v>
      </c>
      <c r="O76" s="137" t="e">
        <f t="shared" si="85"/>
        <v>#DIV/0!</v>
      </c>
      <c r="P76" s="105" t="e">
        <f t="shared" si="85"/>
        <v>#DIV/0!</v>
      </c>
      <c r="Q76" s="105" t="e">
        <f t="shared" si="85"/>
        <v>#DIV/0!</v>
      </c>
      <c r="R76" s="105" t="e">
        <f t="shared" si="85"/>
        <v>#DIV/0!</v>
      </c>
      <c r="S76" s="105" t="e">
        <f t="shared" si="85"/>
        <v>#DIV/0!</v>
      </c>
      <c r="T76" s="246" t="e">
        <f t="shared" si="85"/>
        <v>#DIV/0!</v>
      </c>
      <c r="U76" s="154" t="e">
        <f t="shared" si="82"/>
        <v>#DIV/0!</v>
      </c>
      <c r="V76" s="91" t="e">
        <f>I76/$I$18</f>
        <v>#DIV/0!</v>
      </c>
      <c r="W76" s="55" t="e">
        <f>J76/$J$18</f>
        <v>#DIV/0!</v>
      </c>
      <c r="X76" s="55" t="e">
        <f>K76/$K$18</f>
        <v>#DIV/0!</v>
      </c>
      <c r="Y76" s="55" t="e">
        <f>L76/$L$18</f>
        <v>#DIV/0!</v>
      </c>
      <c r="Z76" s="55" t="e">
        <f>M76/$M$18</f>
        <v>#DIV/0!</v>
      </c>
      <c r="AA76" s="55" t="e">
        <f>N76/$N$18</f>
        <v>#DIV/0!</v>
      </c>
      <c r="AB76" s="55" t="e">
        <f>O76/$O$18</f>
        <v>#DIV/0!</v>
      </c>
      <c r="AC76" s="55" t="e">
        <f>P76/$P$18</f>
        <v>#DIV/0!</v>
      </c>
      <c r="AD76" s="55" t="e">
        <f>Q76/$Q$18</f>
        <v>#DIV/0!</v>
      </c>
      <c r="AE76" s="55" t="e">
        <f>R76/$R$18</f>
        <v>#DIV/0!</v>
      </c>
      <c r="AF76" s="55" t="e">
        <f>S76/$S$18</f>
        <v>#DIV/0!</v>
      </c>
      <c r="AG76" s="55" t="e">
        <f>T76/$T$18</f>
        <v>#DIV/0!</v>
      </c>
      <c r="AH76" s="288" t="e">
        <f>U76/$U$18</f>
        <v>#DIV/0!</v>
      </c>
      <c r="AJ76" s="444">
        <f t="shared" si="83"/>
        <v>-1</v>
      </c>
      <c r="AK76" s="408"/>
    </row>
    <row r="77" spans="1:37" x14ac:dyDescent="0.25">
      <c r="A77" s="58">
        <f>'งบกำไรขาดทุน ปี 2025'!A77</f>
        <v>60200003</v>
      </c>
      <c r="B77" s="16" t="str">
        <f>'งบกำไรขาดทุน ปี 2025'!B77</f>
        <v>ค่าธรรมเนียมอื่นๆ</v>
      </c>
      <c r="C77" s="20">
        <f>'งบกำไรขาดทุน ปี 2025'!O77</f>
        <v>0</v>
      </c>
      <c r="D77" s="21">
        <f t="shared" ref="D77:D140" si="86">C77/$C$5</f>
        <v>0</v>
      </c>
      <c r="E77" s="141">
        <f>D77*$E$5</f>
        <v>0</v>
      </c>
      <c r="F77" s="221" t="e">
        <f t="shared" ref="F77:F140" si="87">E77/$E$18</f>
        <v>#DIV/0!</v>
      </c>
      <c r="G77" s="458" t="e">
        <f>F77</f>
        <v>#DIV/0!</v>
      </c>
      <c r="H77" s="584" t="s">
        <v>661</v>
      </c>
      <c r="I77" s="137" t="e">
        <f t="shared" ref="I77:T78" si="88">((I$18*(+$G77)))</f>
        <v>#DIV/0!</v>
      </c>
      <c r="J77" s="105" t="e">
        <f t="shared" si="88"/>
        <v>#DIV/0!</v>
      </c>
      <c r="K77" s="105" t="e">
        <f t="shared" si="88"/>
        <v>#DIV/0!</v>
      </c>
      <c r="L77" s="105" t="e">
        <f t="shared" si="88"/>
        <v>#DIV/0!</v>
      </c>
      <c r="M77" s="105" t="e">
        <f t="shared" si="88"/>
        <v>#DIV/0!</v>
      </c>
      <c r="N77" s="233" t="e">
        <f t="shared" si="88"/>
        <v>#DIV/0!</v>
      </c>
      <c r="O77" s="137" t="e">
        <f t="shared" si="88"/>
        <v>#DIV/0!</v>
      </c>
      <c r="P77" s="105" t="e">
        <f t="shared" si="88"/>
        <v>#DIV/0!</v>
      </c>
      <c r="Q77" s="105" t="e">
        <f t="shared" si="88"/>
        <v>#DIV/0!</v>
      </c>
      <c r="R77" s="105" t="e">
        <f t="shared" si="88"/>
        <v>#DIV/0!</v>
      </c>
      <c r="S77" s="105" t="e">
        <f t="shared" si="88"/>
        <v>#DIV/0!</v>
      </c>
      <c r="T77" s="246" t="e">
        <f t="shared" si="88"/>
        <v>#DIV/0!</v>
      </c>
      <c r="U77" s="154" t="e">
        <f t="shared" si="82"/>
        <v>#DIV/0!</v>
      </c>
      <c r="V77" s="91" t="e">
        <f t="shared" ref="V77:V140" si="89">I77/$I$18</f>
        <v>#DIV/0!</v>
      </c>
      <c r="W77" s="55" t="e">
        <f t="shared" ref="W77:W140" si="90">J77/$J$18</f>
        <v>#DIV/0!</v>
      </c>
      <c r="X77" s="55" t="e">
        <f t="shared" ref="X77:X140" si="91">K77/$K$18</f>
        <v>#DIV/0!</v>
      </c>
      <c r="Y77" s="55" t="e">
        <f t="shared" ref="Y77:Y140" si="92">L77/$L$18</f>
        <v>#DIV/0!</v>
      </c>
      <c r="Z77" s="55" t="e">
        <f t="shared" ref="Z77:Z140" si="93">M77/$M$18</f>
        <v>#DIV/0!</v>
      </c>
      <c r="AA77" s="55" t="e">
        <f t="shared" ref="AA77:AA140" si="94">N77/$N$18</f>
        <v>#DIV/0!</v>
      </c>
      <c r="AB77" s="55" t="e">
        <f t="shared" ref="AB77:AB140" si="95">O77/$O$18</f>
        <v>#DIV/0!</v>
      </c>
      <c r="AC77" s="55" t="e">
        <f t="shared" ref="AC77:AC140" si="96">P77/$P$18</f>
        <v>#DIV/0!</v>
      </c>
      <c r="AD77" s="55" t="e">
        <f t="shared" ref="AD77:AD140" si="97">Q77/$Q$18</f>
        <v>#DIV/0!</v>
      </c>
      <c r="AE77" s="55" t="e">
        <f t="shared" ref="AE77:AE140" si="98">R77/$R$18</f>
        <v>#DIV/0!</v>
      </c>
      <c r="AF77" s="55" t="e">
        <f t="shared" ref="AF77:AF140" si="99">S77/$S$18</f>
        <v>#DIV/0!</v>
      </c>
      <c r="AG77" s="55" t="e">
        <f t="shared" ref="AG77:AG140" si="100">T77/$T$18</f>
        <v>#DIV/0!</v>
      </c>
      <c r="AH77" s="288" t="e">
        <f t="shared" ref="AH77:AH140" si="101">U77/$U$18</f>
        <v>#DIV/0!</v>
      </c>
      <c r="AI77" s="582" t="s">
        <v>632</v>
      </c>
      <c r="AJ77" s="444">
        <f t="shared" si="83"/>
        <v>-1</v>
      </c>
      <c r="AK77" s="408"/>
    </row>
    <row r="78" spans="1:37" x14ac:dyDescent="0.25">
      <c r="A78" s="58">
        <f>'งบกำไรขาดทุน ปี 2025'!A78</f>
        <v>60200002</v>
      </c>
      <c r="B78" s="16" t="str">
        <f>'งบกำไรขาดทุน ปี 2025'!B78</f>
        <v>ค่าธรรมเนียมธนาคาร</v>
      </c>
      <c r="C78" s="121">
        <f>'งบกำไรขาดทุน ปี 2025'!O78</f>
        <v>0</v>
      </c>
      <c r="D78" s="136">
        <f t="shared" si="86"/>
        <v>0</v>
      </c>
      <c r="E78" s="145">
        <f>D78*$E$5</f>
        <v>0</v>
      </c>
      <c r="F78" s="96" t="e">
        <f t="shared" si="87"/>
        <v>#DIV/0!</v>
      </c>
      <c r="G78" s="458">
        <v>0.01</v>
      </c>
      <c r="H78" s="584" t="s">
        <v>661</v>
      </c>
      <c r="I78" s="138">
        <f t="shared" si="88"/>
        <v>0</v>
      </c>
      <c r="J78" s="106">
        <f t="shared" si="88"/>
        <v>0</v>
      </c>
      <c r="K78" s="106">
        <f t="shared" si="88"/>
        <v>0</v>
      </c>
      <c r="L78" s="106">
        <f t="shared" si="88"/>
        <v>0</v>
      </c>
      <c r="M78" s="106">
        <f t="shared" si="88"/>
        <v>0</v>
      </c>
      <c r="N78" s="239">
        <f t="shared" si="88"/>
        <v>0</v>
      </c>
      <c r="O78" s="138">
        <f t="shared" si="88"/>
        <v>0</v>
      </c>
      <c r="P78" s="106">
        <f t="shared" si="88"/>
        <v>0</v>
      </c>
      <c r="Q78" s="106">
        <f t="shared" si="88"/>
        <v>0</v>
      </c>
      <c r="R78" s="106">
        <f t="shared" si="88"/>
        <v>0</v>
      </c>
      <c r="S78" s="106">
        <f t="shared" si="88"/>
        <v>0</v>
      </c>
      <c r="T78" s="252">
        <f t="shared" si="88"/>
        <v>0</v>
      </c>
      <c r="U78" s="157">
        <f t="shared" si="82"/>
        <v>0</v>
      </c>
      <c r="V78" s="92" t="e">
        <f t="shared" si="89"/>
        <v>#DIV/0!</v>
      </c>
      <c r="W78" s="93" t="e">
        <f t="shared" si="90"/>
        <v>#DIV/0!</v>
      </c>
      <c r="X78" s="93" t="e">
        <f t="shared" si="91"/>
        <v>#DIV/0!</v>
      </c>
      <c r="Y78" s="93" t="e">
        <f t="shared" si="92"/>
        <v>#DIV/0!</v>
      </c>
      <c r="Z78" s="93" t="e">
        <f t="shared" si="93"/>
        <v>#DIV/0!</v>
      </c>
      <c r="AA78" s="93" t="e">
        <f t="shared" si="94"/>
        <v>#DIV/0!</v>
      </c>
      <c r="AB78" s="93" t="e">
        <f t="shared" si="95"/>
        <v>#DIV/0!</v>
      </c>
      <c r="AC78" s="93" t="e">
        <f t="shared" si="96"/>
        <v>#DIV/0!</v>
      </c>
      <c r="AD78" s="93" t="e">
        <f t="shared" si="97"/>
        <v>#DIV/0!</v>
      </c>
      <c r="AE78" s="93" t="e">
        <f t="shared" si="98"/>
        <v>#DIV/0!</v>
      </c>
      <c r="AF78" s="93" t="e">
        <f t="shared" si="99"/>
        <v>#DIV/0!</v>
      </c>
      <c r="AG78" s="93" t="e">
        <f t="shared" si="100"/>
        <v>#DIV/0!</v>
      </c>
      <c r="AH78" s="294" t="e">
        <f t="shared" si="101"/>
        <v>#DIV/0!</v>
      </c>
      <c r="AI78" s="582" t="s">
        <v>632</v>
      </c>
      <c r="AJ78" s="444">
        <f t="shared" si="83"/>
        <v>-1</v>
      </c>
      <c r="AK78" s="408"/>
    </row>
    <row r="79" spans="1:37" s="12" customFormat="1" x14ac:dyDescent="0.25">
      <c r="A79" s="161">
        <f>'งบกำไรขาดทุน ปี 2025'!A79</f>
        <v>0</v>
      </c>
      <c r="B79" s="15" t="str">
        <f>'งบกำไรขาดทุน ปี 2025'!B79</f>
        <v>รวมค่าธรรมเนียม</v>
      </c>
      <c r="C79" s="26">
        <f>'งบกำไรขาดทุน ปี 2025'!O79</f>
        <v>0</v>
      </c>
      <c r="D79" s="27">
        <f t="shared" si="86"/>
        <v>0</v>
      </c>
      <c r="E79" s="146">
        <f>D79*$E$5</f>
        <v>0</v>
      </c>
      <c r="F79" s="224" t="e">
        <f t="shared" si="87"/>
        <v>#DIV/0!</v>
      </c>
      <c r="G79" s="224"/>
      <c r="H79" s="582"/>
      <c r="I79" s="139" t="e">
        <f t="shared" ref="I79:U79" si="102">SUM(I76:I78)</f>
        <v>#DIV/0!</v>
      </c>
      <c r="J79" s="107" t="e">
        <f t="shared" si="102"/>
        <v>#DIV/0!</v>
      </c>
      <c r="K79" s="107" t="e">
        <f t="shared" si="102"/>
        <v>#DIV/0!</v>
      </c>
      <c r="L79" s="107" t="e">
        <f t="shared" si="102"/>
        <v>#DIV/0!</v>
      </c>
      <c r="M79" s="107" t="e">
        <f t="shared" si="102"/>
        <v>#DIV/0!</v>
      </c>
      <c r="N79" s="235" t="e">
        <f t="shared" si="102"/>
        <v>#DIV/0!</v>
      </c>
      <c r="O79" s="139" t="e">
        <f t="shared" si="102"/>
        <v>#DIV/0!</v>
      </c>
      <c r="P79" s="107" t="e">
        <f t="shared" si="102"/>
        <v>#DIV/0!</v>
      </c>
      <c r="Q79" s="107" t="e">
        <f t="shared" si="102"/>
        <v>#DIV/0!</v>
      </c>
      <c r="R79" s="107" t="e">
        <f t="shared" si="102"/>
        <v>#DIV/0!</v>
      </c>
      <c r="S79" s="107" t="e">
        <f t="shared" si="102"/>
        <v>#DIV/0!</v>
      </c>
      <c r="T79" s="248" t="e">
        <f t="shared" si="102"/>
        <v>#DIV/0!</v>
      </c>
      <c r="U79" s="107" t="e">
        <f t="shared" si="102"/>
        <v>#DIV/0!</v>
      </c>
      <c r="V79" s="94" t="e">
        <f t="shared" si="89"/>
        <v>#DIV/0!</v>
      </c>
      <c r="W79" s="56" t="e">
        <f t="shared" si="90"/>
        <v>#DIV/0!</v>
      </c>
      <c r="X79" s="56" t="e">
        <f t="shared" si="91"/>
        <v>#DIV/0!</v>
      </c>
      <c r="Y79" s="56" t="e">
        <f t="shared" si="92"/>
        <v>#DIV/0!</v>
      </c>
      <c r="Z79" s="56" t="e">
        <f t="shared" si="93"/>
        <v>#DIV/0!</v>
      </c>
      <c r="AA79" s="56" t="e">
        <f t="shared" si="94"/>
        <v>#DIV/0!</v>
      </c>
      <c r="AB79" s="56" t="e">
        <f t="shared" si="95"/>
        <v>#DIV/0!</v>
      </c>
      <c r="AC79" s="56" t="e">
        <f t="shared" si="96"/>
        <v>#DIV/0!</v>
      </c>
      <c r="AD79" s="56" t="e">
        <f t="shared" si="97"/>
        <v>#DIV/0!</v>
      </c>
      <c r="AE79" s="56" t="e">
        <f t="shared" si="98"/>
        <v>#DIV/0!</v>
      </c>
      <c r="AF79" s="56" t="e">
        <f t="shared" si="99"/>
        <v>#DIV/0!</v>
      </c>
      <c r="AG79" s="56" t="e">
        <f t="shared" si="100"/>
        <v>#DIV/0!</v>
      </c>
      <c r="AH79" s="290" t="e">
        <f t="shared" si="101"/>
        <v>#DIV/0!</v>
      </c>
      <c r="AI79" s="582"/>
      <c r="AJ79" s="444">
        <f t="shared" si="83"/>
        <v>-1</v>
      </c>
      <c r="AK79" s="408"/>
    </row>
    <row r="80" spans="1:37" x14ac:dyDescent="0.25">
      <c r="A80" s="58">
        <f>'งบกำไรขาดทุน ปี 2025'!A80</f>
        <v>0</v>
      </c>
      <c r="B80" s="16" t="str">
        <f>'งบกำไรขาดทุน ปี 2025'!B80</f>
        <v>วัสดุสิ้นเปลือง</v>
      </c>
      <c r="C80" s="215">
        <f>'งบกำไรขาดทุน ปี 2025'!O80</f>
        <v>0</v>
      </c>
      <c r="D80" s="188"/>
      <c r="E80" s="189"/>
      <c r="F80" s="225"/>
      <c r="G80" s="225"/>
      <c r="H80" s="580"/>
      <c r="I80" s="190"/>
      <c r="J80" s="181"/>
      <c r="K80" s="181"/>
      <c r="L80" s="181"/>
      <c r="M80" s="181"/>
      <c r="N80" s="236"/>
      <c r="O80" s="190"/>
      <c r="P80" s="181"/>
      <c r="Q80" s="181"/>
      <c r="R80" s="181"/>
      <c r="S80" s="181"/>
      <c r="T80" s="249"/>
      <c r="U80" s="182"/>
      <c r="V80" s="183"/>
      <c r="W80" s="184"/>
      <c r="X80" s="184"/>
      <c r="Y80" s="184"/>
      <c r="Z80" s="184"/>
      <c r="AA80" s="184"/>
      <c r="AB80" s="184"/>
      <c r="AC80" s="184"/>
      <c r="AD80" s="184"/>
      <c r="AE80" s="184"/>
      <c r="AF80" s="184"/>
      <c r="AG80" s="184"/>
      <c r="AH80" s="291"/>
      <c r="AI80" s="580"/>
      <c r="AJ80" s="444">
        <f t="shared" si="83"/>
        <v>-1</v>
      </c>
      <c r="AK80" s="408"/>
    </row>
    <row r="81" spans="1:37" x14ac:dyDescent="0.25">
      <c r="A81" s="58">
        <f>'งบกำไรขาดทุน ปี 2025'!A81</f>
        <v>60300001</v>
      </c>
      <c r="B81" s="16" t="str">
        <f>'งบกำไรขาดทุน ปี 2025'!B81</f>
        <v>ค่าเครื่องเขียนแบบพิมพ์</v>
      </c>
      <c r="C81" s="20">
        <f>'งบกำไรขาดทุน ปี 2025'!O81</f>
        <v>0</v>
      </c>
      <c r="D81" s="21">
        <f t="shared" si="86"/>
        <v>0</v>
      </c>
      <c r="E81" s="141">
        <f>D81*$E$5</f>
        <v>0</v>
      </c>
      <c r="F81" s="221" t="e">
        <f>E81/$E$18</f>
        <v>#DIV/0!</v>
      </c>
      <c r="G81" s="458">
        <v>5.0000000000000001E-4</v>
      </c>
      <c r="H81" s="584" t="s">
        <v>661</v>
      </c>
      <c r="I81" s="137">
        <f t="shared" ref="I81:T83" si="103">((I$18*(+$G81)))</f>
        <v>0</v>
      </c>
      <c r="J81" s="105">
        <f t="shared" si="103"/>
        <v>0</v>
      </c>
      <c r="K81" s="105">
        <f t="shared" si="103"/>
        <v>0</v>
      </c>
      <c r="L81" s="105">
        <f t="shared" si="103"/>
        <v>0</v>
      </c>
      <c r="M81" s="105">
        <f t="shared" si="103"/>
        <v>0</v>
      </c>
      <c r="N81" s="233">
        <f t="shared" si="103"/>
        <v>0</v>
      </c>
      <c r="O81" s="137">
        <f t="shared" si="103"/>
        <v>0</v>
      </c>
      <c r="P81" s="105">
        <f t="shared" si="103"/>
        <v>0</v>
      </c>
      <c r="Q81" s="105">
        <f t="shared" si="103"/>
        <v>0</v>
      </c>
      <c r="R81" s="105">
        <f t="shared" si="103"/>
        <v>0</v>
      </c>
      <c r="S81" s="105">
        <f t="shared" si="103"/>
        <v>0</v>
      </c>
      <c r="T81" s="246">
        <f t="shared" si="103"/>
        <v>0</v>
      </c>
      <c r="U81" s="154">
        <f t="shared" si="82"/>
        <v>0</v>
      </c>
      <c r="V81" s="91" t="e">
        <f t="shared" si="89"/>
        <v>#DIV/0!</v>
      </c>
      <c r="W81" s="55" t="e">
        <f t="shared" si="90"/>
        <v>#DIV/0!</v>
      </c>
      <c r="X81" s="55" t="e">
        <f t="shared" si="91"/>
        <v>#DIV/0!</v>
      </c>
      <c r="Y81" s="55" t="e">
        <f t="shared" si="92"/>
        <v>#DIV/0!</v>
      </c>
      <c r="Z81" s="55" t="e">
        <f t="shared" si="93"/>
        <v>#DIV/0!</v>
      </c>
      <c r="AA81" s="55" t="e">
        <f t="shared" si="94"/>
        <v>#DIV/0!</v>
      </c>
      <c r="AB81" s="55" t="e">
        <f t="shared" si="95"/>
        <v>#DIV/0!</v>
      </c>
      <c r="AC81" s="55" t="e">
        <f t="shared" si="96"/>
        <v>#DIV/0!</v>
      </c>
      <c r="AD81" s="55" t="e">
        <f t="shared" si="97"/>
        <v>#DIV/0!</v>
      </c>
      <c r="AE81" s="55" t="e">
        <f t="shared" si="98"/>
        <v>#DIV/0!</v>
      </c>
      <c r="AF81" s="55" t="e">
        <f t="shared" si="99"/>
        <v>#DIV/0!</v>
      </c>
      <c r="AG81" s="55" t="e">
        <f t="shared" si="100"/>
        <v>#DIV/0!</v>
      </c>
      <c r="AH81" s="288" t="e">
        <f t="shared" si="101"/>
        <v>#DIV/0!</v>
      </c>
      <c r="AI81" s="582" t="s">
        <v>632</v>
      </c>
      <c r="AJ81" s="444">
        <f t="shared" si="83"/>
        <v>-1</v>
      </c>
      <c r="AK81" s="408"/>
    </row>
    <row r="82" spans="1:37" x14ac:dyDescent="0.25">
      <c r="A82" s="58">
        <f>'งบกำไรขาดทุน ปี 2025'!A82</f>
        <v>60300002</v>
      </c>
      <c r="B82" s="16" t="str">
        <f>'งบกำไรขาดทุน ปี 2025'!B82</f>
        <v>ค่าอุปกรณ์สำนักงาน-ของใช้สิ้นเปลือง</v>
      </c>
      <c r="C82" s="20">
        <f>'งบกำไรขาดทุน ปี 2025'!O82</f>
        <v>0</v>
      </c>
      <c r="D82" s="21">
        <f t="shared" si="86"/>
        <v>0</v>
      </c>
      <c r="E82" s="141">
        <f>D82*$E$5</f>
        <v>0</v>
      </c>
      <c r="F82" s="221" t="e">
        <f t="shared" si="87"/>
        <v>#DIV/0!</v>
      </c>
      <c r="G82" s="458">
        <v>1.9E-2</v>
      </c>
      <c r="H82" s="584" t="s">
        <v>661</v>
      </c>
      <c r="I82" s="137">
        <f t="shared" si="103"/>
        <v>0</v>
      </c>
      <c r="J82" s="105">
        <f t="shared" si="103"/>
        <v>0</v>
      </c>
      <c r="K82" s="105">
        <f t="shared" si="103"/>
        <v>0</v>
      </c>
      <c r="L82" s="105">
        <f t="shared" si="103"/>
        <v>0</v>
      </c>
      <c r="M82" s="105">
        <f t="shared" si="103"/>
        <v>0</v>
      </c>
      <c r="N82" s="233">
        <f t="shared" si="103"/>
        <v>0</v>
      </c>
      <c r="O82" s="137">
        <f t="shared" si="103"/>
        <v>0</v>
      </c>
      <c r="P82" s="105">
        <f t="shared" si="103"/>
        <v>0</v>
      </c>
      <c r="Q82" s="105">
        <f t="shared" si="103"/>
        <v>0</v>
      </c>
      <c r="R82" s="105">
        <f t="shared" si="103"/>
        <v>0</v>
      </c>
      <c r="S82" s="105">
        <f t="shared" si="103"/>
        <v>0</v>
      </c>
      <c r="T82" s="246">
        <f t="shared" si="103"/>
        <v>0</v>
      </c>
      <c r="U82" s="154">
        <f t="shared" si="82"/>
        <v>0</v>
      </c>
      <c r="V82" s="91" t="e">
        <f t="shared" si="89"/>
        <v>#DIV/0!</v>
      </c>
      <c r="W82" s="55" t="e">
        <f t="shared" si="90"/>
        <v>#DIV/0!</v>
      </c>
      <c r="X82" s="55" t="e">
        <f t="shared" si="91"/>
        <v>#DIV/0!</v>
      </c>
      <c r="Y82" s="55" t="e">
        <f t="shared" si="92"/>
        <v>#DIV/0!</v>
      </c>
      <c r="Z82" s="55" t="e">
        <f t="shared" si="93"/>
        <v>#DIV/0!</v>
      </c>
      <c r="AA82" s="55" t="e">
        <f t="shared" si="94"/>
        <v>#DIV/0!</v>
      </c>
      <c r="AB82" s="55" t="e">
        <f t="shared" si="95"/>
        <v>#DIV/0!</v>
      </c>
      <c r="AC82" s="55" t="e">
        <f t="shared" si="96"/>
        <v>#DIV/0!</v>
      </c>
      <c r="AD82" s="55" t="e">
        <f t="shared" si="97"/>
        <v>#DIV/0!</v>
      </c>
      <c r="AE82" s="55" t="e">
        <f t="shared" si="98"/>
        <v>#DIV/0!</v>
      </c>
      <c r="AF82" s="55" t="e">
        <f t="shared" si="99"/>
        <v>#DIV/0!</v>
      </c>
      <c r="AG82" s="55" t="e">
        <f t="shared" si="100"/>
        <v>#DIV/0!</v>
      </c>
      <c r="AH82" s="288" t="e">
        <f t="shared" si="101"/>
        <v>#DIV/0!</v>
      </c>
      <c r="AI82" s="582" t="s">
        <v>632</v>
      </c>
      <c r="AJ82" s="444">
        <f t="shared" si="83"/>
        <v>-1</v>
      </c>
      <c r="AK82" s="408"/>
    </row>
    <row r="83" spans="1:37" x14ac:dyDescent="0.25">
      <c r="A83" s="58">
        <f>'งบกำไรขาดทุน ปี 2025'!A83</f>
        <v>60300005</v>
      </c>
      <c r="B83" s="16" t="str">
        <f>'งบกำไรขาดทุน ปี 2025'!B83</f>
        <v>ค่าเช่าเครื่องถ่ายเอกสาร</v>
      </c>
      <c r="C83" s="121">
        <f>'งบกำไรขาดทุน ปี 2025'!O83</f>
        <v>0</v>
      </c>
      <c r="D83" s="136">
        <f t="shared" si="86"/>
        <v>0</v>
      </c>
      <c r="E83" s="145">
        <f>D83*$E$5</f>
        <v>0</v>
      </c>
      <c r="F83" s="96" t="e">
        <f t="shared" si="87"/>
        <v>#DIV/0!</v>
      </c>
      <c r="G83" s="459">
        <v>5.0000000000000001E-4</v>
      </c>
      <c r="H83" s="584" t="s">
        <v>661</v>
      </c>
      <c r="I83" s="138">
        <f t="shared" si="103"/>
        <v>0</v>
      </c>
      <c r="J83" s="106">
        <f t="shared" si="103"/>
        <v>0</v>
      </c>
      <c r="K83" s="106">
        <f t="shared" si="103"/>
        <v>0</v>
      </c>
      <c r="L83" s="106">
        <f t="shared" si="103"/>
        <v>0</v>
      </c>
      <c r="M83" s="106">
        <f t="shared" si="103"/>
        <v>0</v>
      </c>
      <c r="N83" s="239">
        <f t="shared" si="103"/>
        <v>0</v>
      </c>
      <c r="O83" s="138">
        <f t="shared" si="103"/>
        <v>0</v>
      </c>
      <c r="P83" s="106">
        <f t="shared" si="103"/>
        <v>0</v>
      </c>
      <c r="Q83" s="106">
        <f t="shared" si="103"/>
        <v>0</v>
      </c>
      <c r="R83" s="106">
        <f t="shared" si="103"/>
        <v>0</v>
      </c>
      <c r="S83" s="106">
        <f t="shared" si="103"/>
        <v>0</v>
      </c>
      <c r="T83" s="252">
        <f t="shared" si="103"/>
        <v>0</v>
      </c>
      <c r="U83" s="157">
        <f t="shared" si="82"/>
        <v>0</v>
      </c>
      <c r="V83" s="92" t="e">
        <f t="shared" si="89"/>
        <v>#DIV/0!</v>
      </c>
      <c r="W83" s="93" t="e">
        <f t="shared" si="90"/>
        <v>#DIV/0!</v>
      </c>
      <c r="X83" s="93" t="e">
        <f t="shared" si="91"/>
        <v>#DIV/0!</v>
      </c>
      <c r="Y83" s="93" t="e">
        <f t="shared" si="92"/>
        <v>#DIV/0!</v>
      </c>
      <c r="Z83" s="93" t="e">
        <f t="shared" si="93"/>
        <v>#DIV/0!</v>
      </c>
      <c r="AA83" s="93" t="e">
        <f t="shared" si="94"/>
        <v>#DIV/0!</v>
      </c>
      <c r="AB83" s="93" t="e">
        <f t="shared" si="95"/>
        <v>#DIV/0!</v>
      </c>
      <c r="AC83" s="93" t="e">
        <f t="shared" si="96"/>
        <v>#DIV/0!</v>
      </c>
      <c r="AD83" s="93" t="e">
        <f t="shared" si="97"/>
        <v>#DIV/0!</v>
      </c>
      <c r="AE83" s="93" t="e">
        <f t="shared" si="98"/>
        <v>#DIV/0!</v>
      </c>
      <c r="AF83" s="93" t="e">
        <f t="shared" si="99"/>
        <v>#DIV/0!</v>
      </c>
      <c r="AG83" s="93" t="e">
        <f t="shared" si="100"/>
        <v>#DIV/0!</v>
      </c>
      <c r="AH83" s="294" t="e">
        <f t="shared" si="101"/>
        <v>#DIV/0!</v>
      </c>
      <c r="AI83" s="582" t="s">
        <v>632</v>
      </c>
      <c r="AJ83" s="444">
        <f t="shared" si="83"/>
        <v>-1</v>
      </c>
      <c r="AK83" s="408"/>
    </row>
    <row r="84" spans="1:37" s="12" customFormat="1" x14ac:dyDescent="0.25">
      <c r="A84" s="161">
        <f>'งบกำไรขาดทุน ปี 2025'!A84</f>
        <v>0</v>
      </c>
      <c r="B84" s="15" t="str">
        <f>'งบกำไรขาดทุน ปี 2025'!B84</f>
        <v>รวมวัสดุสิ้นเปลือง</v>
      </c>
      <c r="C84" s="26">
        <f>'งบกำไรขาดทุน ปี 2025'!O84</f>
        <v>0</v>
      </c>
      <c r="D84" s="27">
        <f t="shared" si="86"/>
        <v>0</v>
      </c>
      <c r="E84" s="146">
        <f>D84*$E$5</f>
        <v>0</v>
      </c>
      <c r="F84" s="224" t="e">
        <f>SUM(F81:F83)</f>
        <v>#DIV/0!</v>
      </c>
      <c r="G84" s="224"/>
      <c r="H84" s="582"/>
      <c r="I84" s="139">
        <f t="shared" ref="I84:U84" si="104">SUM(I81:I83)</f>
        <v>0</v>
      </c>
      <c r="J84" s="107">
        <f t="shared" si="104"/>
        <v>0</v>
      </c>
      <c r="K84" s="107">
        <f t="shared" si="104"/>
        <v>0</v>
      </c>
      <c r="L84" s="107">
        <f t="shared" si="104"/>
        <v>0</v>
      </c>
      <c r="M84" s="107">
        <f t="shared" si="104"/>
        <v>0</v>
      </c>
      <c r="N84" s="235">
        <f t="shared" si="104"/>
        <v>0</v>
      </c>
      <c r="O84" s="139">
        <f t="shared" si="104"/>
        <v>0</v>
      </c>
      <c r="P84" s="107">
        <f t="shared" si="104"/>
        <v>0</v>
      </c>
      <c r="Q84" s="107">
        <f t="shared" si="104"/>
        <v>0</v>
      </c>
      <c r="R84" s="107">
        <f t="shared" si="104"/>
        <v>0</v>
      </c>
      <c r="S84" s="107">
        <f t="shared" si="104"/>
        <v>0</v>
      </c>
      <c r="T84" s="248">
        <f t="shared" si="104"/>
        <v>0</v>
      </c>
      <c r="U84" s="107">
        <f t="shared" si="104"/>
        <v>0</v>
      </c>
      <c r="V84" s="94" t="e">
        <f t="shared" si="89"/>
        <v>#DIV/0!</v>
      </c>
      <c r="W84" s="56" t="e">
        <f t="shared" si="90"/>
        <v>#DIV/0!</v>
      </c>
      <c r="X84" s="56" t="e">
        <f t="shared" si="91"/>
        <v>#DIV/0!</v>
      </c>
      <c r="Y84" s="56" t="e">
        <f t="shared" si="92"/>
        <v>#DIV/0!</v>
      </c>
      <c r="Z84" s="56" t="e">
        <f t="shared" si="93"/>
        <v>#DIV/0!</v>
      </c>
      <c r="AA84" s="56" t="e">
        <f t="shared" si="94"/>
        <v>#DIV/0!</v>
      </c>
      <c r="AB84" s="56" t="e">
        <f t="shared" si="95"/>
        <v>#DIV/0!</v>
      </c>
      <c r="AC84" s="56" t="e">
        <f t="shared" si="96"/>
        <v>#DIV/0!</v>
      </c>
      <c r="AD84" s="56" t="e">
        <f t="shared" si="97"/>
        <v>#DIV/0!</v>
      </c>
      <c r="AE84" s="56" t="e">
        <f t="shared" si="98"/>
        <v>#DIV/0!</v>
      </c>
      <c r="AF84" s="56" t="e">
        <f t="shared" si="99"/>
        <v>#DIV/0!</v>
      </c>
      <c r="AG84" s="56" t="e">
        <f t="shared" si="100"/>
        <v>#DIV/0!</v>
      </c>
      <c r="AH84" s="290" t="e">
        <f t="shared" si="101"/>
        <v>#DIV/0!</v>
      </c>
      <c r="AI84" s="582"/>
      <c r="AJ84" s="444">
        <f t="shared" si="83"/>
        <v>-1</v>
      </c>
      <c r="AK84" s="408"/>
    </row>
    <row r="85" spans="1:37" x14ac:dyDescent="0.25">
      <c r="A85" s="58">
        <f>'งบกำไรขาดทุน ปี 2025'!A85</f>
        <v>0</v>
      </c>
      <c r="B85" s="16" t="str">
        <f>'งบกำไรขาดทุน ปี 2025'!B85</f>
        <v>ค่่าโฆษณาและส่งเสริมการขาย</v>
      </c>
      <c r="C85" s="215">
        <f>'งบกำไรขาดทุน ปี 2025'!O85</f>
        <v>0</v>
      </c>
      <c r="D85" s="188"/>
      <c r="E85" s="189"/>
      <c r="F85" s="225"/>
      <c r="G85" s="225"/>
      <c r="H85" s="580"/>
      <c r="I85" s="190"/>
      <c r="J85" s="181"/>
      <c r="K85" s="181"/>
      <c r="L85" s="181"/>
      <c r="M85" s="181"/>
      <c r="N85" s="236"/>
      <c r="O85" s="190"/>
      <c r="P85" s="181"/>
      <c r="Q85" s="181"/>
      <c r="R85" s="181"/>
      <c r="S85" s="181"/>
      <c r="T85" s="249"/>
      <c r="U85" s="182"/>
      <c r="V85" s="183"/>
      <c r="W85" s="184"/>
      <c r="X85" s="184"/>
      <c r="Y85" s="184"/>
      <c r="Z85" s="184"/>
      <c r="AA85" s="184"/>
      <c r="AB85" s="184"/>
      <c r="AC85" s="184"/>
      <c r="AD85" s="184"/>
      <c r="AE85" s="184"/>
      <c r="AF85" s="184"/>
      <c r="AG85" s="184"/>
      <c r="AH85" s="291"/>
      <c r="AI85" s="580"/>
      <c r="AJ85" s="444">
        <f t="shared" si="83"/>
        <v>-1</v>
      </c>
      <c r="AK85" s="408"/>
    </row>
    <row r="86" spans="1:37" x14ac:dyDescent="0.25">
      <c r="A86" s="58">
        <f>'งบกำไรขาดทุน ปี 2025'!A86</f>
        <v>60400001</v>
      </c>
      <c r="B86" s="16" t="str">
        <f>'งบกำไรขาดทุน ปี 2025'!B86</f>
        <v>ค่าโฆษณา</v>
      </c>
      <c r="C86" s="20">
        <f>'งบกำไรขาดทุน ปี 2025'!O86</f>
        <v>0</v>
      </c>
      <c r="D86" s="21">
        <f t="shared" si="86"/>
        <v>0</v>
      </c>
      <c r="E86" s="141">
        <f>D86*$E$5</f>
        <v>0</v>
      </c>
      <c r="F86" s="221" t="e">
        <f t="shared" si="87"/>
        <v>#DIV/0!</v>
      </c>
      <c r="G86" s="221"/>
      <c r="H86" s="439" t="s">
        <v>653</v>
      </c>
      <c r="I86" s="137">
        <f>(+'การลงระหว่างเดือน ปี 2026'!AO40)</f>
        <v>0</v>
      </c>
      <c r="J86" s="105">
        <f>(+'การลงระหว่างเดือน ปี 2026'!AP40)</f>
        <v>0</v>
      </c>
      <c r="K86" s="105">
        <f>(+'การลงระหว่างเดือน ปี 2026'!AQ40)</f>
        <v>0</v>
      </c>
      <c r="L86" s="105">
        <f>(+'การลงระหว่างเดือน ปี 2026'!AR40)</f>
        <v>0</v>
      </c>
      <c r="M86" s="105">
        <f>(+'การลงระหว่างเดือน ปี 2026'!AS40)</f>
        <v>0</v>
      </c>
      <c r="N86" s="233">
        <f>(+'การลงระหว่างเดือน ปี 2026'!AT40)</f>
        <v>0</v>
      </c>
      <c r="O86" s="137">
        <f>(+'การลงระหว่างเดือน ปี 2026'!AU40)</f>
        <v>0</v>
      </c>
      <c r="P86" s="105">
        <f>(+'การลงระหว่างเดือน ปี 2026'!AV40)</f>
        <v>0</v>
      </c>
      <c r="Q86" s="105">
        <f>(+'การลงระหว่างเดือน ปี 2026'!AW40)</f>
        <v>0</v>
      </c>
      <c r="R86" s="105">
        <f>(+'การลงระหว่างเดือน ปี 2026'!AX40)</f>
        <v>0</v>
      </c>
      <c r="S86" s="105">
        <f>(+'การลงระหว่างเดือน ปี 2026'!AY40)</f>
        <v>0</v>
      </c>
      <c r="T86" s="246">
        <f>(+'การลงระหว่างเดือน ปี 2026'!AZ40)</f>
        <v>0</v>
      </c>
      <c r="U86" s="154">
        <f t="shared" si="82"/>
        <v>0</v>
      </c>
      <c r="V86" s="91" t="e">
        <f t="shared" si="89"/>
        <v>#DIV/0!</v>
      </c>
      <c r="W86" s="55" t="e">
        <f t="shared" si="90"/>
        <v>#DIV/0!</v>
      </c>
      <c r="X86" s="55" t="e">
        <f t="shared" si="91"/>
        <v>#DIV/0!</v>
      </c>
      <c r="Y86" s="55" t="e">
        <f t="shared" si="92"/>
        <v>#DIV/0!</v>
      </c>
      <c r="Z86" s="55" t="e">
        <f t="shared" si="93"/>
        <v>#DIV/0!</v>
      </c>
      <c r="AA86" s="55" t="e">
        <f t="shared" si="94"/>
        <v>#DIV/0!</v>
      </c>
      <c r="AB86" s="55" t="e">
        <f t="shared" si="95"/>
        <v>#DIV/0!</v>
      </c>
      <c r="AC86" s="55" t="e">
        <f t="shared" si="96"/>
        <v>#DIV/0!</v>
      </c>
      <c r="AD86" s="55" t="e">
        <f t="shared" si="97"/>
        <v>#DIV/0!</v>
      </c>
      <c r="AE86" s="55" t="e">
        <f t="shared" si="98"/>
        <v>#DIV/0!</v>
      </c>
      <c r="AF86" s="55" t="e">
        <f t="shared" si="99"/>
        <v>#DIV/0!</v>
      </c>
      <c r="AG86" s="55" t="e">
        <f t="shared" si="100"/>
        <v>#DIV/0!</v>
      </c>
      <c r="AH86" s="288" t="e">
        <f t="shared" si="101"/>
        <v>#DIV/0!</v>
      </c>
      <c r="AI86" s="582" t="s">
        <v>632</v>
      </c>
      <c r="AJ86" s="444">
        <f t="shared" si="83"/>
        <v>-1</v>
      </c>
      <c r="AK86" s="408"/>
    </row>
    <row r="87" spans="1:37" x14ac:dyDescent="0.25">
      <c r="A87" s="58">
        <f>'งบกำไรขาดทุน ปี 2025'!A87</f>
        <v>60400003</v>
      </c>
      <c r="B87" s="16" t="str">
        <f>'งบกำไรขาดทุน ปี 2025'!B87</f>
        <v>ค่าโฆษณาหาคน</v>
      </c>
      <c r="C87" s="20">
        <f>'งบกำไรขาดทุน ปี 2025'!O87</f>
        <v>0</v>
      </c>
      <c r="D87" s="21">
        <f t="shared" si="86"/>
        <v>0</v>
      </c>
      <c r="E87" s="141">
        <f>D87*$E$5</f>
        <v>0</v>
      </c>
      <c r="F87" s="221" t="e">
        <f t="shared" si="87"/>
        <v>#DIV/0!</v>
      </c>
      <c r="G87" s="221"/>
      <c r="H87" s="439" t="s">
        <v>653</v>
      </c>
      <c r="I87" s="137">
        <f>(+'การลงระหว่างเดือน ปี 2026'!AO41)</f>
        <v>0</v>
      </c>
      <c r="J87" s="105">
        <f>(+'การลงระหว่างเดือน ปี 2026'!AP41)</f>
        <v>0</v>
      </c>
      <c r="K87" s="105">
        <f>(+'การลงระหว่างเดือน ปี 2026'!AQ41)</f>
        <v>0</v>
      </c>
      <c r="L87" s="105">
        <f>(+'การลงระหว่างเดือน ปี 2026'!AR41)</f>
        <v>0</v>
      </c>
      <c r="M87" s="105">
        <f>(+'การลงระหว่างเดือน ปี 2026'!AS41)</f>
        <v>0</v>
      </c>
      <c r="N87" s="233">
        <f>(+'การลงระหว่างเดือน ปี 2026'!AT41)</f>
        <v>0</v>
      </c>
      <c r="O87" s="137">
        <f>(+'การลงระหว่างเดือน ปี 2026'!AU41)</f>
        <v>0</v>
      </c>
      <c r="P87" s="105">
        <f>(+'การลงระหว่างเดือน ปี 2026'!AV41)</f>
        <v>0</v>
      </c>
      <c r="Q87" s="105">
        <f>(+'การลงระหว่างเดือน ปี 2026'!AW41)</f>
        <v>0</v>
      </c>
      <c r="R87" s="105">
        <f>(+'การลงระหว่างเดือน ปี 2026'!AX41)</f>
        <v>0</v>
      </c>
      <c r="S87" s="105">
        <f>(+'การลงระหว่างเดือน ปี 2026'!AY41)</f>
        <v>0</v>
      </c>
      <c r="T87" s="246">
        <f>(+'การลงระหว่างเดือน ปี 2026'!AZ41)</f>
        <v>0</v>
      </c>
      <c r="U87" s="154">
        <f t="shared" si="82"/>
        <v>0</v>
      </c>
      <c r="V87" s="91" t="e">
        <f t="shared" si="89"/>
        <v>#DIV/0!</v>
      </c>
      <c r="W87" s="55" t="e">
        <f t="shared" si="90"/>
        <v>#DIV/0!</v>
      </c>
      <c r="X87" s="55" t="e">
        <f t="shared" si="91"/>
        <v>#DIV/0!</v>
      </c>
      <c r="Y87" s="55" t="e">
        <f t="shared" si="92"/>
        <v>#DIV/0!</v>
      </c>
      <c r="Z87" s="55" t="e">
        <f t="shared" si="93"/>
        <v>#DIV/0!</v>
      </c>
      <c r="AA87" s="55" t="e">
        <f t="shared" si="94"/>
        <v>#DIV/0!</v>
      </c>
      <c r="AB87" s="55" t="e">
        <f t="shared" si="95"/>
        <v>#DIV/0!</v>
      </c>
      <c r="AC87" s="55" t="e">
        <f t="shared" si="96"/>
        <v>#DIV/0!</v>
      </c>
      <c r="AD87" s="55" t="e">
        <f t="shared" si="97"/>
        <v>#DIV/0!</v>
      </c>
      <c r="AE87" s="55" t="e">
        <f t="shared" si="98"/>
        <v>#DIV/0!</v>
      </c>
      <c r="AF87" s="55" t="e">
        <f t="shared" si="99"/>
        <v>#DIV/0!</v>
      </c>
      <c r="AG87" s="55" t="e">
        <f t="shared" si="100"/>
        <v>#DIV/0!</v>
      </c>
      <c r="AH87" s="288" t="e">
        <f t="shared" si="101"/>
        <v>#DIV/0!</v>
      </c>
      <c r="AI87" s="582" t="s">
        <v>632</v>
      </c>
      <c r="AJ87" s="444">
        <f t="shared" si="83"/>
        <v>-1</v>
      </c>
      <c r="AK87" s="408"/>
    </row>
    <row r="88" spans="1:37" x14ac:dyDescent="0.25">
      <c r="A88" s="58">
        <f>'งบกำไรขาดทุน ปี 2025'!A88</f>
        <v>60400002</v>
      </c>
      <c r="B88" s="16" t="str">
        <f>'งบกำไรขาดทุน ปี 2025'!B88</f>
        <v>ค่า CRM</v>
      </c>
      <c r="C88" s="121">
        <f>'งบกำไรขาดทุน ปี 2025'!O88</f>
        <v>0</v>
      </c>
      <c r="D88" s="136">
        <f t="shared" si="86"/>
        <v>0</v>
      </c>
      <c r="E88" s="145">
        <f>D88*$E$5</f>
        <v>0</v>
      </c>
      <c r="F88" s="96" t="e">
        <f t="shared" si="87"/>
        <v>#DIV/0!</v>
      </c>
      <c r="G88" s="96"/>
      <c r="H88" s="582" t="s">
        <v>632</v>
      </c>
      <c r="I88" s="138">
        <f>(+'การลงระหว่างเดือน ปี 2026'!AO42)</f>
        <v>0</v>
      </c>
      <c r="J88" s="106">
        <f>(+'การลงระหว่างเดือน ปี 2026'!AP42)</f>
        <v>0</v>
      </c>
      <c r="K88" s="106">
        <f>(+'การลงระหว่างเดือน ปี 2026'!AQ42)</f>
        <v>0</v>
      </c>
      <c r="L88" s="106">
        <f>(+'การลงระหว่างเดือน ปี 2026'!AR42)</f>
        <v>0</v>
      </c>
      <c r="M88" s="106">
        <f>(+'การลงระหว่างเดือน ปี 2026'!AS42)</f>
        <v>0</v>
      </c>
      <c r="N88" s="239">
        <f>(+'การลงระหว่างเดือน ปี 2026'!AT42)</f>
        <v>0</v>
      </c>
      <c r="O88" s="138">
        <f>(+'การลงระหว่างเดือน ปี 2026'!AU42)</f>
        <v>0</v>
      </c>
      <c r="P88" s="106">
        <f>(+'การลงระหว่างเดือน ปี 2026'!AV42)</f>
        <v>0</v>
      </c>
      <c r="Q88" s="106">
        <f>(+'การลงระหว่างเดือน ปี 2026'!AW42)</f>
        <v>0</v>
      </c>
      <c r="R88" s="106">
        <f>(+'การลงระหว่างเดือน ปี 2026'!AX42)</f>
        <v>0</v>
      </c>
      <c r="S88" s="106">
        <f>(+'การลงระหว่างเดือน ปี 2026'!AY42)</f>
        <v>0</v>
      </c>
      <c r="T88" s="252">
        <f>(+'การลงระหว่างเดือน ปี 2026'!AZ42)</f>
        <v>0</v>
      </c>
      <c r="U88" s="157">
        <f t="shared" si="82"/>
        <v>0</v>
      </c>
      <c r="V88" s="92" t="e">
        <f t="shared" si="89"/>
        <v>#DIV/0!</v>
      </c>
      <c r="W88" s="93" t="e">
        <f t="shared" si="90"/>
        <v>#DIV/0!</v>
      </c>
      <c r="X88" s="93" t="e">
        <f t="shared" si="91"/>
        <v>#DIV/0!</v>
      </c>
      <c r="Y88" s="93" t="e">
        <f t="shared" si="92"/>
        <v>#DIV/0!</v>
      </c>
      <c r="Z88" s="93" t="e">
        <f t="shared" si="93"/>
        <v>#DIV/0!</v>
      </c>
      <c r="AA88" s="93" t="e">
        <f t="shared" si="94"/>
        <v>#DIV/0!</v>
      </c>
      <c r="AB88" s="93" t="e">
        <f t="shared" si="95"/>
        <v>#DIV/0!</v>
      </c>
      <c r="AC88" s="93" t="e">
        <f t="shared" si="96"/>
        <v>#DIV/0!</v>
      </c>
      <c r="AD88" s="93" t="e">
        <f t="shared" si="97"/>
        <v>#DIV/0!</v>
      </c>
      <c r="AE88" s="93" t="e">
        <f t="shared" si="98"/>
        <v>#DIV/0!</v>
      </c>
      <c r="AF88" s="93" t="e">
        <f t="shared" si="99"/>
        <v>#DIV/0!</v>
      </c>
      <c r="AG88" s="93" t="e">
        <f t="shared" si="100"/>
        <v>#DIV/0!</v>
      </c>
      <c r="AH88" s="294" t="e">
        <f t="shared" si="101"/>
        <v>#DIV/0!</v>
      </c>
      <c r="AI88" s="582" t="s">
        <v>632</v>
      </c>
      <c r="AJ88" s="444">
        <f t="shared" si="83"/>
        <v>-1</v>
      </c>
      <c r="AK88" s="408"/>
    </row>
    <row r="89" spans="1:37" s="12" customFormat="1" x14ac:dyDescent="0.25">
      <c r="A89" s="161">
        <f>'งบกำไรขาดทุน ปี 2025'!A89</f>
        <v>0</v>
      </c>
      <c r="B89" s="15" t="str">
        <f>'งบกำไรขาดทุน ปี 2025'!B89</f>
        <v>รวมค่าโฆษณาและส่งเสริมการขาย</v>
      </c>
      <c r="C89" s="26">
        <f>'งบกำไรขาดทุน ปี 2025'!O89</f>
        <v>0</v>
      </c>
      <c r="D89" s="27">
        <f t="shared" si="86"/>
        <v>0</v>
      </c>
      <c r="E89" s="146">
        <f>D89*$E$5</f>
        <v>0</v>
      </c>
      <c r="F89" s="224" t="e">
        <f t="shared" si="87"/>
        <v>#DIV/0!</v>
      </c>
      <c r="G89" s="224"/>
      <c r="H89" s="582"/>
      <c r="I89" s="139">
        <f t="shared" ref="I89:U89" si="105">SUM(I86:I88)</f>
        <v>0</v>
      </c>
      <c r="J89" s="107">
        <f t="shared" si="105"/>
        <v>0</v>
      </c>
      <c r="K89" s="107">
        <f t="shared" si="105"/>
        <v>0</v>
      </c>
      <c r="L89" s="107">
        <f t="shared" si="105"/>
        <v>0</v>
      </c>
      <c r="M89" s="107">
        <f t="shared" si="105"/>
        <v>0</v>
      </c>
      <c r="N89" s="235">
        <f t="shared" si="105"/>
        <v>0</v>
      </c>
      <c r="O89" s="139">
        <f t="shared" si="105"/>
        <v>0</v>
      </c>
      <c r="P89" s="107">
        <f t="shared" si="105"/>
        <v>0</v>
      </c>
      <c r="Q89" s="107">
        <f t="shared" si="105"/>
        <v>0</v>
      </c>
      <c r="R89" s="107">
        <f t="shared" si="105"/>
        <v>0</v>
      </c>
      <c r="S89" s="107">
        <f t="shared" si="105"/>
        <v>0</v>
      </c>
      <c r="T89" s="248">
        <f t="shared" si="105"/>
        <v>0</v>
      </c>
      <c r="U89" s="107">
        <f t="shared" si="105"/>
        <v>0</v>
      </c>
      <c r="V89" s="94" t="e">
        <f t="shared" si="89"/>
        <v>#DIV/0!</v>
      </c>
      <c r="W89" s="56" t="e">
        <f t="shared" si="90"/>
        <v>#DIV/0!</v>
      </c>
      <c r="X89" s="56" t="e">
        <f t="shared" si="91"/>
        <v>#DIV/0!</v>
      </c>
      <c r="Y89" s="56" t="e">
        <f t="shared" si="92"/>
        <v>#DIV/0!</v>
      </c>
      <c r="Z89" s="56" t="e">
        <f t="shared" si="93"/>
        <v>#DIV/0!</v>
      </c>
      <c r="AA89" s="56" t="e">
        <f t="shared" si="94"/>
        <v>#DIV/0!</v>
      </c>
      <c r="AB89" s="56" t="e">
        <f t="shared" si="95"/>
        <v>#DIV/0!</v>
      </c>
      <c r="AC89" s="56" t="e">
        <f t="shared" si="96"/>
        <v>#DIV/0!</v>
      </c>
      <c r="AD89" s="56" t="e">
        <f t="shared" si="97"/>
        <v>#DIV/0!</v>
      </c>
      <c r="AE89" s="56" t="e">
        <f t="shared" si="98"/>
        <v>#DIV/0!</v>
      </c>
      <c r="AF89" s="56" t="e">
        <f t="shared" si="99"/>
        <v>#DIV/0!</v>
      </c>
      <c r="AG89" s="56" t="e">
        <f t="shared" si="100"/>
        <v>#DIV/0!</v>
      </c>
      <c r="AH89" s="290" t="e">
        <f t="shared" si="101"/>
        <v>#DIV/0!</v>
      </c>
      <c r="AI89" s="582"/>
      <c r="AJ89" s="444">
        <f t="shared" si="83"/>
        <v>-1</v>
      </c>
      <c r="AK89" s="408"/>
    </row>
    <row r="90" spans="1:37" x14ac:dyDescent="0.25">
      <c r="A90" s="58">
        <f>'งบกำไรขาดทุน ปี 2025'!A90</f>
        <v>0</v>
      </c>
      <c r="B90" s="16" t="str">
        <f>'งบกำไรขาดทุน ปี 2025'!B90</f>
        <v>ค่าซ่อมแซมและบำรุงรักษา</v>
      </c>
      <c r="C90" s="215">
        <f>'งบกำไรขาดทุน ปี 2025'!O90</f>
        <v>0</v>
      </c>
      <c r="D90" s="188"/>
      <c r="E90" s="189"/>
      <c r="F90" s="225"/>
      <c r="G90" s="225"/>
      <c r="H90" s="580"/>
      <c r="I90" s="190"/>
      <c r="J90" s="181"/>
      <c r="K90" s="181"/>
      <c r="L90" s="181"/>
      <c r="M90" s="181"/>
      <c r="N90" s="236"/>
      <c r="O90" s="190"/>
      <c r="P90" s="181"/>
      <c r="Q90" s="181"/>
      <c r="R90" s="181"/>
      <c r="S90" s="181"/>
      <c r="T90" s="249"/>
      <c r="U90" s="182"/>
      <c r="V90" s="183"/>
      <c r="W90" s="184"/>
      <c r="X90" s="184"/>
      <c r="Y90" s="184"/>
      <c r="Z90" s="184"/>
      <c r="AA90" s="184"/>
      <c r="AB90" s="184"/>
      <c r="AC90" s="184"/>
      <c r="AD90" s="184"/>
      <c r="AE90" s="184"/>
      <c r="AF90" s="184"/>
      <c r="AG90" s="184"/>
      <c r="AH90" s="291"/>
      <c r="AI90" s="580"/>
      <c r="AJ90" s="444">
        <f t="shared" si="83"/>
        <v>-1</v>
      </c>
      <c r="AK90" s="408"/>
    </row>
    <row r="91" spans="1:37" x14ac:dyDescent="0.25">
      <c r="A91" s="58">
        <f>'งบกำไรขาดทุน ปี 2025'!A91</f>
        <v>60600001</v>
      </c>
      <c r="B91" s="16" t="str">
        <f>'งบกำไรขาดทุน ปี 2025'!B91</f>
        <v>ค่าซ่อมแซมคอมพิวเตอร์</v>
      </c>
      <c r="C91" s="20">
        <f>'งบกำไรขาดทุน ปี 2025'!O91</f>
        <v>0</v>
      </c>
      <c r="D91" s="21">
        <f t="shared" si="86"/>
        <v>0</v>
      </c>
      <c r="E91" s="141">
        <f t="shared" ref="E91:E98" si="106">D91*$E$5</f>
        <v>0</v>
      </c>
      <c r="F91" s="221" t="e">
        <f t="shared" si="87"/>
        <v>#DIV/0!</v>
      </c>
      <c r="G91" s="696" t="e">
        <f>$F$98+1%</f>
        <v>#DIV/0!</v>
      </c>
      <c r="H91" s="582" t="s">
        <v>633</v>
      </c>
      <c r="I91" s="137" t="e">
        <f>(($D91*$G91)+$D91)+'การลงระหว่างเดือน ปี 2026'!AO44</f>
        <v>#DIV/0!</v>
      </c>
      <c r="J91" s="105" t="e">
        <f>(($D91*$G91)+$D91)+'การลงระหว่างเดือน ปี 2026'!AP44</f>
        <v>#DIV/0!</v>
      </c>
      <c r="K91" s="105" t="e">
        <f>(($D91*$G91)+$D91)+'การลงระหว่างเดือน ปี 2026'!AQ44</f>
        <v>#DIV/0!</v>
      </c>
      <c r="L91" s="105" t="e">
        <f>(($D91*$G91)+$D91)+'การลงระหว่างเดือน ปี 2026'!AR44</f>
        <v>#DIV/0!</v>
      </c>
      <c r="M91" s="105" t="e">
        <f>(($D91*$G91)+$D91)+'การลงระหว่างเดือน ปี 2026'!AS44</f>
        <v>#DIV/0!</v>
      </c>
      <c r="N91" s="233" t="e">
        <f>(($D91*$G91)+$D91)+'การลงระหว่างเดือน ปี 2026'!AT44</f>
        <v>#DIV/0!</v>
      </c>
      <c r="O91" s="137" t="e">
        <f>(($D91*$G91)+$D91)+'การลงระหว่างเดือน ปี 2026'!AU44</f>
        <v>#DIV/0!</v>
      </c>
      <c r="P91" s="105" t="e">
        <f>(($D91*$G91)+$D91)+'การลงระหว่างเดือน ปี 2026'!AV44</f>
        <v>#DIV/0!</v>
      </c>
      <c r="Q91" s="105" t="e">
        <f>(($D91*$G91)+$D91)+'การลงระหว่างเดือน ปี 2026'!AW44</f>
        <v>#DIV/0!</v>
      </c>
      <c r="R91" s="105" t="e">
        <f>(($D91*$G91)+$D91)+'การลงระหว่างเดือน ปี 2026'!AX44</f>
        <v>#DIV/0!</v>
      </c>
      <c r="S91" s="105" t="e">
        <f>(($D91*$G91)+$D91)+'การลงระหว่างเดือน ปี 2026'!AY44</f>
        <v>#DIV/0!</v>
      </c>
      <c r="T91" s="246" t="e">
        <f>(($D91*$G91)+$D91)+'การลงระหว่างเดือน ปี 2026'!AZ44</f>
        <v>#DIV/0!</v>
      </c>
      <c r="U91" s="154" t="e">
        <f t="shared" si="82"/>
        <v>#DIV/0!</v>
      </c>
      <c r="V91" s="91" t="e">
        <f t="shared" si="89"/>
        <v>#DIV/0!</v>
      </c>
      <c r="W91" s="55" t="e">
        <f t="shared" si="90"/>
        <v>#DIV/0!</v>
      </c>
      <c r="X91" s="55" t="e">
        <f t="shared" si="91"/>
        <v>#DIV/0!</v>
      </c>
      <c r="Y91" s="55" t="e">
        <f t="shared" si="92"/>
        <v>#DIV/0!</v>
      </c>
      <c r="Z91" s="55" t="e">
        <f t="shared" si="93"/>
        <v>#DIV/0!</v>
      </c>
      <c r="AA91" s="55" t="e">
        <f t="shared" si="94"/>
        <v>#DIV/0!</v>
      </c>
      <c r="AB91" s="55" t="e">
        <f t="shared" si="95"/>
        <v>#DIV/0!</v>
      </c>
      <c r="AC91" s="55" t="e">
        <f t="shared" si="96"/>
        <v>#DIV/0!</v>
      </c>
      <c r="AD91" s="55" t="e">
        <f t="shared" si="97"/>
        <v>#DIV/0!</v>
      </c>
      <c r="AE91" s="55" t="e">
        <f t="shared" si="98"/>
        <v>#DIV/0!</v>
      </c>
      <c r="AF91" s="55" t="e">
        <f t="shared" si="99"/>
        <v>#DIV/0!</v>
      </c>
      <c r="AG91" s="55" t="e">
        <f t="shared" si="100"/>
        <v>#DIV/0!</v>
      </c>
      <c r="AH91" s="288" t="e">
        <f t="shared" si="101"/>
        <v>#DIV/0!</v>
      </c>
      <c r="AI91" s="582" t="s">
        <v>634</v>
      </c>
      <c r="AJ91" s="444">
        <f t="shared" si="83"/>
        <v>-1</v>
      </c>
      <c r="AK91" s="408"/>
    </row>
    <row r="92" spans="1:37" x14ac:dyDescent="0.25">
      <c r="A92" s="58">
        <f>'งบกำไรขาดทุน ปี 2025'!A92</f>
        <v>60600002</v>
      </c>
      <c r="B92" s="16" t="str">
        <f>'งบกำไรขาดทุน ปี 2025'!B92</f>
        <v>ค่าซ่อมแซมเครื่องใช้สำนักงาน</v>
      </c>
      <c r="C92" s="20">
        <f>'งบกำไรขาดทุน ปี 2025'!O92</f>
        <v>0</v>
      </c>
      <c r="D92" s="21">
        <f t="shared" si="86"/>
        <v>0</v>
      </c>
      <c r="E92" s="141">
        <f t="shared" si="106"/>
        <v>0</v>
      </c>
      <c r="F92" s="221" t="e">
        <f t="shared" si="87"/>
        <v>#DIV/0!</v>
      </c>
      <c r="G92" s="696" t="e">
        <f t="shared" ref="G92:G97" si="107">$F$98+1%</f>
        <v>#DIV/0!</v>
      </c>
      <c r="H92" s="582" t="s">
        <v>633</v>
      </c>
      <c r="I92" s="137" t="e">
        <f>(($D92*$G92)+$D92)+'การลงระหว่างเดือน ปี 2026'!AO45</f>
        <v>#DIV/0!</v>
      </c>
      <c r="J92" s="105" t="e">
        <f>(($D92*$G92)+$D92)+'การลงระหว่างเดือน ปี 2026'!AP45</f>
        <v>#DIV/0!</v>
      </c>
      <c r="K92" s="105" t="e">
        <f>(($D92*$G92)+$D92)+'การลงระหว่างเดือน ปี 2026'!AQ45</f>
        <v>#DIV/0!</v>
      </c>
      <c r="L92" s="105" t="e">
        <f>(($D92*$G92)+$D92)+'การลงระหว่างเดือน ปี 2026'!AR45</f>
        <v>#DIV/0!</v>
      </c>
      <c r="M92" s="105" t="e">
        <f>(($D92*$G92)+$D92)+'การลงระหว่างเดือน ปี 2026'!AS45</f>
        <v>#DIV/0!</v>
      </c>
      <c r="N92" s="233" t="e">
        <f>(($D92*$G92)+$D92)+'การลงระหว่างเดือน ปี 2026'!AT45</f>
        <v>#DIV/0!</v>
      </c>
      <c r="O92" s="137" t="e">
        <f>(($D92*$G92)+$D92)+'การลงระหว่างเดือน ปี 2026'!AU45</f>
        <v>#DIV/0!</v>
      </c>
      <c r="P92" s="105" t="e">
        <f>(($D92*$G92)+$D92)+'การลงระหว่างเดือน ปี 2026'!AV45</f>
        <v>#DIV/0!</v>
      </c>
      <c r="Q92" s="105" t="e">
        <f>(($D92*$G92)+$D92)+'การลงระหว่างเดือน ปี 2026'!AW45</f>
        <v>#DIV/0!</v>
      </c>
      <c r="R92" s="105" t="e">
        <f>(($D92*$G92)+$D92)+'การลงระหว่างเดือน ปี 2026'!AX45</f>
        <v>#DIV/0!</v>
      </c>
      <c r="S92" s="105" t="e">
        <f>(($D92*$G92)+$D92)+'การลงระหว่างเดือน ปี 2026'!AY45</f>
        <v>#DIV/0!</v>
      </c>
      <c r="T92" s="246" t="e">
        <f>(($D92*$G92)+$D92)+'การลงระหว่างเดือน ปี 2026'!AZ45</f>
        <v>#DIV/0!</v>
      </c>
      <c r="U92" s="154" t="e">
        <f t="shared" si="82"/>
        <v>#DIV/0!</v>
      </c>
      <c r="V92" s="91" t="e">
        <f t="shared" si="89"/>
        <v>#DIV/0!</v>
      </c>
      <c r="W92" s="55" t="e">
        <f t="shared" si="90"/>
        <v>#DIV/0!</v>
      </c>
      <c r="X92" s="55" t="e">
        <f t="shared" si="91"/>
        <v>#DIV/0!</v>
      </c>
      <c r="Y92" s="55" t="e">
        <f t="shared" si="92"/>
        <v>#DIV/0!</v>
      </c>
      <c r="Z92" s="55" t="e">
        <f t="shared" si="93"/>
        <v>#DIV/0!</v>
      </c>
      <c r="AA92" s="55" t="e">
        <f t="shared" si="94"/>
        <v>#DIV/0!</v>
      </c>
      <c r="AB92" s="55" t="e">
        <f t="shared" si="95"/>
        <v>#DIV/0!</v>
      </c>
      <c r="AC92" s="55" t="e">
        <f t="shared" si="96"/>
        <v>#DIV/0!</v>
      </c>
      <c r="AD92" s="55" t="e">
        <f t="shared" si="97"/>
        <v>#DIV/0!</v>
      </c>
      <c r="AE92" s="55" t="e">
        <f t="shared" si="98"/>
        <v>#DIV/0!</v>
      </c>
      <c r="AF92" s="55" t="e">
        <f t="shared" si="99"/>
        <v>#DIV/0!</v>
      </c>
      <c r="AG92" s="55" t="e">
        <f t="shared" si="100"/>
        <v>#DIV/0!</v>
      </c>
      <c r="AH92" s="288" t="e">
        <f t="shared" si="101"/>
        <v>#DIV/0!</v>
      </c>
      <c r="AI92" s="582" t="s">
        <v>634</v>
      </c>
      <c r="AJ92" s="444">
        <f t="shared" si="83"/>
        <v>-1</v>
      </c>
      <c r="AK92" s="408"/>
    </row>
    <row r="93" spans="1:37" x14ac:dyDescent="0.25">
      <c r="A93" s="58">
        <f>'งบกำไรขาดทุน ปี 2025'!A93</f>
        <v>60600003</v>
      </c>
      <c r="B93" s="16" t="str">
        <f>'งบกำไรขาดทุน ปี 2025'!B93</f>
        <v>ค่าซ่อมแซมเครื่องตกแต่งและติดตั้ง</v>
      </c>
      <c r="C93" s="20">
        <f>'งบกำไรขาดทุน ปี 2025'!O93</f>
        <v>0</v>
      </c>
      <c r="D93" s="21">
        <f t="shared" si="86"/>
        <v>0</v>
      </c>
      <c r="E93" s="141">
        <f t="shared" si="106"/>
        <v>0</v>
      </c>
      <c r="F93" s="221" t="e">
        <f t="shared" si="87"/>
        <v>#DIV/0!</v>
      </c>
      <c r="G93" s="696" t="e">
        <f t="shared" si="107"/>
        <v>#DIV/0!</v>
      </c>
      <c r="H93" s="582" t="s">
        <v>633</v>
      </c>
      <c r="I93" s="137" t="e">
        <f>(($D93*$G93)+$D93)+'การลงระหว่างเดือน ปี 2026'!AO46</f>
        <v>#DIV/0!</v>
      </c>
      <c r="J93" s="105" t="e">
        <f>(($D93*$G93)+$D93)+'การลงระหว่างเดือน ปี 2026'!AP46</f>
        <v>#DIV/0!</v>
      </c>
      <c r="K93" s="105" t="e">
        <f>(($D93*$G93)+$D93)+'การลงระหว่างเดือน ปี 2026'!AQ46</f>
        <v>#DIV/0!</v>
      </c>
      <c r="L93" s="105" t="e">
        <f>(($D93*$G93)+$D93)+'การลงระหว่างเดือน ปี 2026'!AR46</f>
        <v>#DIV/0!</v>
      </c>
      <c r="M93" s="105" t="e">
        <f>(($D93*$G93)+$D93)+'การลงระหว่างเดือน ปี 2026'!AS46</f>
        <v>#DIV/0!</v>
      </c>
      <c r="N93" s="233" t="e">
        <f>(($D93*$G93)+$D93)+'การลงระหว่างเดือน ปี 2026'!AT46</f>
        <v>#DIV/0!</v>
      </c>
      <c r="O93" s="137" t="e">
        <f>(($D93*$G93)+$D93)+'การลงระหว่างเดือน ปี 2026'!AU46</f>
        <v>#DIV/0!</v>
      </c>
      <c r="P93" s="105" t="e">
        <f>(($D93*$G93)+$D93)+'การลงระหว่างเดือน ปี 2026'!AV46</f>
        <v>#DIV/0!</v>
      </c>
      <c r="Q93" s="105" t="e">
        <f>(($D93*$G93)+$D93)+'การลงระหว่างเดือน ปี 2026'!AW46</f>
        <v>#DIV/0!</v>
      </c>
      <c r="R93" s="105" t="e">
        <f>(($D93*$G93)+$D93)+'การลงระหว่างเดือน ปี 2026'!AX46</f>
        <v>#DIV/0!</v>
      </c>
      <c r="S93" s="105" t="e">
        <f>(($D93*$G93)+$D93)+'การลงระหว่างเดือน ปี 2026'!AY46</f>
        <v>#DIV/0!</v>
      </c>
      <c r="T93" s="246" t="e">
        <f>(($D93*$G93)+$D93)+'การลงระหว่างเดือน ปี 2026'!AZ46</f>
        <v>#DIV/0!</v>
      </c>
      <c r="U93" s="154" t="e">
        <f t="shared" si="82"/>
        <v>#DIV/0!</v>
      </c>
      <c r="V93" s="91" t="e">
        <f t="shared" si="89"/>
        <v>#DIV/0!</v>
      </c>
      <c r="W93" s="55" t="e">
        <f t="shared" si="90"/>
        <v>#DIV/0!</v>
      </c>
      <c r="X93" s="55" t="e">
        <f t="shared" si="91"/>
        <v>#DIV/0!</v>
      </c>
      <c r="Y93" s="55" t="e">
        <f t="shared" si="92"/>
        <v>#DIV/0!</v>
      </c>
      <c r="Z93" s="55" t="e">
        <f t="shared" si="93"/>
        <v>#DIV/0!</v>
      </c>
      <c r="AA93" s="55" t="e">
        <f t="shared" si="94"/>
        <v>#DIV/0!</v>
      </c>
      <c r="AB93" s="55" t="e">
        <f t="shared" si="95"/>
        <v>#DIV/0!</v>
      </c>
      <c r="AC93" s="55" t="e">
        <f t="shared" si="96"/>
        <v>#DIV/0!</v>
      </c>
      <c r="AD93" s="55" t="e">
        <f t="shared" si="97"/>
        <v>#DIV/0!</v>
      </c>
      <c r="AE93" s="55" t="e">
        <f t="shared" si="98"/>
        <v>#DIV/0!</v>
      </c>
      <c r="AF93" s="55" t="e">
        <f t="shared" si="99"/>
        <v>#DIV/0!</v>
      </c>
      <c r="AG93" s="55" t="e">
        <f t="shared" si="100"/>
        <v>#DIV/0!</v>
      </c>
      <c r="AH93" s="288" t="e">
        <f t="shared" si="101"/>
        <v>#DIV/0!</v>
      </c>
      <c r="AI93" s="582" t="s">
        <v>634</v>
      </c>
      <c r="AJ93" s="444">
        <f t="shared" si="83"/>
        <v>-1</v>
      </c>
      <c r="AK93" s="408"/>
    </row>
    <row r="94" spans="1:37" x14ac:dyDescent="0.25">
      <c r="A94" s="58">
        <f>'งบกำไรขาดทุน ปี 2025'!A94</f>
        <v>60600004</v>
      </c>
      <c r="B94" s="16" t="str">
        <f>'งบกำไรขาดทุน ปี 2025'!B94</f>
        <v>ค่าซ่อมแซมยานพาหนะ</v>
      </c>
      <c r="C94" s="20">
        <f>'งบกำไรขาดทุน ปี 2025'!O94</f>
        <v>0</v>
      </c>
      <c r="D94" s="21">
        <f t="shared" si="86"/>
        <v>0</v>
      </c>
      <c r="E94" s="141">
        <f t="shared" si="106"/>
        <v>0</v>
      </c>
      <c r="F94" s="221" t="e">
        <f t="shared" si="87"/>
        <v>#DIV/0!</v>
      </c>
      <c r="G94" s="696" t="e">
        <f t="shared" si="107"/>
        <v>#DIV/0!</v>
      </c>
      <c r="H94" s="582" t="s">
        <v>633</v>
      </c>
      <c r="I94" s="137" t="e">
        <f>(($D94*$G94)+$D94)+'การลงระหว่างเดือน ปี 2026'!AO47</f>
        <v>#DIV/0!</v>
      </c>
      <c r="J94" s="105" t="e">
        <f>(($D94*$G94)+$D94)+'การลงระหว่างเดือน ปี 2026'!AP47</f>
        <v>#DIV/0!</v>
      </c>
      <c r="K94" s="105" t="e">
        <f>(($D94*$G94)+$D94)+'การลงระหว่างเดือน ปี 2026'!AQ47</f>
        <v>#DIV/0!</v>
      </c>
      <c r="L94" s="105" t="e">
        <f>(($D94*$G94)+$D94)+'การลงระหว่างเดือน ปี 2026'!AR47</f>
        <v>#DIV/0!</v>
      </c>
      <c r="M94" s="105" t="e">
        <f>(($D94*$G94)+$D94)+'การลงระหว่างเดือน ปี 2026'!AS47</f>
        <v>#DIV/0!</v>
      </c>
      <c r="N94" s="233" t="e">
        <f>(($D94*$G94)+$D94)+'การลงระหว่างเดือน ปี 2026'!AT47</f>
        <v>#DIV/0!</v>
      </c>
      <c r="O94" s="137" t="e">
        <f>(($D94*$G94)+$D94)+'การลงระหว่างเดือน ปี 2026'!AU47</f>
        <v>#DIV/0!</v>
      </c>
      <c r="P94" s="105" t="e">
        <f>(($D94*$G94)+$D94)+'การลงระหว่างเดือน ปี 2026'!AV47</f>
        <v>#DIV/0!</v>
      </c>
      <c r="Q94" s="105" t="e">
        <f>(($D94*$G94)+$D94)+'การลงระหว่างเดือน ปี 2026'!AW47</f>
        <v>#DIV/0!</v>
      </c>
      <c r="R94" s="105" t="e">
        <f>(($D94*$G94)+$D94)+'การลงระหว่างเดือน ปี 2026'!AX47</f>
        <v>#DIV/0!</v>
      </c>
      <c r="S94" s="105" t="e">
        <f>(($D94*$G94)+$D94)+'การลงระหว่างเดือน ปี 2026'!AY47</f>
        <v>#DIV/0!</v>
      </c>
      <c r="T94" s="246" t="e">
        <f>(($D94*$G94)+$D94)+'การลงระหว่างเดือน ปี 2026'!AZ47</f>
        <v>#DIV/0!</v>
      </c>
      <c r="U94" s="154" t="e">
        <f t="shared" si="82"/>
        <v>#DIV/0!</v>
      </c>
      <c r="V94" s="91" t="e">
        <f t="shared" si="89"/>
        <v>#DIV/0!</v>
      </c>
      <c r="W94" s="55" t="e">
        <f t="shared" si="90"/>
        <v>#DIV/0!</v>
      </c>
      <c r="X94" s="55" t="e">
        <f t="shared" si="91"/>
        <v>#DIV/0!</v>
      </c>
      <c r="Y94" s="55" t="e">
        <f t="shared" si="92"/>
        <v>#DIV/0!</v>
      </c>
      <c r="Z94" s="55" t="e">
        <f t="shared" si="93"/>
        <v>#DIV/0!</v>
      </c>
      <c r="AA94" s="55" t="e">
        <f t="shared" si="94"/>
        <v>#DIV/0!</v>
      </c>
      <c r="AB94" s="55" t="e">
        <f t="shared" si="95"/>
        <v>#DIV/0!</v>
      </c>
      <c r="AC94" s="55" t="e">
        <f t="shared" si="96"/>
        <v>#DIV/0!</v>
      </c>
      <c r="AD94" s="55" t="e">
        <f t="shared" si="97"/>
        <v>#DIV/0!</v>
      </c>
      <c r="AE94" s="55" t="e">
        <f t="shared" si="98"/>
        <v>#DIV/0!</v>
      </c>
      <c r="AF94" s="55" t="e">
        <f t="shared" si="99"/>
        <v>#DIV/0!</v>
      </c>
      <c r="AG94" s="55" t="e">
        <f t="shared" si="100"/>
        <v>#DIV/0!</v>
      </c>
      <c r="AH94" s="288" t="e">
        <f t="shared" si="101"/>
        <v>#DIV/0!</v>
      </c>
      <c r="AI94" s="582" t="s">
        <v>634</v>
      </c>
      <c r="AJ94" s="444">
        <f t="shared" si="83"/>
        <v>-1</v>
      </c>
      <c r="AK94" s="408"/>
    </row>
    <row r="95" spans="1:37" x14ac:dyDescent="0.25">
      <c r="A95" s="58">
        <f>'งบกำไรขาดทุน ปี 2025'!A95</f>
        <v>60600005</v>
      </c>
      <c r="B95" s="16" t="str">
        <f>'งบกำไรขาดทุน ปี 2025'!B95</f>
        <v>ค่าซ่อมแซมเครื่องมือแพทย์</v>
      </c>
      <c r="C95" s="20">
        <f>'งบกำไรขาดทุน ปี 2025'!O95</f>
        <v>0</v>
      </c>
      <c r="D95" s="21">
        <f t="shared" si="86"/>
        <v>0</v>
      </c>
      <c r="E95" s="141">
        <f t="shared" si="106"/>
        <v>0</v>
      </c>
      <c r="F95" s="221" t="e">
        <f t="shared" si="87"/>
        <v>#DIV/0!</v>
      </c>
      <c r="G95" s="696" t="e">
        <f t="shared" si="107"/>
        <v>#DIV/0!</v>
      </c>
      <c r="H95" s="582" t="s">
        <v>633</v>
      </c>
      <c r="I95" s="137" t="e">
        <f>(($D95*$G95)+$D95)+'การลงระหว่างเดือน ปี 2026'!AO48</f>
        <v>#DIV/0!</v>
      </c>
      <c r="J95" s="105" t="e">
        <f>(($D95*$G95)+$D95)+'การลงระหว่างเดือน ปี 2026'!AP48</f>
        <v>#DIV/0!</v>
      </c>
      <c r="K95" s="105" t="e">
        <f>(($D95*$G95)+$D95)+'การลงระหว่างเดือน ปี 2026'!AQ48</f>
        <v>#DIV/0!</v>
      </c>
      <c r="L95" s="105" t="e">
        <f>(($D95*$G95)+$D95)+'การลงระหว่างเดือน ปี 2026'!AR48</f>
        <v>#DIV/0!</v>
      </c>
      <c r="M95" s="105" t="e">
        <f>(($D95*$G95)+$D95)+'การลงระหว่างเดือน ปี 2026'!AS48</f>
        <v>#DIV/0!</v>
      </c>
      <c r="N95" s="233" t="e">
        <f>(($D95*$G95)+$D95)+'การลงระหว่างเดือน ปี 2026'!AT48</f>
        <v>#DIV/0!</v>
      </c>
      <c r="O95" s="137" t="e">
        <f>(($D95*$G95)+$D95)+'การลงระหว่างเดือน ปี 2026'!AU48</f>
        <v>#DIV/0!</v>
      </c>
      <c r="P95" s="105" t="e">
        <f>(($D95*$G95)+$D95)+'การลงระหว่างเดือน ปี 2026'!AV48</f>
        <v>#DIV/0!</v>
      </c>
      <c r="Q95" s="105" t="e">
        <f>(($D95*$G95)+$D95)+'การลงระหว่างเดือน ปี 2026'!AW48</f>
        <v>#DIV/0!</v>
      </c>
      <c r="R95" s="105" t="e">
        <f>(($D95*$G95)+$D95)+'การลงระหว่างเดือน ปี 2026'!AX48</f>
        <v>#DIV/0!</v>
      </c>
      <c r="S95" s="105" t="e">
        <f>(($D95*$G95)+$D95)+'การลงระหว่างเดือน ปี 2026'!AY48</f>
        <v>#DIV/0!</v>
      </c>
      <c r="T95" s="246" t="e">
        <f>(($D95*$G95)+$D95)+'การลงระหว่างเดือน ปี 2026'!AZ48</f>
        <v>#DIV/0!</v>
      </c>
      <c r="U95" s="154" t="e">
        <f t="shared" si="82"/>
        <v>#DIV/0!</v>
      </c>
      <c r="V95" s="91" t="e">
        <f t="shared" si="89"/>
        <v>#DIV/0!</v>
      </c>
      <c r="W95" s="55" t="e">
        <f t="shared" si="90"/>
        <v>#DIV/0!</v>
      </c>
      <c r="X95" s="55" t="e">
        <f t="shared" si="91"/>
        <v>#DIV/0!</v>
      </c>
      <c r="Y95" s="55" t="e">
        <f t="shared" si="92"/>
        <v>#DIV/0!</v>
      </c>
      <c r="Z95" s="55" t="e">
        <f t="shared" si="93"/>
        <v>#DIV/0!</v>
      </c>
      <c r="AA95" s="55" t="e">
        <f t="shared" si="94"/>
        <v>#DIV/0!</v>
      </c>
      <c r="AB95" s="55" t="e">
        <f t="shared" si="95"/>
        <v>#DIV/0!</v>
      </c>
      <c r="AC95" s="55" t="e">
        <f t="shared" si="96"/>
        <v>#DIV/0!</v>
      </c>
      <c r="AD95" s="55" t="e">
        <f t="shared" si="97"/>
        <v>#DIV/0!</v>
      </c>
      <c r="AE95" s="55" t="e">
        <f t="shared" si="98"/>
        <v>#DIV/0!</v>
      </c>
      <c r="AF95" s="55" t="e">
        <f t="shared" si="99"/>
        <v>#DIV/0!</v>
      </c>
      <c r="AG95" s="55" t="e">
        <f t="shared" si="100"/>
        <v>#DIV/0!</v>
      </c>
      <c r="AH95" s="288" t="e">
        <f t="shared" si="101"/>
        <v>#DIV/0!</v>
      </c>
      <c r="AI95" s="582" t="s">
        <v>634</v>
      </c>
      <c r="AJ95" s="444">
        <f t="shared" si="83"/>
        <v>-1</v>
      </c>
      <c r="AK95" s="408"/>
    </row>
    <row r="96" spans="1:37" x14ac:dyDescent="0.25">
      <c r="A96" s="58">
        <f>'งบกำไรขาดทุน ปี 2025'!A96</f>
        <v>60600006</v>
      </c>
      <c r="B96" s="16" t="str">
        <f>'งบกำไรขาดทุน ปี 2025'!B96</f>
        <v>ค่าบำรุงรักษาโปรแกรม</v>
      </c>
      <c r="C96" s="20">
        <f>'งบกำไรขาดทุน ปี 2025'!O96</f>
        <v>0</v>
      </c>
      <c r="D96" s="21">
        <f t="shared" si="86"/>
        <v>0</v>
      </c>
      <c r="E96" s="141">
        <f t="shared" si="106"/>
        <v>0</v>
      </c>
      <c r="F96" s="221" t="e">
        <f t="shared" si="87"/>
        <v>#DIV/0!</v>
      </c>
      <c r="G96" s="696" t="e">
        <f t="shared" si="107"/>
        <v>#DIV/0!</v>
      </c>
      <c r="H96" s="582" t="s">
        <v>633</v>
      </c>
      <c r="I96" s="137" t="e">
        <f>(($D96*$G96)+$D96)+'การลงระหว่างเดือน ปี 2026'!AO49</f>
        <v>#DIV/0!</v>
      </c>
      <c r="J96" s="105" t="e">
        <f>(($D96*$G96)+$D96)+'การลงระหว่างเดือน ปี 2026'!AP49</f>
        <v>#DIV/0!</v>
      </c>
      <c r="K96" s="105" t="e">
        <f>(($D96*$G96)+$D96)+'การลงระหว่างเดือน ปี 2026'!AQ49</f>
        <v>#DIV/0!</v>
      </c>
      <c r="L96" s="105" t="e">
        <f>(($D96*$G96)+$D96)+'การลงระหว่างเดือน ปี 2026'!AR49</f>
        <v>#DIV/0!</v>
      </c>
      <c r="M96" s="105" t="e">
        <f>(($D96*$G96)+$D96)+'การลงระหว่างเดือน ปี 2026'!AS49</f>
        <v>#DIV/0!</v>
      </c>
      <c r="N96" s="233" t="e">
        <f>(($D96*$G96)+$D96)+'การลงระหว่างเดือน ปี 2026'!AT49</f>
        <v>#DIV/0!</v>
      </c>
      <c r="O96" s="137" t="e">
        <f>(($D96*$G96)+$D96)+'การลงระหว่างเดือน ปี 2026'!AU49</f>
        <v>#DIV/0!</v>
      </c>
      <c r="P96" s="105" t="e">
        <f>(($D96*$G96)+$D96)+'การลงระหว่างเดือน ปี 2026'!AV49</f>
        <v>#DIV/0!</v>
      </c>
      <c r="Q96" s="105" t="e">
        <f>(($D96*$G96)+$D96)+'การลงระหว่างเดือน ปี 2026'!AW49</f>
        <v>#DIV/0!</v>
      </c>
      <c r="R96" s="105" t="e">
        <f>(($D96*$G96)+$D96)+'การลงระหว่างเดือน ปี 2026'!AX49</f>
        <v>#DIV/0!</v>
      </c>
      <c r="S96" s="105" t="e">
        <f>(($D96*$G96)+$D96)+'การลงระหว่างเดือน ปี 2026'!AY49</f>
        <v>#DIV/0!</v>
      </c>
      <c r="T96" s="246" t="e">
        <f>(($D96*$G96)+$D96)+'การลงระหว่างเดือน ปี 2026'!AZ49</f>
        <v>#DIV/0!</v>
      </c>
      <c r="U96" s="154" t="e">
        <f t="shared" si="82"/>
        <v>#DIV/0!</v>
      </c>
      <c r="V96" s="91" t="e">
        <f t="shared" si="89"/>
        <v>#DIV/0!</v>
      </c>
      <c r="W96" s="55" t="e">
        <f t="shared" si="90"/>
        <v>#DIV/0!</v>
      </c>
      <c r="X96" s="55" t="e">
        <f t="shared" si="91"/>
        <v>#DIV/0!</v>
      </c>
      <c r="Y96" s="55" t="e">
        <f t="shared" si="92"/>
        <v>#DIV/0!</v>
      </c>
      <c r="Z96" s="55" t="e">
        <f t="shared" si="93"/>
        <v>#DIV/0!</v>
      </c>
      <c r="AA96" s="55" t="e">
        <f t="shared" si="94"/>
        <v>#DIV/0!</v>
      </c>
      <c r="AB96" s="55" t="e">
        <f t="shared" si="95"/>
        <v>#DIV/0!</v>
      </c>
      <c r="AC96" s="55" t="e">
        <f t="shared" si="96"/>
        <v>#DIV/0!</v>
      </c>
      <c r="AD96" s="55" t="e">
        <f t="shared" si="97"/>
        <v>#DIV/0!</v>
      </c>
      <c r="AE96" s="55" t="e">
        <f t="shared" si="98"/>
        <v>#DIV/0!</v>
      </c>
      <c r="AF96" s="55" t="e">
        <f t="shared" si="99"/>
        <v>#DIV/0!</v>
      </c>
      <c r="AG96" s="55" t="e">
        <f t="shared" si="100"/>
        <v>#DIV/0!</v>
      </c>
      <c r="AH96" s="288" t="e">
        <f t="shared" si="101"/>
        <v>#DIV/0!</v>
      </c>
      <c r="AI96" s="582" t="s">
        <v>634</v>
      </c>
      <c r="AJ96" s="444">
        <f t="shared" si="83"/>
        <v>-1</v>
      </c>
      <c r="AK96" s="408"/>
    </row>
    <row r="97" spans="1:37" x14ac:dyDescent="0.25">
      <c r="A97" s="58">
        <f>'งบกำไรขาดทุน ปี 2025'!A97</f>
        <v>60600007</v>
      </c>
      <c r="B97" s="16" t="str">
        <f>'งบกำไรขาดทุน ปี 2025'!B97</f>
        <v>ค่าบำรุงรักษาเครื่องใช้สำนักงาน</v>
      </c>
      <c r="C97" s="121">
        <f>'งบกำไรขาดทุน ปี 2025'!O97</f>
        <v>0</v>
      </c>
      <c r="D97" s="136">
        <f t="shared" si="86"/>
        <v>0</v>
      </c>
      <c r="E97" s="145">
        <f t="shared" si="106"/>
        <v>0</v>
      </c>
      <c r="F97" s="96" t="e">
        <f t="shared" si="87"/>
        <v>#DIV/0!</v>
      </c>
      <c r="G97" s="696" t="e">
        <f t="shared" si="107"/>
        <v>#DIV/0!</v>
      </c>
      <c r="H97" s="582" t="s">
        <v>633</v>
      </c>
      <c r="I97" s="138" t="e">
        <f>(($D97*$G97)+$D97)+'การลงระหว่างเดือน ปี 2026'!AO50</f>
        <v>#DIV/0!</v>
      </c>
      <c r="J97" s="106" t="e">
        <f>(($D97*$G97)+$D97)+'การลงระหว่างเดือน ปี 2026'!AP50</f>
        <v>#DIV/0!</v>
      </c>
      <c r="K97" s="106" t="e">
        <f>(($D97*$G97)+$D97)+'การลงระหว่างเดือน ปี 2026'!AQ50</f>
        <v>#DIV/0!</v>
      </c>
      <c r="L97" s="106" t="e">
        <f>(($D97*$G97)+$D97)+'การลงระหว่างเดือน ปี 2026'!AR50</f>
        <v>#DIV/0!</v>
      </c>
      <c r="M97" s="106" t="e">
        <f>(($D97*$G97)+$D97)+'การลงระหว่างเดือน ปี 2026'!AS50</f>
        <v>#DIV/0!</v>
      </c>
      <c r="N97" s="239" t="e">
        <f>(($D97*$G97)+$D97)+'การลงระหว่างเดือน ปี 2026'!AT50</f>
        <v>#DIV/0!</v>
      </c>
      <c r="O97" s="138" t="e">
        <f>(($D97*$G97)+$D97)+'การลงระหว่างเดือน ปี 2026'!AU50</f>
        <v>#DIV/0!</v>
      </c>
      <c r="P97" s="106" t="e">
        <f>(($D97*$G97)+$D97)+'การลงระหว่างเดือน ปี 2026'!AV50</f>
        <v>#DIV/0!</v>
      </c>
      <c r="Q97" s="106" t="e">
        <f>(($D97*$G97)+$D97)+'การลงระหว่างเดือน ปี 2026'!AW50</f>
        <v>#DIV/0!</v>
      </c>
      <c r="R97" s="106" t="e">
        <f>(($D97*$G97)+$D97)+'การลงระหว่างเดือน ปี 2026'!AX50</f>
        <v>#DIV/0!</v>
      </c>
      <c r="S97" s="106" t="e">
        <f>(($D97*$G97)+$D97)+'การลงระหว่างเดือน ปี 2026'!AY50</f>
        <v>#DIV/0!</v>
      </c>
      <c r="T97" s="252" t="e">
        <f>(($D97*$G97)+$D97)+'การลงระหว่างเดือน ปี 2026'!AZ50</f>
        <v>#DIV/0!</v>
      </c>
      <c r="U97" s="157" t="e">
        <f t="shared" si="82"/>
        <v>#DIV/0!</v>
      </c>
      <c r="V97" s="92" t="e">
        <f t="shared" si="89"/>
        <v>#DIV/0!</v>
      </c>
      <c r="W97" s="93" t="e">
        <f t="shared" si="90"/>
        <v>#DIV/0!</v>
      </c>
      <c r="X97" s="93" t="e">
        <f t="shared" si="91"/>
        <v>#DIV/0!</v>
      </c>
      <c r="Y97" s="93" t="e">
        <f t="shared" si="92"/>
        <v>#DIV/0!</v>
      </c>
      <c r="Z97" s="93" t="e">
        <f t="shared" si="93"/>
        <v>#DIV/0!</v>
      </c>
      <c r="AA97" s="93" t="e">
        <f t="shared" si="94"/>
        <v>#DIV/0!</v>
      </c>
      <c r="AB97" s="93" t="e">
        <f t="shared" si="95"/>
        <v>#DIV/0!</v>
      </c>
      <c r="AC97" s="93" t="e">
        <f t="shared" si="96"/>
        <v>#DIV/0!</v>
      </c>
      <c r="AD97" s="93" t="e">
        <f t="shared" si="97"/>
        <v>#DIV/0!</v>
      </c>
      <c r="AE97" s="93" t="e">
        <f t="shared" si="98"/>
        <v>#DIV/0!</v>
      </c>
      <c r="AF97" s="93" t="e">
        <f t="shared" si="99"/>
        <v>#DIV/0!</v>
      </c>
      <c r="AG97" s="93" t="e">
        <f t="shared" si="100"/>
        <v>#DIV/0!</v>
      </c>
      <c r="AH97" s="294" t="e">
        <f t="shared" si="101"/>
        <v>#DIV/0!</v>
      </c>
      <c r="AI97" s="582" t="s">
        <v>634</v>
      </c>
      <c r="AJ97" s="444">
        <f t="shared" si="83"/>
        <v>-1</v>
      </c>
      <c r="AK97" s="408"/>
    </row>
    <row r="98" spans="1:37" s="12" customFormat="1" x14ac:dyDescent="0.25">
      <c r="A98" s="161">
        <f>'งบกำไรขาดทุน ปี 2025'!A98</f>
        <v>0</v>
      </c>
      <c r="B98" s="15" t="str">
        <f>'งบกำไรขาดทุน ปี 2025'!B98</f>
        <v>รวมค่าซ่อมแซมและค่าบำรุงรักษา</v>
      </c>
      <c r="C98" s="26">
        <f>'งบกำไรขาดทุน ปี 2025'!O98</f>
        <v>0</v>
      </c>
      <c r="D98" s="27">
        <f t="shared" si="86"/>
        <v>0</v>
      </c>
      <c r="E98" s="146">
        <f t="shared" si="106"/>
        <v>0</v>
      </c>
      <c r="F98" s="224" t="e">
        <f t="shared" si="87"/>
        <v>#DIV/0!</v>
      </c>
      <c r="G98" s="224"/>
      <c r="H98" s="582"/>
      <c r="I98" s="139" t="e">
        <f t="shared" ref="I98:U98" si="108">SUM(I91:I97)</f>
        <v>#DIV/0!</v>
      </c>
      <c r="J98" s="107" t="e">
        <f t="shared" si="108"/>
        <v>#DIV/0!</v>
      </c>
      <c r="K98" s="107" t="e">
        <f t="shared" si="108"/>
        <v>#DIV/0!</v>
      </c>
      <c r="L98" s="107" t="e">
        <f t="shared" si="108"/>
        <v>#DIV/0!</v>
      </c>
      <c r="M98" s="107" t="e">
        <f t="shared" si="108"/>
        <v>#DIV/0!</v>
      </c>
      <c r="N98" s="235" t="e">
        <f t="shared" si="108"/>
        <v>#DIV/0!</v>
      </c>
      <c r="O98" s="139" t="e">
        <f t="shared" si="108"/>
        <v>#DIV/0!</v>
      </c>
      <c r="P98" s="107" t="e">
        <f t="shared" si="108"/>
        <v>#DIV/0!</v>
      </c>
      <c r="Q98" s="107" t="e">
        <f t="shared" si="108"/>
        <v>#DIV/0!</v>
      </c>
      <c r="R98" s="107" t="e">
        <f t="shared" si="108"/>
        <v>#DIV/0!</v>
      </c>
      <c r="S98" s="107" t="e">
        <f t="shared" si="108"/>
        <v>#DIV/0!</v>
      </c>
      <c r="T98" s="248" t="e">
        <f t="shared" si="108"/>
        <v>#DIV/0!</v>
      </c>
      <c r="U98" s="107" t="e">
        <f t="shared" si="108"/>
        <v>#DIV/0!</v>
      </c>
      <c r="V98" s="94" t="e">
        <f t="shared" si="89"/>
        <v>#DIV/0!</v>
      </c>
      <c r="W98" s="56" t="e">
        <f t="shared" si="90"/>
        <v>#DIV/0!</v>
      </c>
      <c r="X98" s="56" t="e">
        <f t="shared" si="91"/>
        <v>#DIV/0!</v>
      </c>
      <c r="Y98" s="56" t="e">
        <f t="shared" si="92"/>
        <v>#DIV/0!</v>
      </c>
      <c r="Z98" s="56" t="e">
        <f t="shared" si="93"/>
        <v>#DIV/0!</v>
      </c>
      <c r="AA98" s="56" t="e">
        <f t="shared" si="94"/>
        <v>#DIV/0!</v>
      </c>
      <c r="AB98" s="56" t="e">
        <f t="shared" si="95"/>
        <v>#DIV/0!</v>
      </c>
      <c r="AC98" s="56" t="e">
        <f t="shared" si="96"/>
        <v>#DIV/0!</v>
      </c>
      <c r="AD98" s="56" t="e">
        <f t="shared" si="97"/>
        <v>#DIV/0!</v>
      </c>
      <c r="AE98" s="56" t="e">
        <f t="shared" si="98"/>
        <v>#DIV/0!</v>
      </c>
      <c r="AF98" s="56" t="e">
        <f t="shared" si="99"/>
        <v>#DIV/0!</v>
      </c>
      <c r="AG98" s="56" t="e">
        <f t="shared" si="100"/>
        <v>#DIV/0!</v>
      </c>
      <c r="AH98" s="290" t="e">
        <f t="shared" si="101"/>
        <v>#DIV/0!</v>
      </c>
      <c r="AI98" s="582"/>
      <c r="AJ98" s="444">
        <f t="shared" si="83"/>
        <v>-1</v>
      </c>
      <c r="AK98" s="408"/>
    </row>
    <row r="99" spans="1:37" x14ac:dyDescent="0.25">
      <c r="A99" s="58">
        <f>'งบกำไรขาดทุน ปี 2025'!A99</f>
        <v>0</v>
      </c>
      <c r="B99" s="16" t="str">
        <f>'งบกำไรขาดทุน ปี 2025'!B99</f>
        <v>ค่าสาธารณูปโภค</v>
      </c>
      <c r="C99" s="215">
        <f>'งบกำไรขาดทุน ปี 2025'!O99</f>
        <v>0</v>
      </c>
      <c r="D99" s="188"/>
      <c r="E99" s="189"/>
      <c r="F99" s="225"/>
      <c r="G99" s="225"/>
      <c r="H99" s="580"/>
      <c r="I99" s="190"/>
      <c r="J99" s="181"/>
      <c r="K99" s="181"/>
      <c r="L99" s="181"/>
      <c r="M99" s="181"/>
      <c r="N99" s="236"/>
      <c r="O99" s="190"/>
      <c r="P99" s="181"/>
      <c r="Q99" s="181"/>
      <c r="R99" s="181"/>
      <c r="S99" s="181"/>
      <c r="T99" s="249"/>
      <c r="U99" s="182"/>
      <c r="V99" s="183"/>
      <c r="W99" s="184"/>
      <c r="X99" s="184"/>
      <c r="Y99" s="184"/>
      <c r="Z99" s="184"/>
      <c r="AA99" s="184"/>
      <c r="AB99" s="184"/>
      <c r="AC99" s="184"/>
      <c r="AD99" s="184"/>
      <c r="AE99" s="184"/>
      <c r="AF99" s="184"/>
      <c r="AG99" s="184"/>
      <c r="AH99" s="291"/>
      <c r="AI99" s="580"/>
      <c r="AJ99" s="444">
        <f t="shared" si="83"/>
        <v>-1</v>
      </c>
      <c r="AK99" s="408"/>
    </row>
    <row r="100" spans="1:37" x14ac:dyDescent="0.25">
      <c r="A100" s="58">
        <f>'งบกำไรขาดทุน ปี 2025'!A100</f>
        <v>60700001</v>
      </c>
      <c r="B100" s="16" t="str">
        <f>'งบกำไรขาดทุน ปี 2025'!B100</f>
        <v>ค่าโทรศัพท์</v>
      </c>
      <c r="C100" s="20">
        <f>'งบกำไรขาดทุน ปี 2025'!O100</f>
        <v>0</v>
      </c>
      <c r="D100" s="21">
        <f t="shared" si="86"/>
        <v>0</v>
      </c>
      <c r="E100" s="141">
        <f t="shared" ref="E100:E111" si="109">D100*$E$5</f>
        <v>0</v>
      </c>
      <c r="F100" s="221" t="e">
        <f t="shared" si="87"/>
        <v>#DIV/0!</v>
      </c>
      <c r="G100" s="696" t="e">
        <f>$U$2</f>
        <v>#DIV/0!</v>
      </c>
      <c r="H100" s="582" t="s">
        <v>633</v>
      </c>
      <c r="I100" s="137" t="e">
        <f t="shared" ref="I100:T107" si="110">(($D100*$G100)+$D100)</f>
        <v>#DIV/0!</v>
      </c>
      <c r="J100" s="105" t="e">
        <f t="shared" si="110"/>
        <v>#DIV/0!</v>
      </c>
      <c r="K100" s="105" t="e">
        <f t="shared" si="110"/>
        <v>#DIV/0!</v>
      </c>
      <c r="L100" s="105" t="e">
        <f t="shared" si="110"/>
        <v>#DIV/0!</v>
      </c>
      <c r="M100" s="105" t="e">
        <f t="shared" si="110"/>
        <v>#DIV/0!</v>
      </c>
      <c r="N100" s="233" t="e">
        <f t="shared" si="110"/>
        <v>#DIV/0!</v>
      </c>
      <c r="O100" s="137" t="e">
        <f t="shared" si="110"/>
        <v>#DIV/0!</v>
      </c>
      <c r="P100" s="105" t="e">
        <f t="shared" si="110"/>
        <v>#DIV/0!</v>
      </c>
      <c r="Q100" s="105" t="e">
        <f t="shared" si="110"/>
        <v>#DIV/0!</v>
      </c>
      <c r="R100" s="105" t="e">
        <f t="shared" si="110"/>
        <v>#DIV/0!</v>
      </c>
      <c r="S100" s="105" t="e">
        <f t="shared" si="110"/>
        <v>#DIV/0!</v>
      </c>
      <c r="T100" s="246" t="e">
        <f t="shared" si="110"/>
        <v>#DIV/0!</v>
      </c>
      <c r="U100" s="154" t="e">
        <f t="shared" si="82"/>
        <v>#DIV/0!</v>
      </c>
      <c r="V100" s="91" t="e">
        <f t="shared" si="89"/>
        <v>#DIV/0!</v>
      </c>
      <c r="W100" s="55" t="e">
        <f t="shared" si="90"/>
        <v>#DIV/0!</v>
      </c>
      <c r="X100" s="55" t="e">
        <f t="shared" si="91"/>
        <v>#DIV/0!</v>
      </c>
      <c r="Y100" s="55" t="e">
        <f t="shared" si="92"/>
        <v>#DIV/0!</v>
      </c>
      <c r="Z100" s="55" t="e">
        <f t="shared" si="93"/>
        <v>#DIV/0!</v>
      </c>
      <c r="AA100" s="55" t="e">
        <f t="shared" si="94"/>
        <v>#DIV/0!</v>
      </c>
      <c r="AB100" s="55" t="e">
        <f t="shared" si="95"/>
        <v>#DIV/0!</v>
      </c>
      <c r="AC100" s="55" t="e">
        <f t="shared" si="96"/>
        <v>#DIV/0!</v>
      </c>
      <c r="AD100" s="55" t="e">
        <f t="shared" si="97"/>
        <v>#DIV/0!</v>
      </c>
      <c r="AE100" s="55" t="e">
        <f t="shared" si="98"/>
        <v>#DIV/0!</v>
      </c>
      <c r="AF100" s="55" t="e">
        <f t="shared" si="99"/>
        <v>#DIV/0!</v>
      </c>
      <c r="AG100" s="55" t="e">
        <f t="shared" si="100"/>
        <v>#DIV/0!</v>
      </c>
      <c r="AH100" s="288" t="e">
        <f t="shared" si="101"/>
        <v>#DIV/0!</v>
      </c>
      <c r="AI100" s="582" t="s">
        <v>634</v>
      </c>
      <c r="AJ100" s="444">
        <f t="shared" si="83"/>
        <v>-1</v>
      </c>
      <c r="AK100" s="408"/>
    </row>
    <row r="101" spans="1:37" x14ac:dyDescent="0.25">
      <c r="A101" s="58">
        <f>'งบกำไรขาดทุน ปี 2025'!A101</f>
        <v>60700002</v>
      </c>
      <c r="B101" s="16" t="str">
        <f>'งบกำไรขาดทุน ปี 2025'!B101</f>
        <v>ค่าน้ำประปา</v>
      </c>
      <c r="C101" s="20">
        <f>'งบกำไรขาดทุน ปี 2025'!O101</f>
        <v>0</v>
      </c>
      <c r="D101" s="21">
        <f t="shared" si="86"/>
        <v>0</v>
      </c>
      <c r="E101" s="141">
        <f t="shared" si="109"/>
        <v>0</v>
      </c>
      <c r="F101" s="221" t="e">
        <f t="shared" si="87"/>
        <v>#DIV/0!</v>
      </c>
      <c r="G101" s="696" t="e">
        <f t="shared" ref="G101:G110" si="111">$U$2</f>
        <v>#DIV/0!</v>
      </c>
      <c r="H101" s="582" t="s">
        <v>633</v>
      </c>
      <c r="I101" s="137" t="e">
        <f t="shared" si="110"/>
        <v>#DIV/0!</v>
      </c>
      <c r="J101" s="105" t="e">
        <f t="shared" si="110"/>
        <v>#DIV/0!</v>
      </c>
      <c r="K101" s="105" t="e">
        <f t="shared" si="110"/>
        <v>#DIV/0!</v>
      </c>
      <c r="L101" s="105" t="e">
        <f t="shared" si="110"/>
        <v>#DIV/0!</v>
      </c>
      <c r="M101" s="105" t="e">
        <f t="shared" si="110"/>
        <v>#DIV/0!</v>
      </c>
      <c r="N101" s="233" t="e">
        <f t="shared" si="110"/>
        <v>#DIV/0!</v>
      </c>
      <c r="O101" s="137" t="e">
        <f t="shared" si="110"/>
        <v>#DIV/0!</v>
      </c>
      <c r="P101" s="105" t="e">
        <f t="shared" si="110"/>
        <v>#DIV/0!</v>
      </c>
      <c r="Q101" s="105" t="e">
        <f t="shared" si="110"/>
        <v>#DIV/0!</v>
      </c>
      <c r="R101" s="105" t="e">
        <f t="shared" si="110"/>
        <v>#DIV/0!</v>
      </c>
      <c r="S101" s="105" t="e">
        <f t="shared" si="110"/>
        <v>#DIV/0!</v>
      </c>
      <c r="T101" s="246" t="e">
        <f t="shared" si="110"/>
        <v>#DIV/0!</v>
      </c>
      <c r="U101" s="154" t="e">
        <f t="shared" si="82"/>
        <v>#DIV/0!</v>
      </c>
      <c r="V101" s="91" t="e">
        <f t="shared" si="89"/>
        <v>#DIV/0!</v>
      </c>
      <c r="W101" s="55" t="e">
        <f t="shared" si="90"/>
        <v>#DIV/0!</v>
      </c>
      <c r="X101" s="55" t="e">
        <f t="shared" si="91"/>
        <v>#DIV/0!</v>
      </c>
      <c r="Y101" s="55" t="e">
        <f t="shared" si="92"/>
        <v>#DIV/0!</v>
      </c>
      <c r="Z101" s="55" t="e">
        <f t="shared" si="93"/>
        <v>#DIV/0!</v>
      </c>
      <c r="AA101" s="55" t="e">
        <f t="shared" si="94"/>
        <v>#DIV/0!</v>
      </c>
      <c r="AB101" s="55" t="e">
        <f t="shared" si="95"/>
        <v>#DIV/0!</v>
      </c>
      <c r="AC101" s="55" t="e">
        <f t="shared" si="96"/>
        <v>#DIV/0!</v>
      </c>
      <c r="AD101" s="55" t="e">
        <f t="shared" si="97"/>
        <v>#DIV/0!</v>
      </c>
      <c r="AE101" s="55" t="e">
        <f t="shared" si="98"/>
        <v>#DIV/0!</v>
      </c>
      <c r="AF101" s="55" t="e">
        <f t="shared" si="99"/>
        <v>#DIV/0!</v>
      </c>
      <c r="AG101" s="55" t="e">
        <f t="shared" si="100"/>
        <v>#DIV/0!</v>
      </c>
      <c r="AH101" s="288" t="e">
        <f t="shared" si="101"/>
        <v>#DIV/0!</v>
      </c>
      <c r="AI101" s="582" t="s">
        <v>634</v>
      </c>
      <c r="AJ101" s="444">
        <f t="shared" si="83"/>
        <v>-1</v>
      </c>
      <c r="AK101" s="408"/>
    </row>
    <row r="102" spans="1:37" x14ac:dyDescent="0.25">
      <c r="A102" s="58">
        <f>'งบกำไรขาดทุน ปี 2025'!A102</f>
        <v>60700003</v>
      </c>
      <c r="B102" s="16" t="str">
        <f>'งบกำไรขาดทุน ปี 2025'!B102</f>
        <v>ค่าไฟฟ้า</v>
      </c>
      <c r="C102" s="20">
        <f>'งบกำไรขาดทุน ปี 2025'!O102</f>
        <v>0</v>
      </c>
      <c r="D102" s="21">
        <f t="shared" si="86"/>
        <v>0</v>
      </c>
      <c r="E102" s="141">
        <f t="shared" si="109"/>
        <v>0</v>
      </c>
      <c r="F102" s="221" t="e">
        <f t="shared" si="87"/>
        <v>#DIV/0!</v>
      </c>
      <c r="G102" s="696" t="e">
        <f t="shared" si="111"/>
        <v>#DIV/0!</v>
      </c>
      <c r="H102" s="582" t="s">
        <v>633</v>
      </c>
      <c r="I102" s="137" t="e">
        <f t="shared" si="110"/>
        <v>#DIV/0!</v>
      </c>
      <c r="J102" s="105" t="e">
        <f t="shared" si="110"/>
        <v>#DIV/0!</v>
      </c>
      <c r="K102" s="105" t="e">
        <f t="shared" si="110"/>
        <v>#DIV/0!</v>
      </c>
      <c r="L102" s="105" t="e">
        <f t="shared" si="110"/>
        <v>#DIV/0!</v>
      </c>
      <c r="M102" s="105" t="e">
        <f t="shared" si="110"/>
        <v>#DIV/0!</v>
      </c>
      <c r="N102" s="233" t="e">
        <f t="shared" si="110"/>
        <v>#DIV/0!</v>
      </c>
      <c r="O102" s="137" t="e">
        <f t="shared" si="110"/>
        <v>#DIV/0!</v>
      </c>
      <c r="P102" s="105" t="e">
        <f t="shared" si="110"/>
        <v>#DIV/0!</v>
      </c>
      <c r="Q102" s="105" t="e">
        <f t="shared" si="110"/>
        <v>#DIV/0!</v>
      </c>
      <c r="R102" s="105" t="e">
        <f t="shared" si="110"/>
        <v>#DIV/0!</v>
      </c>
      <c r="S102" s="105" t="e">
        <f t="shared" si="110"/>
        <v>#DIV/0!</v>
      </c>
      <c r="T102" s="246" t="e">
        <f t="shared" si="110"/>
        <v>#DIV/0!</v>
      </c>
      <c r="U102" s="154" t="e">
        <f t="shared" si="82"/>
        <v>#DIV/0!</v>
      </c>
      <c r="V102" s="91" t="e">
        <f t="shared" si="89"/>
        <v>#DIV/0!</v>
      </c>
      <c r="W102" s="55" t="e">
        <f t="shared" si="90"/>
        <v>#DIV/0!</v>
      </c>
      <c r="X102" s="55" t="e">
        <f t="shared" si="91"/>
        <v>#DIV/0!</v>
      </c>
      <c r="Y102" s="55" t="e">
        <f t="shared" si="92"/>
        <v>#DIV/0!</v>
      </c>
      <c r="Z102" s="55" t="e">
        <f t="shared" si="93"/>
        <v>#DIV/0!</v>
      </c>
      <c r="AA102" s="55" t="e">
        <f t="shared" si="94"/>
        <v>#DIV/0!</v>
      </c>
      <c r="AB102" s="55" t="e">
        <f t="shared" si="95"/>
        <v>#DIV/0!</v>
      </c>
      <c r="AC102" s="55" t="e">
        <f t="shared" si="96"/>
        <v>#DIV/0!</v>
      </c>
      <c r="AD102" s="55" t="e">
        <f t="shared" si="97"/>
        <v>#DIV/0!</v>
      </c>
      <c r="AE102" s="55" t="e">
        <f t="shared" si="98"/>
        <v>#DIV/0!</v>
      </c>
      <c r="AF102" s="55" t="e">
        <f t="shared" si="99"/>
        <v>#DIV/0!</v>
      </c>
      <c r="AG102" s="55" t="e">
        <f t="shared" si="100"/>
        <v>#DIV/0!</v>
      </c>
      <c r="AH102" s="288" t="e">
        <f t="shared" si="101"/>
        <v>#DIV/0!</v>
      </c>
      <c r="AI102" s="582" t="s">
        <v>634</v>
      </c>
      <c r="AJ102" s="444">
        <f t="shared" si="83"/>
        <v>-1</v>
      </c>
      <c r="AK102" s="408"/>
    </row>
    <row r="103" spans="1:37" x14ac:dyDescent="0.25">
      <c r="A103" s="58">
        <f>'งบกำไรขาดทุน ปี 2025'!A103</f>
        <v>60700005</v>
      </c>
      <c r="B103" s="16" t="str">
        <f>'งบกำไรขาดทุน ปี 2025'!B103</f>
        <v>ค่าบริจาค</v>
      </c>
      <c r="C103" s="20">
        <f>'งบกำไรขาดทุน ปี 2025'!O103</f>
        <v>0</v>
      </c>
      <c r="D103" s="21">
        <f t="shared" si="86"/>
        <v>0</v>
      </c>
      <c r="E103" s="141">
        <f t="shared" si="109"/>
        <v>0</v>
      </c>
      <c r="F103" s="221" t="e">
        <f t="shared" si="87"/>
        <v>#DIV/0!</v>
      </c>
      <c r="G103" s="696" t="e">
        <f t="shared" si="111"/>
        <v>#DIV/0!</v>
      </c>
      <c r="H103" s="582" t="s">
        <v>633</v>
      </c>
      <c r="I103" s="137" t="e">
        <f t="shared" si="110"/>
        <v>#DIV/0!</v>
      </c>
      <c r="J103" s="105" t="e">
        <f t="shared" si="110"/>
        <v>#DIV/0!</v>
      </c>
      <c r="K103" s="105" t="e">
        <f t="shared" si="110"/>
        <v>#DIV/0!</v>
      </c>
      <c r="L103" s="105" t="e">
        <f t="shared" si="110"/>
        <v>#DIV/0!</v>
      </c>
      <c r="M103" s="105" t="e">
        <f t="shared" si="110"/>
        <v>#DIV/0!</v>
      </c>
      <c r="N103" s="233" t="e">
        <f t="shared" si="110"/>
        <v>#DIV/0!</v>
      </c>
      <c r="O103" s="137" t="e">
        <f t="shared" si="110"/>
        <v>#DIV/0!</v>
      </c>
      <c r="P103" s="105" t="e">
        <f t="shared" si="110"/>
        <v>#DIV/0!</v>
      </c>
      <c r="Q103" s="105" t="e">
        <f t="shared" si="110"/>
        <v>#DIV/0!</v>
      </c>
      <c r="R103" s="105" t="e">
        <f t="shared" si="110"/>
        <v>#DIV/0!</v>
      </c>
      <c r="S103" s="105" t="e">
        <f t="shared" si="110"/>
        <v>#DIV/0!</v>
      </c>
      <c r="T103" s="246" t="e">
        <f t="shared" si="110"/>
        <v>#DIV/0!</v>
      </c>
      <c r="U103" s="154" t="e">
        <f t="shared" si="82"/>
        <v>#DIV/0!</v>
      </c>
      <c r="V103" s="91" t="e">
        <f t="shared" si="89"/>
        <v>#DIV/0!</v>
      </c>
      <c r="W103" s="55" t="e">
        <f t="shared" si="90"/>
        <v>#DIV/0!</v>
      </c>
      <c r="X103" s="55" t="e">
        <f t="shared" si="91"/>
        <v>#DIV/0!</v>
      </c>
      <c r="Y103" s="55" t="e">
        <f t="shared" si="92"/>
        <v>#DIV/0!</v>
      </c>
      <c r="Z103" s="55" t="e">
        <f t="shared" si="93"/>
        <v>#DIV/0!</v>
      </c>
      <c r="AA103" s="55" t="e">
        <f t="shared" si="94"/>
        <v>#DIV/0!</v>
      </c>
      <c r="AB103" s="55" t="e">
        <f t="shared" si="95"/>
        <v>#DIV/0!</v>
      </c>
      <c r="AC103" s="55" t="e">
        <f t="shared" si="96"/>
        <v>#DIV/0!</v>
      </c>
      <c r="AD103" s="55" t="e">
        <f t="shared" si="97"/>
        <v>#DIV/0!</v>
      </c>
      <c r="AE103" s="55" t="e">
        <f t="shared" si="98"/>
        <v>#DIV/0!</v>
      </c>
      <c r="AF103" s="55" t="e">
        <f t="shared" si="99"/>
        <v>#DIV/0!</v>
      </c>
      <c r="AG103" s="55" t="e">
        <f t="shared" si="100"/>
        <v>#DIV/0!</v>
      </c>
      <c r="AH103" s="288" t="e">
        <f t="shared" si="101"/>
        <v>#DIV/0!</v>
      </c>
      <c r="AI103" s="582" t="s">
        <v>634</v>
      </c>
      <c r="AJ103" s="444">
        <f t="shared" si="83"/>
        <v>-1</v>
      </c>
      <c r="AK103" s="408"/>
    </row>
    <row r="104" spans="1:37" x14ac:dyDescent="0.25">
      <c r="A104" s="58">
        <f>'งบกำไรขาดทุน ปี 2025'!A104</f>
        <v>60700006</v>
      </c>
      <c r="B104" s="16" t="str">
        <f>'งบกำไรขาดทุน ปี 2025'!B104</f>
        <v>ค่าประกันภัย</v>
      </c>
      <c r="C104" s="20">
        <f>'งบกำไรขาดทุน ปี 2025'!O104</f>
        <v>0</v>
      </c>
      <c r="D104" s="21">
        <f t="shared" si="86"/>
        <v>0</v>
      </c>
      <c r="E104" s="141">
        <f t="shared" si="109"/>
        <v>0</v>
      </c>
      <c r="F104" s="221" t="e">
        <f t="shared" si="87"/>
        <v>#DIV/0!</v>
      </c>
      <c r="G104" s="696" t="e">
        <f t="shared" si="111"/>
        <v>#DIV/0!</v>
      </c>
      <c r="H104" s="582" t="s">
        <v>633</v>
      </c>
      <c r="I104" s="137" t="e">
        <f t="shared" si="110"/>
        <v>#DIV/0!</v>
      </c>
      <c r="J104" s="105" t="e">
        <f t="shared" si="110"/>
        <v>#DIV/0!</v>
      </c>
      <c r="K104" s="105" t="e">
        <f t="shared" si="110"/>
        <v>#DIV/0!</v>
      </c>
      <c r="L104" s="105" t="e">
        <f t="shared" si="110"/>
        <v>#DIV/0!</v>
      </c>
      <c r="M104" s="105" t="e">
        <f t="shared" si="110"/>
        <v>#DIV/0!</v>
      </c>
      <c r="N104" s="233" t="e">
        <f t="shared" si="110"/>
        <v>#DIV/0!</v>
      </c>
      <c r="O104" s="137" t="e">
        <f t="shared" si="110"/>
        <v>#DIV/0!</v>
      </c>
      <c r="P104" s="105" t="e">
        <f t="shared" si="110"/>
        <v>#DIV/0!</v>
      </c>
      <c r="Q104" s="105" t="e">
        <f t="shared" si="110"/>
        <v>#DIV/0!</v>
      </c>
      <c r="R104" s="105" t="e">
        <f t="shared" si="110"/>
        <v>#DIV/0!</v>
      </c>
      <c r="S104" s="105" t="e">
        <f t="shared" si="110"/>
        <v>#DIV/0!</v>
      </c>
      <c r="T104" s="246" t="e">
        <f t="shared" si="110"/>
        <v>#DIV/0!</v>
      </c>
      <c r="U104" s="154" t="e">
        <f t="shared" si="82"/>
        <v>#DIV/0!</v>
      </c>
      <c r="V104" s="91" t="e">
        <f t="shared" si="89"/>
        <v>#DIV/0!</v>
      </c>
      <c r="W104" s="55" t="e">
        <f t="shared" si="90"/>
        <v>#DIV/0!</v>
      </c>
      <c r="X104" s="55" t="e">
        <f t="shared" si="91"/>
        <v>#DIV/0!</v>
      </c>
      <c r="Y104" s="55" t="e">
        <f t="shared" si="92"/>
        <v>#DIV/0!</v>
      </c>
      <c r="Z104" s="55" t="e">
        <f t="shared" si="93"/>
        <v>#DIV/0!</v>
      </c>
      <c r="AA104" s="55" t="e">
        <f t="shared" si="94"/>
        <v>#DIV/0!</v>
      </c>
      <c r="AB104" s="55" t="e">
        <f t="shared" si="95"/>
        <v>#DIV/0!</v>
      </c>
      <c r="AC104" s="55" t="e">
        <f t="shared" si="96"/>
        <v>#DIV/0!</v>
      </c>
      <c r="AD104" s="55" t="e">
        <f t="shared" si="97"/>
        <v>#DIV/0!</v>
      </c>
      <c r="AE104" s="55" t="e">
        <f t="shared" si="98"/>
        <v>#DIV/0!</v>
      </c>
      <c r="AF104" s="55" t="e">
        <f t="shared" si="99"/>
        <v>#DIV/0!</v>
      </c>
      <c r="AG104" s="55" t="e">
        <f t="shared" si="100"/>
        <v>#DIV/0!</v>
      </c>
      <c r="AH104" s="288" t="e">
        <f t="shared" si="101"/>
        <v>#DIV/0!</v>
      </c>
      <c r="AI104" s="582" t="s">
        <v>633</v>
      </c>
      <c r="AJ104" s="444">
        <f t="shared" si="83"/>
        <v>-1</v>
      </c>
      <c r="AK104" s="408"/>
    </row>
    <row r="105" spans="1:37" x14ac:dyDescent="0.25">
      <c r="A105" s="58">
        <f>'งบกำไรขาดทุน ปี 2025'!A105</f>
        <v>60700009</v>
      </c>
      <c r="B105" s="16" t="str">
        <f>'งบกำไรขาดทุน ปี 2025'!B105</f>
        <v>ค่าเช่าอื่นๆ</v>
      </c>
      <c r="C105" s="20">
        <f>'งบกำไรขาดทุน ปี 2025'!O105</f>
        <v>0</v>
      </c>
      <c r="D105" s="21">
        <f t="shared" si="86"/>
        <v>0</v>
      </c>
      <c r="E105" s="141">
        <f t="shared" si="109"/>
        <v>0</v>
      </c>
      <c r="F105" s="221" t="e">
        <f t="shared" si="87"/>
        <v>#DIV/0!</v>
      </c>
      <c r="G105" s="696" t="e">
        <f t="shared" si="111"/>
        <v>#DIV/0!</v>
      </c>
      <c r="H105" s="582" t="s">
        <v>633</v>
      </c>
      <c r="I105" s="137" t="e">
        <f t="shared" si="110"/>
        <v>#DIV/0!</v>
      </c>
      <c r="J105" s="105" t="e">
        <f t="shared" si="110"/>
        <v>#DIV/0!</v>
      </c>
      <c r="K105" s="105" t="e">
        <f t="shared" si="110"/>
        <v>#DIV/0!</v>
      </c>
      <c r="L105" s="105" t="e">
        <f t="shared" si="110"/>
        <v>#DIV/0!</v>
      </c>
      <c r="M105" s="105" t="e">
        <f t="shared" si="110"/>
        <v>#DIV/0!</v>
      </c>
      <c r="N105" s="233" t="e">
        <f t="shared" si="110"/>
        <v>#DIV/0!</v>
      </c>
      <c r="O105" s="137" t="e">
        <f t="shared" si="110"/>
        <v>#DIV/0!</v>
      </c>
      <c r="P105" s="105" t="e">
        <f t="shared" si="110"/>
        <v>#DIV/0!</v>
      </c>
      <c r="Q105" s="105" t="e">
        <f t="shared" si="110"/>
        <v>#DIV/0!</v>
      </c>
      <c r="R105" s="105" t="e">
        <f t="shared" si="110"/>
        <v>#DIV/0!</v>
      </c>
      <c r="S105" s="105" t="e">
        <f t="shared" si="110"/>
        <v>#DIV/0!</v>
      </c>
      <c r="T105" s="246" t="e">
        <f t="shared" si="110"/>
        <v>#DIV/0!</v>
      </c>
      <c r="U105" s="154" t="e">
        <f t="shared" si="82"/>
        <v>#DIV/0!</v>
      </c>
      <c r="V105" s="91" t="e">
        <f t="shared" si="89"/>
        <v>#DIV/0!</v>
      </c>
      <c r="W105" s="55" t="e">
        <f t="shared" si="90"/>
        <v>#DIV/0!</v>
      </c>
      <c r="X105" s="55" t="e">
        <f t="shared" si="91"/>
        <v>#DIV/0!</v>
      </c>
      <c r="Y105" s="55" t="e">
        <f t="shared" si="92"/>
        <v>#DIV/0!</v>
      </c>
      <c r="Z105" s="55" t="e">
        <f t="shared" si="93"/>
        <v>#DIV/0!</v>
      </c>
      <c r="AA105" s="55" t="e">
        <f t="shared" si="94"/>
        <v>#DIV/0!</v>
      </c>
      <c r="AB105" s="55" t="e">
        <f t="shared" si="95"/>
        <v>#DIV/0!</v>
      </c>
      <c r="AC105" s="55" t="e">
        <f t="shared" si="96"/>
        <v>#DIV/0!</v>
      </c>
      <c r="AD105" s="55" t="e">
        <f t="shared" si="97"/>
        <v>#DIV/0!</v>
      </c>
      <c r="AE105" s="55" t="e">
        <f t="shared" si="98"/>
        <v>#DIV/0!</v>
      </c>
      <c r="AF105" s="55" t="e">
        <f t="shared" si="99"/>
        <v>#DIV/0!</v>
      </c>
      <c r="AG105" s="55" t="e">
        <f t="shared" si="100"/>
        <v>#DIV/0!</v>
      </c>
      <c r="AH105" s="288" t="e">
        <f t="shared" si="101"/>
        <v>#DIV/0!</v>
      </c>
      <c r="AI105" s="582" t="s">
        <v>633</v>
      </c>
      <c r="AJ105" s="444">
        <f t="shared" si="83"/>
        <v>-1</v>
      </c>
      <c r="AK105" s="408"/>
    </row>
    <row r="106" spans="1:37" x14ac:dyDescent="0.25">
      <c r="A106" s="58">
        <f>'งบกำไรขาดทุน ปี 2025'!A106</f>
        <v>60700010</v>
      </c>
      <c r="B106" s="16" t="str">
        <f>'งบกำไรขาดทุน ปี 2025'!B106</f>
        <v>ค่าบริการ Internet</v>
      </c>
      <c r="C106" s="20">
        <f>'งบกำไรขาดทุน ปี 2025'!O106</f>
        <v>0</v>
      </c>
      <c r="D106" s="21">
        <f t="shared" si="86"/>
        <v>0</v>
      </c>
      <c r="E106" s="141">
        <f t="shared" si="109"/>
        <v>0</v>
      </c>
      <c r="F106" s="221" t="e">
        <f t="shared" si="87"/>
        <v>#DIV/0!</v>
      </c>
      <c r="G106" s="696" t="e">
        <f t="shared" si="111"/>
        <v>#DIV/0!</v>
      </c>
      <c r="H106" s="582" t="s">
        <v>633</v>
      </c>
      <c r="I106" s="137" t="e">
        <f t="shared" si="110"/>
        <v>#DIV/0!</v>
      </c>
      <c r="J106" s="105" t="e">
        <f t="shared" si="110"/>
        <v>#DIV/0!</v>
      </c>
      <c r="K106" s="105" t="e">
        <f t="shared" si="110"/>
        <v>#DIV/0!</v>
      </c>
      <c r="L106" s="105" t="e">
        <f t="shared" si="110"/>
        <v>#DIV/0!</v>
      </c>
      <c r="M106" s="105" t="e">
        <f t="shared" si="110"/>
        <v>#DIV/0!</v>
      </c>
      <c r="N106" s="233" t="e">
        <f t="shared" si="110"/>
        <v>#DIV/0!</v>
      </c>
      <c r="O106" s="137" t="e">
        <f t="shared" si="110"/>
        <v>#DIV/0!</v>
      </c>
      <c r="P106" s="105" t="e">
        <f t="shared" si="110"/>
        <v>#DIV/0!</v>
      </c>
      <c r="Q106" s="105" t="e">
        <f t="shared" si="110"/>
        <v>#DIV/0!</v>
      </c>
      <c r="R106" s="105" t="e">
        <f t="shared" si="110"/>
        <v>#DIV/0!</v>
      </c>
      <c r="S106" s="105" t="e">
        <f t="shared" si="110"/>
        <v>#DIV/0!</v>
      </c>
      <c r="T106" s="246" t="e">
        <f t="shared" si="110"/>
        <v>#DIV/0!</v>
      </c>
      <c r="U106" s="154" t="e">
        <f t="shared" si="82"/>
        <v>#DIV/0!</v>
      </c>
      <c r="V106" s="91" t="e">
        <f t="shared" si="89"/>
        <v>#DIV/0!</v>
      </c>
      <c r="W106" s="55" t="e">
        <f t="shared" si="90"/>
        <v>#DIV/0!</v>
      </c>
      <c r="X106" s="55" t="e">
        <f t="shared" si="91"/>
        <v>#DIV/0!</v>
      </c>
      <c r="Y106" s="55" t="e">
        <f t="shared" si="92"/>
        <v>#DIV/0!</v>
      </c>
      <c r="Z106" s="55" t="e">
        <f t="shared" si="93"/>
        <v>#DIV/0!</v>
      </c>
      <c r="AA106" s="55" t="e">
        <f t="shared" si="94"/>
        <v>#DIV/0!</v>
      </c>
      <c r="AB106" s="55" t="e">
        <f t="shared" si="95"/>
        <v>#DIV/0!</v>
      </c>
      <c r="AC106" s="55" t="e">
        <f t="shared" si="96"/>
        <v>#DIV/0!</v>
      </c>
      <c r="AD106" s="55" t="e">
        <f t="shared" si="97"/>
        <v>#DIV/0!</v>
      </c>
      <c r="AE106" s="55" t="e">
        <f t="shared" si="98"/>
        <v>#DIV/0!</v>
      </c>
      <c r="AF106" s="55" t="e">
        <f t="shared" si="99"/>
        <v>#DIV/0!</v>
      </c>
      <c r="AG106" s="55" t="e">
        <f t="shared" si="100"/>
        <v>#DIV/0!</v>
      </c>
      <c r="AH106" s="288" t="e">
        <f t="shared" si="101"/>
        <v>#DIV/0!</v>
      </c>
      <c r="AI106" s="582" t="s">
        <v>633</v>
      </c>
      <c r="AJ106" s="444">
        <f t="shared" si="83"/>
        <v>-1</v>
      </c>
      <c r="AK106" s="408"/>
    </row>
    <row r="107" spans="1:37" x14ac:dyDescent="0.25">
      <c r="A107" s="58">
        <f>'งบกำไรขาดทุน ปี 2025'!A107</f>
        <v>60700013</v>
      </c>
      <c r="B107" s="16" t="str">
        <f>'งบกำไรขาดทุน ปี 2025'!B107</f>
        <v>ค่าเก็บขยะ</v>
      </c>
      <c r="C107" s="20">
        <f>'งบกำไรขาดทุน ปี 2025'!O107</f>
        <v>0</v>
      </c>
      <c r="D107" s="21">
        <f t="shared" si="86"/>
        <v>0</v>
      </c>
      <c r="E107" s="141">
        <f t="shared" si="109"/>
        <v>0</v>
      </c>
      <c r="F107" s="221" t="e">
        <f t="shared" si="87"/>
        <v>#DIV/0!</v>
      </c>
      <c r="G107" s="696" t="e">
        <f t="shared" si="111"/>
        <v>#DIV/0!</v>
      </c>
      <c r="H107" s="582" t="s">
        <v>633</v>
      </c>
      <c r="I107" s="137" t="e">
        <f t="shared" si="110"/>
        <v>#DIV/0!</v>
      </c>
      <c r="J107" s="105" t="e">
        <f t="shared" si="110"/>
        <v>#DIV/0!</v>
      </c>
      <c r="K107" s="105" t="e">
        <f t="shared" si="110"/>
        <v>#DIV/0!</v>
      </c>
      <c r="L107" s="105" t="e">
        <f t="shared" si="110"/>
        <v>#DIV/0!</v>
      </c>
      <c r="M107" s="105" t="e">
        <f t="shared" si="110"/>
        <v>#DIV/0!</v>
      </c>
      <c r="N107" s="233" t="e">
        <f t="shared" si="110"/>
        <v>#DIV/0!</v>
      </c>
      <c r="O107" s="137" t="e">
        <f t="shared" si="110"/>
        <v>#DIV/0!</v>
      </c>
      <c r="P107" s="105" t="e">
        <f t="shared" si="110"/>
        <v>#DIV/0!</v>
      </c>
      <c r="Q107" s="105" t="e">
        <f t="shared" si="110"/>
        <v>#DIV/0!</v>
      </c>
      <c r="R107" s="105" t="e">
        <f t="shared" si="110"/>
        <v>#DIV/0!</v>
      </c>
      <c r="S107" s="105" t="e">
        <f t="shared" si="110"/>
        <v>#DIV/0!</v>
      </c>
      <c r="T107" s="246" t="e">
        <f t="shared" si="110"/>
        <v>#DIV/0!</v>
      </c>
      <c r="U107" s="154" t="e">
        <f t="shared" si="82"/>
        <v>#DIV/0!</v>
      </c>
      <c r="V107" s="91" t="e">
        <f t="shared" si="89"/>
        <v>#DIV/0!</v>
      </c>
      <c r="W107" s="55" t="e">
        <f t="shared" si="90"/>
        <v>#DIV/0!</v>
      </c>
      <c r="X107" s="55" t="e">
        <f t="shared" si="91"/>
        <v>#DIV/0!</v>
      </c>
      <c r="Y107" s="55" t="e">
        <f t="shared" si="92"/>
        <v>#DIV/0!</v>
      </c>
      <c r="Z107" s="55" t="e">
        <f t="shared" si="93"/>
        <v>#DIV/0!</v>
      </c>
      <c r="AA107" s="55" t="e">
        <f t="shared" si="94"/>
        <v>#DIV/0!</v>
      </c>
      <c r="AB107" s="55" t="e">
        <f t="shared" si="95"/>
        <v>#DIV/0!</v>
      </c>
      <c r="AC107" s="55" t="e">
        <f t="shared" si="96"/>
        <v>#DIV/0!</v>
      </c>
      <c r="AD107" s="55" t="e">
        <f t="shared" si="97"/>
        <v>#DIV/0!</v>
      </c>
      <c r="AE107" s="55" t="e">
        <f t="shared" si="98"/>
        <v>#DIV/0!</v>
      </c>
      <c r="AF107" s="55" t="e">
        <f t="shared" si="99"/>
        <v>#DIV/0!</v>
      </c>
      <c r="AG107" s="55" t="e">
        <f t="shared" si="100"/>
        <v>#DIV/0!</v>
      </c>
      <c r="AH107" s="288" t="e">
        <f t="shared" si="101"/>
        <v>#DIV/0!</v>
      </c>
      <c r="AI107" s="582" t="s">
        <v>634</v>
      </c>
      <c r="AJ107" s="444">
        <f t="shared" si="83"/>
        <v>-1</v>
      </c>
      <c r="AK107" s="408"/>
    </row>
    <row r="108" spans="1:37" x14ac:dyDescent="0.25">
      <c r="A108" s="58">
        <f>'งบกำไรขาดทุน ปี 2025'!A108</f>
        <v>60700016</v>
      </c>
      <c r="B108" s="16" t="str">
        <f>'งบกำไรขาดทุน ปี 2025'!B108</f>
        <v>ค่า Pettaxi ภายใน</v>
      </c>
      <c r="C108" s="20">
        <f>'งบกำไรขาดทุน ปี 2025'!O108</f>
        <v>0</v>
      </c>
      <c r="D108" s="21">
        <f t="shared" si="86"/>
        <v>0</v>
      </c>
      <c r="E108" s="141">
        <f t="shared" si="109"/>
        <v>0</v>
      </c>
      <c r="F108" s="221" t="e">
        <f t="shared" si="87"/>
        <v>#DIV/0!</v>
      </c>
      <c r="G108" s="221"/>
      <c r="H108" s="582" t="s">
        <v>632</v>
      </c>
      <c r="I108" s="137" t="e">
        <f>((I$18*($F108+$G108)))</f>
        <v>#DIV/0!</v>
      </c>
      <c r="J108" s="105" t="e">
        <f t="shared" ref="J108:T108" si="112">((J$18*($F108+$G108)))</f>
        <v>#DIV/0!</v>
      </c>
      <c r="K108" s="105" t="e">
        <f t="shared" si="112"/>
        <v>#DIV/0!</v>
      </c>
      <c r="L108" s="105" t="e">
        <f t="shared" si="112"/>
        <v>#DIV/0!</v>
      </c>
      <c r="M108" s="105" t="e">
        <f t="shared" si="112"/>
        <v>#DIV/0!</v>
      </c>
      <c r="N108" s="233" t="e">
        <f t="shared" si="112"/>
        <v>#DIV/0!</v>
      </c>
      <c r="O108" s="137" t="e">
        <f t="shared" si="112"/>
        <v>#DIV/0!</v>
      </c>
      <c r="P108" s="105" t="e">
        <f t="shared" si="112"/>
        <v>#DIV/0!</v>
      </c>
      <c r="Q108" s="105" t="e">
        <f t="shared" si="112"/>
        <v>#DIV/0!</v>
      </c>
      <c r="R108" s="105" t="e">
        <f t="shared" si="112"/>
        <v>#DIV/0!</v>
      </c>
      <c r="S108" s="105" t="e">
        <f t="shared" si="112"/>
        <v>#DIV/0!</v>
      </c>
      <c r="T108" s="246" t="e">
        <f t="shared" si="112"/>
        <v>#DIV/0!</v>
      </c>
      <c r="U108" s="154" t="e">
        <f t="shared" si="82"/>
        <v>#DIV/0!</v>
      </c>
      <c r="V108" s="91" t="e">
        <f t="shared" si="89"/>
        <v>#DIV/0!</v>
      </c>
      <c r="W108" s="55" t="e">
        <f t="shared" si="90"/>
        <v>#DIV/0!</v>
      </c>
      <c r="X108" s="55" t="e">
        <f t="shared" si="91"/>
        <v>#DIV/0!</v>
      </c>
      <c r="Y108" s="55" t="e">
        <f t="shared" si="92"/>
        <v>#DIV/0!</v>
      </c>
      <c r="Z108" s="55" t="e">
        <f t="shared" si="93"/>
        <v>#DIV/0!</v>
      </c>
      <c r="AA108" s="55" t="e">
        <f t="shared" si="94"/>
        <v>#DIV/0!</v>
      </c>
      <c r="AB108" s="55" t="e">
        <f t="shared" si="95"/>
        <v>#DIV/0!</v>
      </c>
      <c r="AC108" s="55" t="e">
        <f t="shared" si="96"/>
        <v>#DIV/0!</v>
      </c>
      <c r="AD108" s="55" t="e">
        <f t="shared" si="97"/>
        <v>#DIV/0!</v>
      </c>
      <c r="AE108" s="55" t="e">
        <f t="shared" si="98"/>
        <v>#DIV/0!</v>
      </c>
      <c r="AF108" s="55" t="e">
        <f t="shared" si="99"/>
        <v>#DIV/0!</v>
      </c>
      <c r="AG108" s="55" t="e">
        <f t="shared" si="100"/>
        <v>#DIV/0!</v>
      </c>
      <c r="AH108" s="288" t="e">
        <f t="shared" si="101"/>
        <v>#DIV/0!</v>
      </c>
      <c r="AI108" s="582" t="s">
        <v>632</v>
      </c>
      <c r="AJ108" s="444">
        <f t="shared" si="83"/>
        <v>-1</v>
      </c>
      <c r="AK108" s="408"/>
    </row>
    <row r="109" spans="1:37" x14ac:dyDescent="0.25">
      <c r="A109" s="58">
        <f>'งบกำไรขาดทุน ปี 2025'!A109</f>
        <v>60700014</v>
      </c>
      <c r="B109" s="16" t="str">
        <f>'งบกำไรขาดทุน ปี 2025'!B109</f>
        <v>ค่ารักษาความปลอดภัย</v>
      </c>
      <c r="C109" s="20">
        <f>'งบกำไรขาดทุน ปี 2025'!O109</f>
        <v>0</v>
      </c>
      <c r="D109" s="21">
        <f t="shared" si="86"/>
        <v>0</v>
      </c>
      <c r="E109" s="141">
        <f t="shared" si="109"/>
        <v>0</v>
      </c>
      <c r="F109" s="221" t="e">
        <f t="shared" si="87"/>
        <v>#DIV/0!</v>
      </c>
      <c r="G109" s="696"/>
      <c r="H109" s="582" t="s">
        <v>633</v>
      </c>
      <c r="I109" s="137">
        <f>(($D109*$G109)+$D109)+'การลงระหว่างเดือน ปี 2026'!AO68</f>
        <v>0</v>
      </c>
      <c r="J109" s="105">
        <f>(($D109*$G109)+$D109)+'การลงระหว่างเดือน ปี 2026'!AP68</f>
        <v>0</v>
      </c>
      <c r="K109" s="105">
        <f>(($D109*$G109)+$D109)+'การลงระหว่างเดือน ปี 2026'!AQ68</f>
        <v>0</v>
      </c>
      <c r="L109" s="105">
        <f>(($D109*$G109)+$D109)+'การลงระหว่างเดือน ปี 2026'!AR68</f>
        <v>0</v>
      </c>
      <c r="M109" s="105">
        <f>(($D109*$G109)+$D109)+'การลงระหว่างเดือน ปี 2026'!AS68</f>
        <v>0</v>
      </c>
      <c r="N109" s="233">
        <f>(($D109*$G109)+$D109)+'การลงระหว่างเดือน ปี 2026'!AT68</f>
        <v>0</v>
      </c>
      <c r="O109" s="137">
        <f>(($D109*$G109)+$D109)+'การลงระหว่างเดือน ปี 2026'!AU68</f>
        <v>0</v>
      </c>
      <c r="P109" s="105">
        <f>(($D109*$G109)+$D109)+'การลงระหว่างเดือน ปี 2026'!AV68</f>
        <v>0</v>
      </c>
      <c r="Q109" s="105">
        <f>(($D109*$G109)+$D109)+'การลงระหว่างเดือน ปี 2026'!AW68</f>
        <v>0</v>
      </c>
      <c r="R109" s="105">
        <f>(($D109*$G109)+$D109)+'การลงระหว่างเดือน ปี 2026'!AX68</f>
        <v>0</v>
      </c>
      <c r="S109" s="105">
        <f>(($D109*$G109)+$D109)+'การลงระหว่างเดือน ปี 2026'!AY68</f>
        <v>0</v>
      </c>
      <c r="T109" s="246">
        <f>(($D109*$G109)+$D109)+'การลงระหว่างเดือน ปี 2026'!AZ68</f>
        <v>0</v>
      </c>
      <c r="U109" s="154">
        <f t="shared" si="82"/>
        <v>0</v>
      </c>
      <c r="V109" s="91" t="e">
        <f t="shared" si="89"/>
        <v>#DIV/0!</v>
      </c>
      <c r="W109" s="55" t="e">
        <f t="shared" si="90"/>
        <v>#DIV/0!</v>
      </c>
      <c r="X109" s="55" t="e">
        <f t="shared" si="91"/>
        <v>#DIV/0!</v>
      </c>
      <c r="Y109" s="55" t="e">
        <f t="shared" si="92"/>
        <v>#DIV/0!</v>
      </c>
      <c r="Z109" s="55" t="e">
        <f t="shared" si="93"/>
        <v>#DIV/0!</v>
      </c>
      <c r="AA109" s="55" t="e">
        <f t="shared" si="94"/>
        <v>#DIV/0!</v>
      </c>
      <c r="AB109" s="55" t="e">
        <f t="shared" si="95"/>
        <v>#DIV/0!</v>
      </c>
      <c r="AC109" s="55" t="e">
        <f t="shared" si="96"/>
        <v>#DIV/0!</v>
      </c>
      <c r="AD109" s="55" t="e">
        <f t="shared" si="97"/>
        <v>#DIV/0!</v>
      </c>
      <c r="AE109" s="55" t="e">
        <f t="shared" si="98"/>
        <v>#DIV/0!</v>
      </c>
      <c r="AF109" s="55" t="e">
        <f t="shared" si="99"/>
        <v>#DIV/0!</v>
      </c>
      <c r="AG109" s="55" t="e">
        <f t="shared" si="100"/>
        <v>#DIV/0!</v>
      </c>
      <c r="AH109" s="288" t="e">
        <f t="shared" si="101"/>
        <v>#DIV/0!</v>
      </c>
      <c r="AI109" s="582" t="s">
        <v>633</v>
      </c>
      <c r="AJ109" s="444">
        <f t="shared" si="83"/>
        <v>-1</v>
      </c>
      <c r="AK109" s="408"/>
    </row>
    <row r="110" spans="1:37" x14ac:dyDescent="0.25">
      <c r="A110" s="58">
        <f>'งบกำไรขาดทุน ปี 2025'!A110</f>
        <v>60700015</v>
      </c>
      <c r="B110" s="16" t="str">
        <f>'งบกำไรขาดทุน ปี 2025'!B110</f>
        <v>ค่าใช้จ่ายทางไปรษณีย์</v>
      </c>
      <c r="C110" s="121">
        <f>'งบกำไรขาดทุน ปี 2025'!O110</f>
        <v>0</v>
      </c>
      <c r="D110" s="136">
        <f t="shared" si="86"/>
        <v>0</v>
      </c>
      <c r="E110" s="145">
        <f t="shared" si="109"/>
        <v>0</v>
      </c>
      <c r="F110" s="96" t="e">
        <f t="shared" si="87"/>
        <v>#DIV/0!</v>
      </c>
      <c r="G110" s="696" t="e">
        <f t="shared" si="111"/>
        <v>#DIV/0!</v>
      </c>
      <c r="H110" s="582" t="s">
        <v>633</v>
      </c>
      <c r="I110" s="138" t="e">
        <f t="shared" ref="I110:T110" si="113">(($D110*$G110)+$D110)</f>
        <v>#DIV/0!</v>
      </c>
      <c r="J110" s="106" t="e">
        <f t="shared" si="113"/>
        <v>#DIV/0!</v>
      </c>
      <c r="K110" s="106" t="e">
        <f t="shared" si="113"/>
        <v>#DIV/0!</v>
      </c>
      <c r="L110" s="106" t="e">
        <f t="shared" si="113"/>
        <v>#DIV/0!</v>
      </c>
      <c r="M110" s="106" t="e">
        <f t="shared" si="113"/>
        <v>#DIV/0!</v>
      </c>
      <c r="N110" s="239" t="e">
        <f t="shared" si="113"/>
        <v>#DIV/0!</v>
      </c>
      <c r="O110" s="138" t="e">
        <f t="shared" si="113"/>
        <v>#DIV/0!</v>
      </c>
      <c r="P110" s="106" t="e">
        <f t="shared" si="113"/>
        <v>#DIV/0!</v>
      </c>
      <c r="Q110" s="106" t="e">
        <f t="shared" si="113"/>
        <v>#DIV/0!</v>
      </c>
      <c r="R110" s="106" t="e">
        <f t="shared" si="113"/>
        <v>#DIV/0!</v>
      </c>
      <c r="S110" s="106" t="e">
        <f t="shared" si="113"/>
        <v>#DIV/0!</v>
      </c>
      <c r="T110" s="252" t="e">
        <f t="shared" si="113"/>
        <v>#DIV/0!</v>
      </c>
      <c r="U110" s="157" t="e">
        <f t="shared" si="82"/>
        <v>#DIV/0!</v>
      </c>
      <c r="V110" s="92" t="e">
        <f t="shared" si="89"/>
        <v>#DIV/0!</v>
      </c>
      <c r="W110" s="93" t="e">
        <f t="shared" si="90"/>
        <v>#DIV/0!</v>
      </c>
      <c r="X110" s="93" t="e">
        <f t="shared" si="91"/>
        <v>#DIV/0!</v>
      </c>
      <c r="Y110" s="93" t="e">
        <f t="shared" si="92"/>
        <v>#DIV/0!</v>
      </c>
      <c r="Z110" s="93" t="e">
        <f t="shared" si="93"/>
        <v>#DIV/0!</v>
      </c>
      <c r="AA110" s="93" t="e">
        <f t="shared" si="94"/>
        <v>#DIV/0!</v>
      </c>
      <c r="AB110" s="93" t="e">
        <f t="shared" si="95"/>
        <v>#DIV/0!</v>
      </c>
      <c r="AC110" s="93" t="e">
        <f t="shared" si="96"/>
        <v>#DIV/0!</v>
      </c>
      <c r="AD110" s="93" t="e">
        <f t="shared" si="97"/>
        <v>#DIV/0!</v>
      </c>
      <c r="AE110" s="93" t="e">
        <f t="shared" si="98"/>
        <v>#DIV/0!</v>
      </c>
      <c r="AF110" s="93" t="e">
        <f t="shared" si="99"/>
        <v>#DIV/0!</v>
      </c>
      <c r="AG110" s="93" t="e">
        <f t="shared" si="100"/>
        <v>#DIV/0!</v>
      </c>
      <c r="AH110" s="294" t="e">
        <f t="shared" si="101"/>
        <v>#DIV/0!</v>
      </c>
      <c r="AI110" s="582" t="s">
        <v>634</v>
      </c>
      <c r="AJ110" s="444">
        <f t="shared" si="83"/>
        <v>-1</v>
      </c>
      <c r="AK110" s="408"/>
    </row>
    <row r="111" spans="1:37" s="12" customFormat="1" x14ac:dyDescent="0.25">
      <c r="A111" s="161">
        <f>'งบกำไรขาดทุน ปี 2025'!A111</f>
        <v>0</v>
      </c>
      <c r="B111" s="15" t="str">
        <f>'งบกำไรขาดทุน ปี 2025'!B111</f>
        <v>รวมค่าสาธารณูปโภค</v>
      </c>
      <c r="C111" s="26">
        <f>'งบกำไรขาดทุน ปี 2025'!O111</f>
        <v>0</v>
      </c>
      <c r="D111" s="27">
        <f t="shared" si="86"/>
        <v>0</v>
      </c>
      <c r="E111" s="146">
        <f t="shared" si="109"/>
        <v>0</v>
      </c>
      <c r="F111" s="224" t="e">
        <f t="shared" si="87"/>
        <v>#DIV/0!</v>
      </c>
      <c r="G111" s="224"/>
      <c r="H111" s="582"/>
      <c r="I111" s="139" t="e">
        <f t="shared" ref="I111:U111" si="114">SUM(I100:I110)</f>
        <v>#DIV/0!</v>
      </c>
      <c r="J111" s="107" t="e">
        <f t="shared" si="114"/>
        <v>#DIV/0!</v>
      </c>
      <c r="K111" s="107" t="e">
        <f t="shared" si="114"/>
        <v>#DIV/0!</v>
      </c>
      <c r="L111" s="107" t="e">
        <f t="shared" si="114"/>
        <v>#DIV/0!</v>
      </c>
      <c r="M111" s="107" t="e">
        <f t="shared" si="114"/>
        <v>#DIV/0!</v>
      </c>
      <c r="N111" s="235" t="e">
        <f t="shared" si="114"/>
        <v>#DIV/0!</v>
      </c>
      <c r="O111" s="139" t="e">
        <f t="shared" si="114"/>
        <v>#DIV/0!</v>
      </c>
      <c r="P111" s="107" t="e">
        <f t="shared" si="114"/>
        <v>#DIV/0!</v>
      </c>
      <c r="Q111" s="107" t="e">
        <f t="shared" si="114"/>
        <v>#DIV/0!</v>
      </c>
      <c r="R111" s="107" t="e">
        <f t="shared" si="114"/>
        <v>#DIV/0!</v>
      </c>
      <c r="S111" s="107" t="e">
        <f t="shared" si="114"/>
        <v>#DIV/0!</v>
      </c>
      <c r="T111" s="248" t="e">
        <f t="shared" si="114"/>
        <v>#DIV/0!</v>
      </c>
      <c r="U111" s="107" t="e">
        <f t="shared" si="114"/>
        <v>#DIV/0!</v>
      </c>
      <c r="V111" s="94" t="e">
        <f t="shared" si="89"/>
        <v>#DIV/0!</v>
      </c>
      <c r="W111" s="56" t="e">
        <f t="shared" si="90"/>
        <v>#DIV/0!</v>
      </c>
      <c r="X111" s="56" t="e">
        <f t="shared" si="91"/>
        <v>#DIV/0!</v>
      </c>
      <c r="Y111" s="56" t="e">
        <f t="shared" si="92"/>
        <v>#DIV/0!</v>
      </c>
      <c r="Z111" s="56" t="e">
        <f t="shared" si="93"/>
        <v>#DIV/0!</v>
      </c>
      <c r="AA111" s="56" t="e">
        <f t="shared" si="94"/>
        <v>#DIV/0!</v>
      </c>
      <c r="AB111" s="56" t="e">
        <f t="shared" si="95"/>
        <v>#DIV/0!</v>
      </c>
      <c r="AC111" s="56" t="e">
        <f t="shared" si="96"/>
        <v>#DIV/0!</v>
      </c>
      <c r="AD111" s="56" t="e">
        <f t="shared" si="97"/>
        <v>#DIV/0!</v>
      </c>
      <c r="AE111" s="56" t="e">
        <f t="shared" si="98"/>
        <v>#DIV/0!</v>
      </c>
      <c r="AF111" s="56" t="e">
        <f t="shared" si="99"/>
        <v>#DIV/0!</v>
      </c>
      <c r="AG111" s="56" t="e">
        <f t="shared" si="100"/>
        <v>#DIV/0!</v>
      </c>
      <c r="AH111" s="290" t="e">
        <f t="shared" si="101"/>
        <v>#DIV/0!</v>
      </c>
      <c r="AI111" s="582"/>
      <c r="AJ111" s="444">
        <f t="shared" si="83"/>
        <v>-1</v>
      </c>
      <c r="AK111" s="408"/>
    </row>
    <row r="112" spans="1:37" x14ac:dyDescent="0.25">
      <c r="A112" s="58">
        <f>'งบกำไรขาดทุน ปี 2025'!A112</f>
        <v>0</v>
      </c>
      <c r="B112" s="16" t="str">
        <f>'งบกำไรขาดทุน ปี 2025'!B112</f>
        <v>ค่าเข่า</v>
      </c>
      <c r="C112" s="215">
        <f>'งบกำไรขาดทุน ปี 2025'!O112</f>
        <v>0</v>
      </c>
      <c r="D112" s="188"/>
      <c r="E112" s="189"/>
      <c r="F112" s="225"/>
      <c r="G112" s="225"/>
      <c r="H112" s="580"/>
      <c r="I112" s="190"/>
      <c r="J112" s="181"/>
      <c r="K112" s="181"/>
      <c r="L112" s="181"/>
      <c r="M112" s="181"/>
      <c r="N112" s="236"/>
      <c r="O112" s="190"/>
      <c r="P112" s="181"/>
      <c r="Q112" s="181"/>
      <c r="R112" s="181"/>
      <c r="S112" s="181"/>
      <c r="T112" s="249"/>
      <c r="U112" s="182"/>
      <c r="V112" s="183"/>
      <c r="W112" s="184"/>
      <c r="X112" s="184"/>
      <c r="Y112" s="184"/>
      <c r="Z112" s="184"/>
      <c r="AA112" s="184"/>
      <c r="AB112" s="184"/>
      <c r="AC112" s="184"/>
      <c r="AD112" s="184"/>
      <c r="AE112" s="184"/>
      <c r="AF112" s="184"/>
      <c r="AG112" s="184"/>
      <c r="AH112" s="291"/>
      <c r="AI112" s="580"/>
      <c r="AJ112" s="444">
        <f t="shared" si="83"/>
        <v>-1</v>
      </c>
      <c r="AK112" s="408"/>
    </row>
    <row r="113" spans="1:37" x14ac:dyDescent="0.25">
      <c r="A113" s="58">
        <f>'งบกำไรขาดทุน ปี 2025'!A113</f>
        <v>60700004</v>
      </c>
      <c r="B113" s="16" t="str">
        <f>'งบกำไรขาดทุน ปี 2025'!B113</f>
        <v>ค่าเช่าอาคาร</v>
      </c>
      <c r="C113" s="20">
        <f>'งบกำไรขาดทุน ปี 2025'!O113</f>
        <v>0</v>
      </c>
      <c r="D113" s="21">
        <f t="shared" si="86"/>
        <v>0</v>
      </c>
      <c r="E113" s="141">
        <f>D113*$E$5</f>
        <v>0</v>
      </c>
      <c r="F113" s="221" t="e">
        <f t="shared" si="87"/>
        <v>#DIV/0!</v>
      </c>
      <c r="G113" s="696" t="e">
        <f t="shared" ref="G113:G115" si="115">$U$2</f>
        <v>#DIV/0!</v>
      </c>
      <c r="H113" s="582" t="s">
        <v>633</v>
      </c>
      <c r="I113" s="137" t="e">
        <f>(($D113*$G113)+$D113)+'การลงระหว่างเดือน ปี 2026'!AO52</f>
        <v>#DIV/0!</v>
      </c>
      <c r="J113" s="105" t="e">
        <f>(($D113*$G113)+$D113)+'การลงระหว่างเดือน ปี 2026'!AP52</f>
        <v>#DIV/0!</v>
      </c>
      <c r="K113" s="105" t="e">
        <f>(($D113*$G113)+$D113)+'การลงระหว่างเดือน ปี 2026'!AQ52</f>
        <v>#DIV/0!</v>
      </c>
      <c r="L113" s="105" t="e">
        <f>(($D113*$G113)+$D113)+'การลงระหว่างเดือน ปี 2026'!AR52</f>
        <v>#DIV/0!</v>
      </c>
      <c r="M113" s="105" t="e">
        <f>(($D113*$G113)+$D113)+'การลงระหว่างเดือน ปี 2026'!AS52</f>
        <v>#DIV/0!</v>
      </c>
      <c r="N113" s="233" t="e">
        <f>(($D113*$G113)+$D113)+'การลงระหว่างเดือน ปี 2026'!AT52</f>
        <v>#DIV/0!</v>
      </c>
      <c r="O113" s="137" t="e">
        <f>(($D113*$G113)+$D113)+'การลงระหว่างเดือน ปี 2026'!AU52</f>
        <v>#DIV/0!</v>
      </c>
      <c r="P113" s="105" t="e">
        <f>(($D113*$G113)+$D113)+'การลงระหว่างเดือน ปี 2026'!AV52</f>
        <v>#DIV/0!</v>
      </c>
      <c r="Q113" s="105" t="e">
        <f>(($D113*$G113)+$D113)+'การลงระหว่างเดือน ปี 2026'!AW52</f>
        <v>#DIV/0!</v>
      </c>
      <c r="R113" s="105" t="e">
        <f>(($D113*$G113)+$D113)+'การลงระหว่างเดือน ปี 2026'!AX52</f>
        <v>#DIV/0!</v>
      </c>
      <c r="S113" s="105" t="e">
        <f>(($D113*$G113)+$D113)+'การลงระหว่างเดือน ปี 2026'!AY52</f>
        <v>#DIV/0!</v>
      </c>
      <c r="T113" s="246" t="e">
        <f>(($D113*$G113)+$D113)+'การลงระหว่างเดือน ปี 2026'!AZ52</f>
        <v>#DIV/0!</v>
      </c>
      <c r="U113" s="154" t="e">
        <f t="shared" si="82"/>
        <v>#DIV/0!</v>
      </c>
      <c r="V113" s="91" t="e">
        <f t="shared" si="89"/>
        <v>#DIV/0!</v>
      </c>
      <c r="W113" s="55" t="e">
        <f t="shared" si="90"/>
        <v>#DIV/0!</v>
      </c>
      <c r="X113" s="55" t="e">
        <f t="shared" si="91"/>
        <v>#DIV/0!</v>
      </c>
      <c r="Y113" s="55" t="e">
        <f t="shared" si="92"/>
        <v>#DIV/0!</v>
      </c>
      <c r="Z113" s="55" t="e">
        <f t="shared" si="93"/>
        <v>#DIV/0!</v>
      </c>
      <c r="AA113" s="55" t="e">
        <f t="shared" si="94"/>
        <v>#DIV/0!</v>
      </c>
      <c r="AB113" s="55" t="e">
        <f t="shared" si="95"/>
        <v>#DIV/0!</v>
      </c>
      <c r="AC113" s="55" t="e">
        <f t="shared" si="96"/>
        <v>#DIV/0!</v>
      </c>
      <c r="AD113" s="55" t="e">
        <f t="shared" si="97"/>
        <v>#DIV/0!</v>
      </c>
      <c r="AE113" s="55" t="e">
        <f t="shared" si="98"/>
        <v>#DIV/0!</v>
      </c>
      <c r="AF113" s="55" t="e">
        <f t="shared" si="99"/>
        <v>#DIV/0!</v>
      </c>
      <c r="AG113" s="55" t="e">
        <f t="shared" si="100"/>
        <v>#DIV/0!</v>
      </c>
      <c r="AH113" s="288" t="e">
        <f t="shared" si="101"/>
        <v>#DIV/0!</v>
      </c>
      <c r="AI113" s="582" t="s">
        <v>633</v>
      </c>
      <c r="AJ113" s="444">
        <f t="shared" si="83"/>
        <v>-1</v>
      </c>
      <c r="AK113" s="408"/>
    </row>
    <row r="114" spans="1:37" x14ac:dyDescent="0.25">
      <c r="A114" s="58">
        <f>'งบกำไรขาดทุน ปี 2025'!A114</f>
        <v>60700007</v>
      </c>
      <c r="B114" s="16" t="str">
        <f>'งบกำไรขาดทุน ปี 2025'!B114</f>
        <v>ค่าเช่าที่ดิน</v>
      </c>
      <c r="C114" s="20">
        <f>'งบกำไรขาดทุน ปี 2025'!O114</f>
        <v>0</v>
      </c>
      <c r="D114" s="21">
        <f t="shared" si="86"/>
        <v>0</v>
      </c>
      <c r="E114" s="141">
        <f>D114*$E$5</f>
        <v>0</v>
      </c>
      <c r="F114" s="221" t="e">
        <f t="shared" si="87"/>
        <v>#DIV/0!</v>
      </c>
      <c r="G114" s="696" t="e">
        <f t="shared" si="115"/>
        <v>#DIV/0!</v>
      </c>
      <c r="H114" s="582" t="s">
        <v>633</v>
      </c>
      <c r="I114" s="137" t="e">
        <f>(($D114*$G114)+$D114)+'การลงระหว่างเดือน ปี 2026'!AO53</f>
        <v>#DIV/0!</v>
      </c>
      <c r="J114" s="105" t="e">
        <f>(($D114*$G114)+$D114)+'การลงระหว่างเดือน ปี 2026'!AP53</f>
        <v>#DIV/0!</v>
      </c>
      <c r="K114" s="105" t="e">
        <f>(($D114*$G114)+$D114)+'การลงระหว่างเดือน ปี 2026'!AQ53</f>
        <v>#DIV/0!</v>
      </c>
      <c r="L114" s="105" t="e">
        <f>(($D114*$G114)+$D114)+'การลงระหว่างเดือน ปี 2026'!AR53</f>
        <v>#DIV/0!</v>
      </c>
      <c r="M114" s="105" t="e">
        <f>(($D114*$G114)+$D114)+'การลงระหว่างเดือน ปี 2026'!AS53</f>
        <v>#DIV/0!</v>
      </c>
      <c r="N114" s="233" t="e">
        <f>(($D114*$G114)+$D114)+'การลงระหว่างเดือน ปี 2026'!AT53</f>
        <v>#DIV/0!</v>
      </c>
      <c r="O114" s="137" t="e">
        <f>(($D114*$G114)+$D114)+'การลงระหว่างเดือน ปี 2026'!AU53</f>
        <v>#DIV/0!</v>
      </c>
      <c r="P114" s="105" t="e">
        <f>(($D114*$G114)+$D114)+'การลงระหว่างเดือน ปี 2026'!AV53</f>
        <v>#DIV/0!</v>
      </c>
      <c r="Q114" s="105" t="e">
        <f>(($D114*$G114)+$D114)+'การลงระหว่างเดือน ปี 2026'!AW53</f>
        <v>#DIV/0!</v>
      </c>
      <c r="R114" s="105" t="e">
        <f>(($D114*$G114)+$D114)+'การลงระหว่างเดือน ปี 2026'!AX53</f>
        <v>#DIV/0!</v>
      </c>
      <c r="S114" s="105" t="e">
        <f>(($D114*$G114)+$D114)+'การลงระหว่างเดือน ปี 2026'!AY53</f>
        <v>#DIV/0!</v>
      </c>
      <c r="T114" s="246" t="e">
        <f>(($D114*$G114)+$D114)+'การลงระหว่างเดือน ปี 2026'!AZ53</f>
        <v>#DIV/0!</v>
      </c>
      <c r="U114" s="154" t="e">
        <f t="shared" si="82"/>
        <v>#DIV/0!</v>
      </c>
      <c r="V114" s="91" t="e">
        <f t="shared" si="89"/>
        <v>#DIV/0!</v>
      </c>
      <c r="W114" s="55" t="e">
        <f t="shared" si="90"/>
        <v>#DIV/0!</v>
      </c>
      <c r="X114" s="55" t="e">
        <f t="shared" si="91"/>
        <v>#DIV/0!</v>
      </c>
      <c r="Y114" s="55" t="e">
        <f t="shared" si="92"/>
        <v>#DIV/0!</v>
      </c>
      <c r="Z114" s="55" t="e">
        <f t="shared" si="93"/>
        <v>#DIV/0!</v>
      </c>
      <c r="AA114" s="55" t="e">
        <f t="shared" si="94"/>
        <v>#DIV/0!</v>
      </c>
      <c r="AB114" s="55" t="e">
        <f t="shared" si="95"/>
        <v>#DIV/0!</v>
      </c>
      <c r="AC114" s="55" t="e">
        <f t="shared" si="96"/>
        <v>#DIV/0!</v>
      </c>
      <c r="AD114" s="55" t="e">
        <f t="shared" si="97"/>
        <v>#DIV/0!</v>
      </c>
      <c r="AE114" s="55" t="e">
        <f t="shared" si="98"/>
        <v>#DIV/0!</v>
      </c>
      <c r="AF114" s="55" t="e">
        <f t="shared" si="99"/>
        <v>#DIV/0!</v>
      </c>
      <c r="AG114" s="55" t="e">
        <f t="shared" si="100"/>
        <v>#DIV/0!</v>
      </c>
      <c r="AH114" s="288" t="e">
        <f t="shared" si="101"/>
        <v>#DIV/0!</v>
      </c>
      <c r="AI114" s="582" t="s">
        <v>633</v>
      </c>
      <c r="AJ114" s="444">
        <f t="shared" si="83"/>
        <v>-1</v>
      </c>
      <c r="AK114" s="408"/>
    </row>
    <row r="115" spans="1:37" x14ac:dyDescent="0.25">
      <c r="A115" s="58">
        <f>'งบกำไรขาดทุน ปี 2025'!A115</f>
        <v>60700008</v>
      </c>
      <c r="B115" s="16" t="str">
        <f>'งบกำไรขาดทุน ปี 2025'!B115</f>
        <v>ค่าบริการส่วนกลาง</v>
      </c>
      <c r="C115" s="121">
        <f>'งบกำไรขาดทุน ปี 2025'!O115</f>
        <v>0</v>
      </c>
      <c r="D115" s="136">
        <f t="shared" si="86"/>
        <v>0</v>
      </c>
      <c r="E115" s="145">
        <f>D115*$E$5</f>
        <v>0</v>
      </c>
      <c r="F115" s="96" t="e">
        <f t="shared" si="87"/>
        <v>#DIV/0!</v>
      </c>
      <c r="G115" s="696" t="e">
        <f t="shared" si="115"/>
        <v>#DIV/0!</v>
      </c>
      <c r="H115" s="582" t="s">
        <v>633</v>
      </c>
      <c r="I115" s="138" t="e">
        <f>(($D115*$G115)+$D115)+'การลงระหว่างเดือน ปี 2026'!AO54</f>
        <v>#DIV/0!</v>
      </c>
      <c r="J115" s="106" t="e">
        <f>(($D115*$G115)+$D115)+'การลงระหว่างเดือน ปี 2026'!AP54</f>
        <v>#DIV/0!</v>
      </c>
      <c r="K115" s="106" t="e">
        <f>(($D115*$G115)+$D115)+'การลงระหว่างเดือน ปี 2026'!AQ54</f>
        <v>#DIV/0!</v>
      </c>
      <c r="L115" s="106" t="e">
        <f>(($D115*$G115)+$D115)+'การลงระหว่างเดือน ปี 2026'!AR54</f>
        <v>#DIV/0!</v>
      </c>
      <c r="M115" s="106" t="e">
        <f>(($D115*$G115)+$D115)+'การลงระหว่างเดือน ปี 2026'!AS54</f>
        <v>#DIV/0!</v>
      </c>
      <c r="N115" s="239" t="e">
        <f>(($D115*$G115)+$D115)+'การลงระหว่างเดือน ปี 2026'!AT54</f>
        <v>#DIV/0!</v>
      </c>
      <c r="O115" s="138" t="e">
        <f>(($D115*$G115)+$D115)+'การลงระหว่างเดือน ปี 2026'!AU54</f>
        <v>#DIV/0!</v>
      </c>
      <c r="P115" s="106" t="e">
        <f>(($D115*$G115)+$D115)+'การลงระหว่างเดือน ปี 2026'!AV54</f>
        <v>#DIV/0!</v>
      </c>
      <c r="Q115" s="106" t="e">
        <f>(($D115*$G115)+$D115)+'การลงระหว่างเดือน ปี 2026'!AW54</f>
        <v>#DIV/0!</v>
      </c>
      <c r="R115" s="106" t="e">
        <f>(($D115*$G115)+$D115)+'การลงระหว่างเดือน ปี 2026'!AX54</f>
        <v>#DIV/0!</v>
      </c>
      <c r="S115" s="106" t="e">
        <f>(($D115*$G115)+$D115)+'การลงระหว่างเดือน ปี 2026'!AY54</f>
        <v>#DIV/0!</v>
      </c>
      <c r="T115" s="252" t="e">
        <f>(($D115*$G115)+$D115)+'การลงระหว่างเดือน ปี 2026'!AZ54</f>
        <v>#DIV/0!</v>
      </c>
      <c r="U115" s="157" t="e">
        <f t="shared" si="82"/>
        <v>#DIV/0!</v>
      </c>
      <c r="V115" s="92" t="e">
        <f t="shared" si="89"/>
        <v>#DIV/0!</v>
      </c>
      <c r="W115" s="93" t="e">
        <f t="shared" si="90"/>
        <v>#DIV/0!</v>
      </c>
      <c r="X115" s="93" t="e">
        <f t="shared" si="91"/>
        <v>#DIV/0!</v>
      </c>
      <c r="Y115" s="93" t="e">
        <f t="shared" si="92"/>
        <v>#DIV/0!</v>
      </c>
      <c r="Z115" s="93" t="e">
        <f t="shared" si="93"/>
        <v>#DIV/0!</v>
      </c>
      <c r="AA115" s="93" t="e">
        <f t="shared" si="94"/>
        <v>#DIV/0!</v>
      </c>
      <c r="AB115" s="93" t="e">
        <f t="shared" si="95"/>
        <v>#DIV/0!</v>
      </c>
      <c r="AC115" s="93" t="e">
        <f t="shared" si="96"/>
        <v>#DIV/0!</v>
      </c>
      <c r="AD115" s="93" t="e">
        <f t="shared" si="97"/>
        <v>#DIV/0!</v>
      </c>
      <c r="AE115" s="93" t="e">
        <f t="shared" si="98"/>
        <v>#DIV/0!</v>
      </c>
      <c r="AF115" s="93" t="e">
        <f t="shared" si="99"/>
        <v>#DIV/0!</v>
      </c>
      <c r="AG115" s="93" t="e">
        <f t="shared" si="100"/>
        <v>#DIV/0!</v>
      </c>
      <c r="AH115" s="294" t="e">
        <f t="shared" si="101"/>
        <v>#DIV/0!</v>
      </c>
      <c r="AI115" s="582" t="s">
        <v>633</v>
      </c>
      <c r="AJ115" s="444">
        <f t="shared" si="83"/>
        <v>-1</v>
      </c>
      <c r="AK115" s="408"/>
    </row>
    <row r="116" spans="1:37" s="12" customFormat="1" x14ac:dyDescent="0.25">
      <c r="A116" s="161">
        <f>'งบกำไรขาดทุน ปี 2025'!A116</f>
        <v>0</v>
      </c>
      <c r="B116" s="15" t="str">
        <f>'งบกำไรขาดทุน ปี 2025'!B116</f>
        <v>รวมค่าเช่า</v>
      </c>
      <c r="C116" s="26">
        <f>'งบกำไรขาดทุน ปี 2025'!O116</f>
        <v>0</v>
      </c>
      <c r="D116" s="27">
        <f t="shared" si="86"/>
        <v>0</v>
      </c>
      <c r="E116" s="146">
        <f>D116*$E$5</f>
        <v>0</v>
      </c>
      <c r="F116" s="224" t="e">
        <f t="shared" si="87"/>
        <v>#DIV/0!</v>
      </c>
      <c r="G116" s="224"/>
      <c r="H116" s="582"/>
      <c r="I116" s="139" t="e">
        <f t="shared" ref="I116:U116" si="116">SUM(I113:I115)</f>
        <v>#DIV/0!</v>
      </c>
      <c r="J116" s="107" t="e">
        <f t="shared" si="116"/>
        <v>#DIV/0!</v>
      </c>
      <c r="K116" s="107" t="e">
        <f t="shared" si="116"/>
        <v>#DIV/0!</v>
      </c>
      <c r="L116" s="107" t="e">
        <f t="shared" si="116"/>
        <v>#DIV/0!</v>
      </c>
      <c r="M116" s="107" t="e">
        <f t="shared" si="116"/>
        <v>#DIV/0!</v>
      </c>
      <c r="N116" s="235" t="e">
        <f t="shared" si="116"/>
        <v>#DIV/0!</v>
      </c>
      <c r="O116" s="139" t="e">
        <f t="shared" si="116"/>
        <v>#DIV/0!</v>
      </c>
      <c r="P116" s="107" t="e">
        <f t="shared" si="116"/>
        <v>#DIV/0!</v>
      </c>
      <c r="Q116" s="107" t="e">
        <f t="shared" si="116"/>
        <v>#DIV/0!</v>
      </c>
      <c r="R116" s="107" t="e">
        <f t="shared" si="116"/>
        <v>#DIV/0!</v>
      </c>
      <c r="S116" s="107" t="e">
        <f t="shared" si="116"/>
        <v>#DIV/0!</v>
      </c>
      <c r="T116" s="248" t="e">
        <f t="shared" si="116"/>
        <v>#DIV/0!</v>
      </c>
      <c r="U116" s="107" t="e">
        <f t="shared" si="116"/>
        <v>#DIV/0!</v>
      </c>
      <c r="V116" s="94" t="e">
        <f t="shared" si="89"/>
        <v>#DIV/0!</v>
      </c>
      <c r="W116" s="56" t="e">
        <f t="shared" si="90"/>
        <v>#DIV/0!</v>
      </c>
      <c r="X116" s="56" t="e">
        <f t="shared" si="91"/>
        <v>#DIV/0!</v>
      </c>
      <c r="Y116" s="56" t="e">
        <f t="shared" si="92"/>
        <v>#DIV/0!</v>
      </c>
      <c r="Z116" s="56" t="e">
        <f t="shared" si="93"/>
        <v>#DIV/0!</v>
      </c>
      <c r="AA116" s="56" t="e">
        <f t="shared" si="94"/>
        <v>#DIV/0!</v>
      </c>
      <c r="AB116" s="56" t="e">
        <f t="shared" si="95"/>
        <v>#DIV/0!</v>
      </c>
      <c r="AC116" s="56" t="e">
        <f t="shared" si="96"/>
        <v>#DIV/0!</v>
      </c>
      <c r="AD116" s="56" t="e">
        <f t="shared" si="97"/>
        <v>#DIV/0!</v>
      </c>
      <c r="AE116" s="56" t="e">
        <f t="shared" si="98"/>
        <v>#DIV/0!</v>
      </c>
      <c r="AF116" s="56" t="e">
        <f t="shared" si="99"/>
        <v>#DIV/0!</v>
      </c>
      <c r="AG116" s="56" t="e">
        <f t="shared" si="100"/>
        <v>#DIV/0!</v>
      </c>
      <c r="AH116" s="290" t="e">
        <f t="shared" si="101"/>
        <v>#DIV/0!</v>
      </c>
      <c r="AI116" s="582"/>
      <c r="AJ116" s="444">
        <f t="shared" si="83"/>
        <v>-1</v>
      </c>
      <c r="AK116" s="408"/>
    </row>
    <row r="117" spans="1:37" x14ac:dyDescent="0.25">
      <c r="A117" s="58">
        <f>'งบกำไรขาดทุน ปี 2025'!A117</f>
        <v>0</v>
      </c>
      <c r="B117" s="16" t="str">
        <f>'งบกำไรขาดทุน ปี 2025'!B117</f>
        <v>ค่าใช้จ่ายในการเดินทาง</v>
      </c>
      <c r="C117" s="215">
        <f>'งบกำไรขาดทุน ปี 2025'!O117</f>
        <v>0</v>
      </c>
      <c r="D117" s="188"/>
      <c r="E117" s="189"/>
      <c r="F117" s="225"/>
      <c r="G117" s="225"/>
      <c r="H117" s="580"/>
      <c r="I117" s="190"/>
      <c r="J117" s="181"/>
      <c r="K117" s="181"/>
      <c r="L117" s="181"/>
      <c r="M117" s="181"/>
      <c r="N117" s="236"/>
      <c r="O117" s="190"/>
      <c r="P117" s="181"/>
      <c r="Q117" s="181"/>
      <c r="R117" s="181"/>
      <c r="S117" s="181"/>
      <c r="T117" s="249"/>
      <c r="U117" s="182"/>
      <c r="V117" s="183"/>
      <c r="W117" s="184"/>
      <c r="X117" s="184"/>
      <c r="Y117" s="184"/>
      <c r="Z117" s="184"/>
      <c r="AA117" s="184"/>
      <c r="AB117" s="184"/>
      <c r="AC117" s="184"/>
      <c r="AD117" s="184"/>
      <c r="AE117" s="184"/>
      <c r="AF117" s="184"/>
      <c r="AG117" s="184"/>
      <c r="AH117" s="291"/>
      <c r="AI117" s="580"/>
      <c r="AJ117" s="444">
        <f t="shared" si="83"/>
        <v>-1</v>
      </c>
      <c r="AK117" s="408"/>
    </row>
    <row r="118" spans="1:37" x14ac:dyDescent="0.25">
      <c r="A118" s="58">
        <f>'งบกำไรขาดทุน ปี 2025'!A118</f>
        <v>60800001</v>
      </c>
      <c r="B118" s="16" t="str">
        <f>'งบกำไรขาดทุน ปี 2025'!B118</f>
        <v>ค่าพาหนะ</v>
      </c>
      <c r="C118" s="20">
        <f>'งบกำไรขาดทุน ปี 2025'!O118</f>
        <v>0</v>
      </c>
      <c r="D118" s="21">
        <f t="shared" si="86"/>
        <v>0</v>
      </c>
      <c r="E118" s="141">
        <f>D118*$E$5</f>
        <v>0</v>
      </c>
      <c r="F118" s="221" t="e">
        <f t="shared" si="87"/>
        <v>#DIV/0!</v>
      </c>
      <c r="G118" s="221"/>
      <c r="H118" s="582" t="s">
        <v>633</v>
      </c>
      <c r="I118" s="137">
        <f>(($D118*$G118)+$D118)+'การลงระหว่างเดือน ปี 2026'!AO56</f>
        <v>0</v>
      </c>
      <c r="J118" s="105">
        <f>(($D118*$G118)+$D118)+'การลงระหว่างเดือน ปี 2026'!AP56</f>
        <v>0</v>
      </c>
      <c r="K118" s="105">
        <f>(($D118*$G118)+$D118)+'การลงระหว่างเดือน ปี 2026'!AQ56</f>
        <v>0</v>
      </c>
      <c r="L118" s="105">
        <f>(($D118*$G118)+$D118)+'การลงระหว่างเดือน ปี 2026'!AR56</f>
        <v>0</v>
      </c>
      <c r="M118" s="105">
        <f>(($D118*$G118)+$D118)+'การลงระหว่างเดือน ปี 2026'!AS56</f>
        <v>0</v>
      </c>
      <c r="N118" s="233">
        <f>(($D118*$G118)+$D118)+'การลงระหว่างเดือน ปี 2026'!AT56</f>
        <v>0</v>
      </c>
      <c r="O118" s="137">
        <f>(($D118*$G118)+$D118)+'การลงระหว่างเดือน ปี 2026'!AU56</f>
        <v>0</v>
      </c>
      <c r="P118" s="105">
        <f>(($D118*$G118)+$D118)+'การลงระหว่างเดือน ปี 2026'!AV56</f>
        <v>0</v>
      </c>
      <c r="Q118" s="105">
        <f>(($D118*$G118)+$D118)+'การลงระหว่างเดือน ปี 2026'!AW56</f>
        <v>0</v>
      </c>
      <c r="R118" s="105">
        <f>(($D118*$G118)+$D118)+'การลงระหว่างเดือน ปี 2026'!AX56</f>
        <v>0</v>
      </c>
      <c r="S118" s="105">
        <f>(($D118*$G118)+$D118)+'การลงระหว่างเดือน ปี 2026'!AY56</f>
        <v>0</v>
      </c>
      <c r="T118" s="246">
        <f>(($D118*$G118)+$D118)+'การลงระหว่างเดือน ปี 2026'!AZ56</f>
        <v>0</v>
      </c>
      <c r="U118" s="154">
        <f t="shared" ref="U118:U163" si="117">SUM(I118:T118)</f>
        <v>0</v>
      </c>
      <c r="V118" s="91" t="e">
        <f t="shared" si="89"/>
        <v>#DIV/0!</v>
      </c>
      <c r="W118" s="55" t="e">
        <f t="shared" si="90"/>
        <v>#DIV/0!</v>
      </c>
      <c r="X118" s="55" t="e">
        <f t="shared" si="91"/>
        <v>#DIV/0!</v>
      </c>
      <c r="Y118" s="55" t="e">
        <f t="shared" si="92"/>
        <v>#DIV/0!</v>
      </c>
      <c r="Z118" s="55" t="e">
        <f t="shared" si="93"/>
        <v>#DIV/0!</v>
      </c>
      <c r="AA118" s="55" t="e">
        <f t="shared" si="94"/>
        <v>#DIV/0!</v>
      </c>
      <c r="AB118" s="55" t="e">
        <f t="shared" si="95"/>
        <v>#DIV/0!</v>
      </c>
      <c r="AC118" s="55" t="e">
        <f t="shared" si="96"/>
        <v>#DIV/0!</v>
      </c>
      <c r="AD118" s="55" t="e">
        <f t="shared" si="97"/>
        <v>#DIV/0!</v>
      </c>
      <c r="AE118" s="55" t="e">
        <f t="shared" si="98"/>
        <v>#DIV/0!</v>
      </c>
      <c r="AF118" s="55" t="e">
        <f t="shared" si="99"/>
        <v>#DIV/0!</v>
      </c>
      <c r="AG118" s="55" t="e">
        <f t="shared" si="100"/>
        <v>#DIV/0!</v>
      </c>
      <c r="AH118" s="288" t="e">
        <f t="shared" si="101"/>
        <v>#DIV/0!</v>
      </c>
      <c r="AI118" s="582" t="s">
        <v>634</v>
      </c>
      <c r="AJ118" s="444">
        <f t="shared" si="83"/>
        <v>-1</v>
      </c>
      <c r="AK118" s="408"/>
    </row>
    <row r="119" spans="1:37" x14ac:dyDescent="0.25">
      <c r="A119" s="58">
        <f>'งบกำไรขาดทุน ปี 2025'!A119</f>
        <v>60800002</v>
      </c>
      <c r="B119" s="16" t="str">
        <f>'งบกำไรขาดทุน ปี 2025'!B119</f>
        <v>ค่าน้ำมัน</v>
      </c>
      <c r="C119" s="20">
        <f>'งบกำไรขาดทุน ปี 2025'!O119</f>
        <v>0</v>
      </c>
      <c r="D119" s="21">
        <f t="shared" si="86"/>
        <v>0</v>
      </c>
      <c r="E119" s="141">
        <f>D119*$E$5</f>
        <v>0</v>
      </c>
      <c r="F119" s="221" t="e">
        <f t="shared" si="87"/>
        <v>#DIV/0!</v>
      </c>
      <c r="G119" s="221"/>
      <c r="H119" s="582" t="s">
        <v>633</v>
      </c>
      <c r="I119" s="137">
        <f>(($D119*$G119)+$D119)+'การลงระหว่างเดือน ปี 2026'!AO57</f>
        <v>0</v>
      </c>
      <c r="J119" s="105">
        <f>(($D119*$G119)+$D119)+'การลงระหว่างเดือน ปี 2026'!AP57</f>
        <v>0</v>
      </c>
      <c r="K119" s="105">
        <f>(($D119*$G119)+$D119)+'การลงระหว่างเดือน ปี 2026'!AQ57</f>
        <v>0</v>
      </c>
      <c r="L119" s="105">
        <f>(($D119*$G119)+$D119)+'การลงระหว่างเดือน ปี 2026'!AR57</f>
        <v>0</v>
      </c>
      <c r="M119" s="105">
        <f>(($D119*$G119)+$D119)+'การลงระหว่างเดือน ปี 2026'!AS57</f>
        <v>0</v>
      </c>
      <c r="N119" s="233">
        <f>(($D119*$G119)+$D119)+'การลงระหว่างเดือน ปี 2026'!AT57</f>
        <v>0</v>
      </c>
      <c r="O119" s="137">
        <f>(($D119*$G119)+$D119)+'การลงระหว่างเดือน ปี 2026'!AU57</f>
        <v>0</v>
      </c>
      <c r="P119" s="105">
        <f>(($D119*$G119)+$D119)+'การลงระหว่างเดือน ปี 2026'!AV57</f>
        <v>0</v>
      </c>
      <c r="Q119" s="105">
        <f>(($D119*$G119)+$D119)+'การลงระหว่างเดือน ปี 2026'!AW57</f>
        <v>0</v>
      </c>
      <c r="R119" s="105">
        <f>(($D119*$G119)+$D119)+'การลงระหว่างเดือน ปี 2026'!AX57</f>
        <v>0</v>
      </c>
      <c r="S119" s="105">
        <f>(($D119*$G119)+$D119)+'การลงระหว่างเดือน ปี 2026'!AY57</f>
        <v>0</v>
      </c>
      <c r="T119" s="246">
        <f>(($D119*$G119)+$D119)+'การลงระหว่างเดือน ปี 2026'!AZ57</f>
        <v>0</v>
      </c>
      <c r="U119" s="154">
        <f t="shared" si="117"/>
        <v>0</v>
      </c>
      <c r="V119" s="91" t="e">
        <f t="shared" si="89"/>
        <v>#DIV/0!</v>
      </c>
      <c r="W119" s="55" t="e">
        <f t="shared" si="90"/>
        <v>#DIV/0!</v>
      </c>
      <c r="X119" s="55" t="e">
        <f t="shared" si="91"/>
        <v>#DIV/0!</v>
      </c>
      <c r="Y119" s="55" t="e">
        <f t="shared" si="92"/>
        <v>#DIV/0!</v>
      </c>
      <c r="Z119" s="55" t="e">
        <f t="shared" si="93"/>
        <v>#DIV/0!</v>
      </c>
      <c r="AA119" s="55" t="e">
        <f t="shared" si="94"/>
        <v>#DIV/0!</v>
      </c>
      <c r="AB119" s="55" t="e">
        <f t="shared" si="95"/>
        <v>#DIV/0!</v>
      </c>
      <c r="AC119" s="55" t="e">
        <f t="shared" si="96"/>
        <v>#DIV/0!</v>
      </c>
      <c r="AD119" s="55" t="e">
        <f t="shared" si="97"/>
        <v>#DIV/0!</v>
      </c>
      <c r="AE119" s="55" t="e">
        <f t="shared" si="98"/>
        <v>#DIV/0!</v>
      </c>
      <c r="AF119" s="55" t="e">
        <f t="shared" si="99"/>
        <v>#DIV/0!</v>
      </c>
      <c r="AG119" s="55" t="e">
        <f t="shared" si="100"/>
        <v>#DIV/0!</v>
      </c>
      <c r="AH119" s="288" t="e">
        <f t="shared" si="101"/>
        <v>#DIV/0!</v>
      </c>
      <c r="AI119" s="582" t="s">
        <v>634</v>
      </c>
      <c r="AJ119" s="444">
        <f t="shared" si="83"/>
        <v>-1</v>
      </c>
      <c r="AK119" s="408"/>
    </row>
    <row r="120" spans="1:37" x14ac:dyDescent="0.25">
      <c r="A120" s="58">
        <f>'งบกำไรขาดทุน ปี 2025'!A120</f>
        <v>60800003</v>
      </c>
      <c r="B120" s="16" t="str">
        <f>'งบกำไรขาดทุน ปี 2025'!B120</f>
        <v>ค่าใช้จ่ายเดินทางต่างประเทศ</v>
      </c>
      <c r="C120" s="121">
        <f>'งบกำไรขาดทุน ปี 2025'!O120</f>
        <v>0</v>
      </c>
      <c r="D120" s="136">
        <f t="shared" si="86"/>
        <v>0</v>
      </c>
      <c r="E120" s="145">
        <f>D120*$E$5</f>
        <v>0</v>
      </c>
      <c r="F120" s="96" t="e">
        <f t="shared" si="87"/>
        <v>#DIV/0!</v>
      </c>
      <c r="G120" s="698" t="e">
        <f t="shared" ref="G120" si="118">$U$2</f>
        <v>#DIV/0!</v>
      </c>
      <c r="H120" s="582" t="s">
        <v>633</v>
      </c>
      <c r="I120" s="138" t="e">
        <f>(($D120*$G120)+$D120)+'การลงระหว่างเดือน ปี 2026'!AO58</f>
        <v>#DIV/0!</v>
      </c>
      <c r="J120" s="106" t="e">
        <f>(($D120*$G120)+$D120)+'การลงระหว่างเดือน ปี 2026'!AP58</f>
        <v>#DIV/0!</v>
      </c>
      <c r="K120" s="106" t="e">
        <f>(($D120*$G120)+$D120)+'การลงระหว่างเดือน ปี 2026'!AQ58</f>
        <v>#DIV/0!</v>
      </c>
      <c r="L120" s="106" t="e">
        <f>(($D120*$G120)+$D120)+'การลงระหว่างเดือน ปี 2026'!AR58</f>
        <v>#DIV/0!</v>
      </c>
      <c r="M120" s="106" t="e">
        <f>(($D120*$G120)+$D120)+'การลงระหว่างเดือน ปี 2026'!AS58</f>
        <v>#DIV/0!</v>
      </c>
      <c r="N120" s="239" t="e">
        <f>(($D120*$G120)+$D120)+'การลงระหว่างเดือน ปี 2026'!AT58</f>
        <v>#DIV/0!</v>
      </c>
      <c r="O120" s="138" t="e">
        <f>(($D120*$G120)+$D120)+'การลงระหว่างเดือน ปี 2026'!AU58</f>
        <v>#DIV/0!</v>
      </c>
      <c r="P120" s="106" t="e">
        <f>(($D120*$G120)+$D120)+'การลงระหว่างเดือน ปี 2026'!AV58</f>
        <v>#DIV/0!</v>
      </c>
      <c r="Q120" s="106" t="e">
        <f>(($D120*$G120)+$D120)+'การลงระหว่างเดือน ปี 2026'!AW58</f>
        <v>#DIV/0!</v>
      </c>
      <c r="R120" s="106" t="e">
        <f>(($D120*$G120)+$D120)+'การลงระหว่างเดือน ปี 2026'!AX58</f>
        <v>#DIV/0!</v>
      </c>
      <c r="S120" s="106" t="e">
        <f>(($D120*$G120)+$D120)+'การลงระหว่างเดือน ปี 2026'!AY58</f>
        <v>#DIV/0!</v>
      </c>
      <c r="T120" s="252" t="e">
        <f>(($D120*$G120)+$D120)+'การลงระหว่างเดือน ปี 2026'!AZ58</f>
        <v>#DIV/0!</v>
      </c>
      <c r="U120" s="157" t="e">
        <f t="shared" si="117"/>
        <v>#DIV/0!</v>
      </c>
      <c r="V120" s="92" t="e">
        <f t="shared" si="89"/>
        <v>#DIV/0!</v>
      </c>
      <c r="W120" s="93" t="e">
        <f t="shared" si="90"/>
        <v>#DIV/0!</v>
      </c>
      <c r="X120" s="93" t="e">
        <f t="shared" si="91"/>
        <v>#DIV/0!</v>
      </c>
      <c r="Y120" s="93" t="e">
        <f t="shared" si="92"/>
        <v>#DIV/0!</v>
      </c>
      <c r="Z120" s="93" t="e">
        <f t="shared" si="93"/>
        <v>#DIV/0!</v>
      </c>
      <c r="AA120" s="93" t="e">
        <f t="shared" si="94"/>
        <v>#DIV/0!</v>
      </c>
      <c r="AB120" s="93" t="e">
        <f t="shared" si="95"/>
        <v>#DIV/0!</v>
      </c>
      <c r="AC120" s="93" t="e">
        <f t="shared" si="96"/>
        <v>#DIV/0!</v>
      </c>
      <c r="AD120" s="93" t="e">
        <f t="shared" si="97"/>
        <v>#DIV/0!</v>
      </c>
      <c r="AE120" s="93" t="e">
        <f t="shared" si="98"/>
        <v>#DIV/0!</v>
      </c>
      <c r="AF120" s="93" t="e">
        <f t="shared" si="99"/>
        <v>#DIV/0!</v>
      </c>
      <c r="AG120" s="93" t="e">
        <f t="shared" si="100"/>
        <v>#DIV/0!</v>
      </c>
      <c r="AH120" s="294" t="e">
        <f t="shared" si="101"/>
        <v>#DIV/0!</v>
      </c>
      <c r="AI120" s="582" t="s">
        <v>633</v>
      </c>
      <c r="AJ120" s="444">
        <f t="shared" si="83"/>
        <v>-1</v>
      </c>
      <c r="AK120" s="408"/>
    </row>
    <row r="121" spans="1:37" s="12" customFormat="1" x14ac:dyDescent="0.25">
      <c r="A121" s="161">
        <f>'งบกำไรขาดทุน ปี 2025'!A121</f>
        <v>0</v>
      </c>
      <c r="B121" s="15" t="str">
        <f>'งบกำไรขาดทุน ปี 2025'!B121</f>
        <v>รวมค่าใช้จ่ายในการเดินทาง</v>
      </c>
      <c r="C121" s="26">
        <f>'งบกำไรขาดทุน ปี 2025'!O121</f>
        <v>0</v>
      </c>
      <c r="D121" s="27">
        <f t="shared" si="86"/>
        <v>0</v>
      </c>
      <c r="E121" s="146">
        <f>D121*$E$5</f>
        <v>0</v>
      </c>
      <c r="F121" s="224" t="e">
        <f t="shared" si="87"/>
        <v>#DIV/0!</v>
      </c>
      <c r="G121" s="224"/>
      <c r="H121" s="582"/>
      <c r="I121" s="139" t="e">
        <f t="shared" ref="I121:U121" si="119">SUM(I118:I120)</f>
        <v>#DIV/0!</v>
      </c>
      <c r="J121" s="107" t="e">
        <f t="shared" si="119"/>
        <v>#DIV/0!</v>
      </c>
      <c r="K121" s="107" t="e">
        <f t="shared" si="119"/>
        <v>#DIV/0!</v>
      </c>
      <c r="L121" s="107" t="e">
        <f t="shared" si="119"/>
        <v>#DIV/0!</v>
      </c>
      <c r="M121" s="107" t="e">
        <f t="shared" si="119"/>
        <v>#DIV/0!</v>
      </c>
      <c r="N121" s="235" t="e">
        <f t="shared" si="119"/>
        <v>#DIV/0!</v>
      </c>
      <c r="O121" s="139" t="e">
        <f t="shared" si="119"/>
        <v>#DIV/0!</v>
      </c>
      <c r="P121" s="107" t="e">
        <f t="shared" si="119"/>
        <v>#DIV/0!</v>
      </c>
      <c r="Q121" s="107" t="e">
        <f t="shared" si="119"/>
        <v>#DIV/0!</v>
      </c>
      <c r="R121" s="107" t="e">
        <f t="shared" si="119"/>
        <v>#DIV/0!</v>
      </c>
      <c r="S121" s="107" t="e">
        <f t="shared" si="119"/>
        <v>#DIV/0!</v>
      </c>
      <c r="T121" s="248" t="e">
        <f t="shared" si="119"/>
        <v>#DIV/0!</v>
      </c>
      <c r="U121" s="107" t="e">
        <f t="shared" si="119"/>
        <v>#DIV/0!</v>
      </c>
      <c r="V121" s="94" t="e">
        <f t="shared" si="89"/>
        <v>#DIV/0!</v>
      </c>
      <c r="W121" s="56" t="e">
        <f t="shared" si="90"/>
        <v>#DIV/0!</v>
      </c>
      <c r="X121" s="56" t="e">
        <f t="shared" si="91"/>
        <v>#DIV/0!</v>
      </c>
      <c r="Y121" s="56" t="e">
        <f t="shared" si="92"/>
        <v>#DIV/0!</v>
      </c>
      <c r="Z121" s="56" t="e">
        <f t="shared" si="93"/>
        <v>#DIV/0!</v>
      </c>
      <c r="AA121" s="56" t="e">
        <f t="shared" si="94"/>
        <v>#DIV/0!</v>
      </c>
      <c r="AB121" s="56" t="e">
        <f t="shared" si="95"/>
        <v>#DIV/0!</v>
      </c>
      <c r="AC121" s="56" t="e">
        <f t="shared" si="96"/>
        <v>#DIV/0!</v>
      </c>
      <c r="AD121" s="56" t="e">
        <f t="shared" si="97"/>
        <v>#DIV/0!</v>
      </c>
      <c r="AE121" s="56" t="e">
        <f t="shared" si="98"/>
        <v>#DIV/0!</v>
      </c>
      <c r="AF121" s="56" t="e">
        <f t="shared" si="99"/>
        <v>#DIV/0!</v>
      </c>
      <c r="AG121" s="56" t="e">
        <f t="shared" si="100"/>
        <v>#DIV/0!</v>
      </c>
      <c r="AH121" s="290" t="e">
        <f t="shared" si="101"/>
        <v>#DIV/0!</v>
      </c>
      <c r="AI121" s="582"/>
      <c r="AJ121" s="444">
        <f t="shared" si="83"/>
        <v>-1</v>
      </c>
      <c r="AK121" s="408"/>
    </row>
    <row r="122" spans="1:37" x14ac:dyDescent="0.25">
      <c r="A122" s="58">
        <f>'งบกำไรขาดทุน ปี 2025'!A122</f>
        <v>0</v>
      </c>
      <c r="B122" s="16" t="str">
        <f>'งบกำไรขาดทุน ปี 2025'!B122</f>
        <v>ค่าใช้จ่ายอื่น</v>
      </c>
      <c r="C122" s="215">
        <f>'งบกำไรขาดทุน ปี 2025'!O122</f>
        <v>0</v>
      </c>
      <c r="D122" s="188"/>
      <c r="E122" s="189"/>
      <c r="F122" s="225"/>
      <c r="G122" s="225"/>
      <c r="H122" s="580"/>
      <c r="I122" s="190"/>
      <c r="J122" s="181"/>
      <c r="K122" s="181"/>
      <c r="L122" s="181"/>
      <c r="M122" s="181"/>
      <c r="N122" s="236"/>
      <c r="O122" s="190"/>
      <c r="P122" s="181"/>
      <c r="Q122" s="181"/>
      <c r="R122" s="181"/>
      <c r="S122" s="181"/>
      <c r="T122" s="249"/>
      <c r="U122" s="182"/>
      <c r="V122" s="183"/>
      <c r="W122" s="184"/>
      <c r="X122" s="184"/>
      <c r="Y122" s="184"/>
      <c r="Z122" s="184"/>
      <c r="AA122" s="184"/>
      <c r="AB122" s="184"/>
      <c r="AC122" s="184"/>
      <c r="AD122" s="184"/>
      <c r="AE122" s="184"/>
      <c r="AF122" s="184"/>
      <c r="AG122" s="184"/>
      <c r="AH122" s="291"/>
      <c r="AI122" s="580"/>
      <c r="AJ122" s="444">
        <f t="shared" si="83"/>
        <v>-1</v>
      </c>
      <c r="AK122" s="408"/>
    </row>
    <row r="123" spans="1:37" x14ac:dyDescent="0.25">
      <c r="A123" s="58">
        <f>'งบกำไรขาดทุน ปี 2025'!A123</f>
        <v>60900001</v>
      </c>
      <c r="B123" s="16" t="str">
        <f>'งบกำไรขาดทุน ปี 2025'!B123</f>
        <v>ค่ารับรอง</v>
      </c>
      <c r="C123" s="20">
        <f>'งบกำไรขาดทุน ปี 2025'!O123</f>
        <v>0</v>
      </c>
      <c r="D123" s="21">
        <f t="shared" si="86"/>
        <v>0</v>
      </c>
      <c r="E123" s="141">
        <f t="shared" ref="E123:E132" si="120">D123*$E$5</f>
        <v>0</v>
      </c>
      <c r="F123" s="221" t="e">
        <f t="shared" si="87"/>
        <v>#DIV/0!</v>
      </c>
      <c r="G123" s="696" t="e">
        <f t="shared" ref="G123:G131" si="121">$U$2</f>
        <v>#DIV/0!</v>
      </c>
      <c r="H123" s="582" t="s">
        <v>633</v>
      </c>
      <c r="I123" s="137" t="e">
        <f>(($D123*$G123)+$D123)+'การลงระหว่างเดือน ปี 2026'!AO60</f>
        <v>#DIV/0!</v>
      </c>
      <c r="J123" s="105" t="e">
        <f>(($D123*$G123)+$D123)+'การลงระหว่างเดือน ปี 2026'!AP60</f>
        <v>#DIV/0!</v>
      </c>
      <c r="K123" s="105" t="e">
        <f>(($D123*$G123)+$D123)+'การลงระหว่างเดือน ปี 2026'!AQ60</f>
        <v>#DIV/0!</v>
      </c>
      <c r="L123" s="105" t="e">
        <f>(($D123*$G123)+$D123)+'การลงระหว่างเดือน ปี 2026'!AR60</f>
        <v>#DIV/0!</v>
      </c>
      <c r="M123" s="105" t="e">
        <f>(($D123*$G123)+$D123)+'การลงระหว่างเดือน ปี 2026'!AS60</f>
        <v>#DIV/0!</v>
      </c>
      <c r="N123" s="233" t="e">
        <f>(($D123*$G123)+$D123)+'การลงระหว่างเดือน ปี 2026'!AT60</f>
        <v>#DIV/0!</v>
      </c>
      <c r="O123" s="137" t="e">
        <f>(($D123*$G123)+$D123)+'การลงระหว่างเดือน ปี 2026'!AU60</f>
        <v>#DIV/0!</v>
      </c>
      <c r="P123" s="105" t="e">
        <f>(($D123*$G123)+$D123)+'การลงระหว่างเดือน ปี 2026'!AV60</f>
        <v>#DIV/0!</v>
      </c>
      <c r="Q123" s="105" t="e">
        <f>(($D123*$G123)+$D123)+'การลงระหว่างเดือน ปี 2026'!AW60</f>
        <v>#DIV/0!</v>
      </c>
      <c r="R123" s="105" t="e">
        <f>(($D123*$G123)+$D123)+'การลงระหว่างเดือน ปี 2026'!AX60</f>
        <v>#DIV/0!</v>
      </c>
      <c r="S123" s="105" t="e">
        <f>(($D123*$G123)+$D123)+'การลงระหว่างเดือน ปี 2026'!AY60</f>
        <v>#DIV/0!</v>
      </c>
      <c r="T123" s="246" t="e">
        <f>(($D123*$G123)+$D123)+'การลงระหว่างเดือน ปี 2026'!AZ60</f>
        <v>#DIV/0!</v>
      </c>
      <c r="U123" s="154" t="e">
        <f t="shared" si="117"/>
        <v>#DIV/0!</v>
      </c>
      <c r="V123" s="91" t="e">
        <f t="shared" si="89"/>
        <v>#DIV/0!</v>
      </c>
      <c r="W123" s="55" t="e">
        <f t="shared" si="90"/>
        <v>#DIV/0!</v>
      </c>
      <c r="X123" s="55" t="e">
        <f t="shared" si="91"/>
        <v>#DIV/0!</v>
      </c>
      <c r="Y123" s="55" t="e">
        <f t="shared" si="92"/>
        <v>#DIV/0!</v>
      </c>
      <c r="Z123" s="55" t="e">
        <f t="shared" si="93"/>
        <v>#DIV/0!</v>
      </c>
      <c r="AA123" s="55" t="e">
        <f t="shared" si="94"/>
        <v>#DIV/0!</v>
      </c>
      <c r="AB123" s="55" t="e">
        <f t="shared" si="95"/>
        <v>#DIV/0!</v>
      </c>
      <c r="AC123" s="55" t="e">
        <f t="shared" si="96"/>
        <v>#DIV/0!</v>
      </c>
      <c r="AD123" s="55" t="e">
        <f t="shared" si="97"/>
        <v>#DIV/0!</v>
      </c>
      <c r="AE123" s="55" t="e">
        <f t="shared" si="98"/>
        <v>#DIV/0!</v>
      </c>
      <c r="AF123" s="55" t="e">
        <f t="shared" si="99"/>
        <v>#DIV/0!</v>
      </c>
      <c r="AG123" s="55" t="e">
        <f t="shared" si="100"/>
        <v>#DIV/0!</v>
      </c>
      <c r="AH123" s="288" t="e">
        <f t="shared" si="101"/>
        <v>#DIV/0!</v>
      </c>
      <c r="AI123" s="582" t="s">
        <v>633</v>
      </c>
      <c r="AJ123" s="444">
        <f t="shared" si="83"/>
        <v>-1</v>
      </c>
      <c r="AK123" s="408"/>
    </row>
    <row r="124" spans="1:37" x14ac:dyDescent="0.25">
      <c r="A124" s="58">
        <f>'งบกำไรขาดทุน ปี 2025'!A124</f>
        <v>60700017</v>
      </c>
      <c r="B124" s="16" t="str">
        <f>'งบกำไรขาดทุน ปี 2025'!B124</f>
        <v>ค่าสมาชิก</v>
      </c>
      <c r="C124" s="20">
        <f>'งบกำไรขาดทุน ปี 2025'!O124</f>
        <v>0</v>
      </c>
      <c r="D124" s="21">
        <f t="shared" si="86"/>
        <v>0</v>
      </c>
      <c r="E124" s="141">
        <f t="shared" si="120"/>
        <v>0</v>
      </c>
      <c r="F124" s="221" t="e">
        <f t="shared" si="87"/>
        <v>#DIV/0!</v>
      </c>
      <c r="G124" s="696" t="e">
        <f t="shared" si="121"/>
        <v>#DIV/0!</v>
      </c>
      <c r="H124" s="582" t="s">
        <v>633</v>
      </c>
      <c r="I124" s="137" t="e">
        <f>(($D124*$G124)+$D124)+'การลงระหว่างเดือน ปี 2026'!AO61</f>
        <v>#DIV/0!</v>
      </c>
      <c r="J124" s="105" t="e">
        <f>(($D124*$G124)+$D124)+'การลงระหว่างเดือน ปี 2026'!AP61</f>
        <v>#DIV/0!</v>
      </c>
      <c r="K124" s="105" t="e">
        <f>(($D124*$G124)+$D124)+'การลงระหว่างเดือน ปี 2026'!AQ61</f>
        <v>#DIV/0!</v>
      </c>
      <c r="L124" s="105" t="e">
        <f>(($D124*$G124)+$D124)+'การลงระหว่างเดือน ปี 2026'!AR61</f>
        <v>#DIV/0!</v>
      </c>
      <c r="M124" s="105" t="e">
        <f>(($D124*$G124)+$D124)+'การลงระหว่างเดือน ปี 2026'!AS61</f>
        <v>#DIV/0!</v>
      </c>
      <c r="N124" s="233" t="e">
        <f>(($D124*$G124)+$D124)+'การลงระหว่างเดือน ปี 2026'!AT61</f>
        <v>#DIV/0!</v>
      </c>
      <c r="O124" s="137" t="e">
        <f>(($D124*$G124)+$D124)+'การลงระหว่างเดือน ปี 2026'!AU61</f>
        <v>#DIV/0!</v>
      </c>
      <c r="P124" s="105" t="e">
        <f>(($D124*$G124)+$D124)+'การลงระหว่างเดือน ปี 2026'!AV61</f>
        <v>#DIV/0!</v>
      </c>
      <c r="Q124" s="105" t="e">
        <f>(($D124*$G124)+$D124)+'การลงระหว่างเดือน ปี 2026'!AW61</f>
        <v>#DIV/0!</v>
      </c>
      <c r="R124" s="105" t="e">
        <f>(($D124*$G124)+$D124)+'การลงระหว่างเดือน ปี 2026'!AX61</f>
        <v>#DIV/0!</v>
      </c>
      <c r="S124" s="105" t="e">
        <f>(($D124*$G124)+$D124)+'การลงระหว่างเดือน ปี 2026'!AY61</f>
        <v>#DIV/0!</v>
      </c>
      <c r="T124" s="246" t="e">
        <f>(($D124*$G124)+$D124)+'การลงระหว่างเดือน ปี 2026'!AZ61</f>
        <v>#DIV/0!</v>
      </c>
      <c r="U124" s="154" t="e">
        <f t="shared" si="117"/>
        <v>#DIV/0!</v>
      </c>
      <c r="V124" s="91" t="e">
        <f t="shared" si="89"/>
        <v>#DIV/0!</v>
      </c>
      <c r="W124" s="55" t="e">
        <f t="shared" si="90"/>
        <v>#DIV/0!</v>
      </c>
      <c r="X124" s="55" t="e">
        <f t="shared" si="91"/>
        <v>#DIV/0!</v>
      </c>
      <c r="Y124" s="55" t="e">
        <f t="shared" si="92"/>
        <v>#DIV/0!</v>
      </c>
      <c r="Z124" s="55" t="e">
        <f t="shared" si="93"/>
        <v>#DIV/0!</v>
      </c>
      <c r="AA124" s="55" t="e">
        <f t="shared" si="94"/>
        <v>#DIV/0!</v>
      </c>
      <c r="AB124" s="55" t="e">
        <f t="shared" si="95"/>
        <v>#DIV/0!</v>
      </c>
      <c r="AC124" s="55" t="e">
        <f t="shared" si="96"/>
        <v>#DIV/0!</v>
      </c>
      <c r="AD124" s="55" t="e">
        <f t="shared" si="97"/>
        <v>#DIV/0!</v>
      </c>
      <c r="AE124" s="55" t="e">
        <f t="shared" si="98"/>
        <v>#DIV/0!</v>
      </c>
      <c r="AF124" s="55" t="e">
        <f t="shared" si="99"/>
        <v>#DIV/0!</v>
      </c>
      <c r="AG124" s="55" t="e">
        <f t="shared" si="100"/>
        <v>#DIV/0!</v>
      </c>
      <c r="AH124" s="288" t="e">
        <f t="shared" si="101"/>
        <v>#DIV/0!</v>
      </c>
      <c r="AI124" s="582" t="s">
        <v>633</v>
      </c>
      <c r="AJ124" s="444">
        <f t="shared" si="83"/>
        <v>-1</v>
      </c>
      <c r="AK124" s="408"/>
    </row>
    <row r="125" spans="1:37" x14ac:dyDescent="0.25">
      <c r="A125" s="58">
        <f>'งบกำไรขาดทุน ปี 2025'!A125</f>
        <v>60700012</v>
      </c>
      <c r="B125" s="16" t="str">
        <f>'งบกำไรขาดทุน ปี 2025'!B125</f>
        <v>ค่าทำความสะอาด</v>
      </c>
      <c r="C125" s="20">
        <f>'งบกำไรขาดทุน ปี 2025'!O125</f>
        <v>0</v>
      </c>
      <c r="D125" s="21">
        <f t="shared" si="86"/>
        <v>0</v>
      </c>
      <c r="E125" s="141">
        <f t="shared" si="120"/>
        <v>0</v>
      </c>
      <c r="F125" s="221" t="e">
        <f t="shared" si="87"/>
        <v>#DIV/0!</v>
      </c>
      <c r="G125" s="696" t="e">
        <f t="shared" si="121"/>
        <v>#DIV/0!</v>
      </c>
      <c r="H125" s="582" t="s">
        <v>633</v>
      </c>
      <c r="I125" s="137" t="e">
        <f>(($D125*$G125)+$D125)+'การลงระหว่างเดือน ปี 2026'!AO62</f>
        <v>#DIV/0!</v>
      </c>
      <c r="J125" s="105" t="e">
        <f>(($D125*$G125)+$D125)+'การลงระหว่างเดือน ปี 2026'!AP62</f>
        <v>#DIV/0!</v>
      </c>
      <c r="K125" s="105" t="e">
        <f>(($D125*$G125)+$D125)+'การลงระหว่างเดือน ปี 2026'!AQ62</f>
        <v>#DIV/0!</v>
      </c>
      <c r="L125" s="105" t="e">
        <f>(($D125*$G125)+$D125)+'การลงระหว่างเดือน ปี 2026'!AR62</f>
        <v>#DIV/0!</v>
      </c>
      <c r="M125" s="105" t="e">
        <f>(($D125*$G125)+$D125)+'การลงระหว่างเดือน ปี 2026'!AS62</f>
        <v>#DIV/0!</v>
      </c>
      <c r="N125" s="233" t="e">
        <f>(($D125*$G125)+$D125)+'การลงระหว่างเดือน ปี 2026'!AT62</f>
        <v>#DIV/0!</v>
      </c>
      <c r="O125" s="137" t="e">
        <f>(($D125*$G125)+$D125)+'การลงระหว่างเดือน ปี 2026'!AU62</f>
        <v>#DIV/0!</v>
      </c>
      <c r="P125" s="105" t="e">
        <f>(($D125*$G125)+$D125)+'การลงระหว่างเดือน ปี 2026'!AV62</f>
        <v>#DIV/0!</v>
      </c>
      <c r="Q125" s="105" t="e">
        <f>(($D125*$G125)+$D125)+'การลงระหว่างเดือน ปี 2026'!AW62</f>
        <v>#DIV/0!</v>
      </c>
      <c r="R125" s="105" t="e">
        <f>(($D125*$G125)+$D125)+'การลงระหว่างเดือน ปี 2026'!AX62</f>
        <v>#DIV/0!</v>
      </c>
      <c r="S125" s="105" t="e">
        <f>(($D125*$G125)+$D125)+'การลงระหว่างเดือน ปี 2026'!AY62</f>
        <v>#DIV/0!</v>
      </c>
      <c r="T125" s="246" t="e">
        <f>(($D125*$G125)+$D125)+'การลงระหว่างเดือน ปี 2026'!AZ62</f>
        <v>#DIV/0!</v>
      </c>
      <c r="U125" s="154" t="e">
        <f t="shared" si="117"/>
        <v>#DIV/0!</v>
      </c>
      <c r="V125" s="91" t="e">
        <f t="shared" si="89"/>
        <v>#DIV/0!</v>
      </c>
      <c r="W125" s="55" t="e">
        <f t="shared" si="90"/>
        <v>#DIV/0!</v>
      </c>
      <c r="X125" s="55" t="e">
        <f t="shared" si="91"/>
        <v>#DIV/0!</v>
      </c>
      <c r="Y125" s="55" t="e">
        <f t="shared" si="92"/>
        <v>#DIV/0!</v>
      </c>
      <c r="Z125" s="55" t="e">
        <f t="shared" si="93"/>
        <v>#DIV/0!</v>
      </c>
      <c r="AA125" s="55" t="e">
        <f t="shared" si="94"/>
        <v>#DIV/0!</v>
      </c>
      <c r="AB125" s="55" t="e">
        <f t="shared" si="95"/>
        <v>#DIV/0!</v>
      </c>
      <c r="AC125" s="55" t="e">
        <f t="shared" si="96"/>
        <v>#DIV/0!</v>
      </c>
      <c r="AD125" s="55" t="e">
        <f t="shared" si="97"/>
        <v>#DIV/0!</v>
      </c>
      <c r="AE125" s="55" t="e">
        <f t="shared" si="98"/>
        <v>#DIV/0!</v>
      </c>
      <c r="AF125" s="55" t="e">
        <f t="shared" si="99"/>
        <v>#DIV/0!</v>
      </c>
      <c r="AG125" s="55" t="e">
        <f t="shared" si="100"/>
        <v>#DIV/0!</v>
      </c>
      <c r="AH125" s="288" t="e">
        <f t="shared" si="101"/>
        <v>#DIV/0!</v>
      </c>
      <c r="AI125" s="582" t="s">
        <v>633</v>
      </c>
      <c r="AJ125" s="444">
        <f t="shared" si="83"/>
        <v>-1</v>
      </c>
      <c r="AK125" s="408"/>
    </row>
    <row r="126" spans="1:37" x14ac:dyDescent="0.25">
      <c r="A126" s="58">
        <f>'งบกำไรขาดทุน ปี 2025'!A126</f>
        <v>61100006</v>
      </c>
      <c r="B126" s="16" t="str">
        <f>'งบกำไรขาดทุน ปี 2025'!B126</f>
        <v>ค่าใช้จ่ายเบ็ดเตล็ด</v>
      </c>
      <c r="C126" s="20">
        <f>'งบกำไรขาดทุน ปี 2025'!O126</f>
        <v>0</v>
      </c>
      <c r="D126" s="21">
        <f t="shared" si="86"/>
        <v>0</v>
      </c>
      <c r="E126" s="141">
        <f t="shared" si="120"/>
        <v>0</v>
      </c>
      <c r="F126" s="221" t="e">
        <f t="shared" si="87"/>
        <v>#DIV/0!</v>
      </c>
      <c r="G126" s="221"/>
      <c r="H126" s="582" t="s">
        <v>633</v>
      </c>
      <c r="I126" s="137">
        <f>(($D126*$G126)+$D126)+'การลงระหว่างเดือน ปี 2026'!AO63</f>
        <v>0</v>
      </c>
      <c r="J126" s="105">
        <f>(($D126*$G126)+$D126)+'การลงระหว่างเดือน ปี 2026'!AP63</f>
        <v>0</v>
      </c>
      <c r="K126" s="105">
        <f>(($D126*$G126)+$D126)+'การลงระหว่างเดือน ปี 2026'!AQ63</f>
        <v>0</v>
      </c>
      <c r="L126" s="105">
        <f>(($D126*$G126)+$D126)+'การลงระหว่างเดือน ปี 2026'!AR63</f>
        <v>0</v>
      </c>
      <c r="M126" s="105">
        <f>(($D126*$G126)+$D126)+'การลงระหว่างเดือน ปี 2026'!AS63</f>
        <v>0</v>
      </c>
      <c r="N126" s="233">
        <f>(($D126*$G126)+$D126)+'การลงระหว่างเดือน ปี 2026'!AT63</f>
        <v>0</v>
      </c>
      <c r="O126" s="137">
        <f>(($D126*$G126)+$D126)+'การลงระหว่างเดือน ปี 2026'!AU63</f>
        <v>0</v>
      </c>
      <c r="P126" s="105">
        <f>(($D126*$G126)+$D126)+'การลงระหว่างเดือน ปี 2026'!AV63</f>
        <v>0</v>
      </c>
      <c r="Q126" s="105">
        <f>(($D126*$G126)+$D126)+'การลงระหว่างเดือน ปี 2026'!AW63</f>
        <v>0</v>
      </c>
      <c r="R126" s="105">
        <f>(($D126*$G126)+$D126)+'การลงระหว่างเดือน ปี 2026'!AX63</f>
        <v>0</v>
      </c>
      <c r="S126" s="105">
        <f>(($D126*$G126)+$D126)+'การลงระหว่างเดือน ปี 2026'!AY63</f>
        <v>0</v>
      </c>
      <c r="T126" s="246">
        <f>(($D126*$G126)+$D126)+'การลงระหว่างเดือน ปี 2026'!AZ63</f>
        <v>0</v>
      </c>
      <c r="U126" s="154">
        <f t="shared" si="117"/>
        <v>0</v>
      </c>
      <c r="V126" s="91" t="e">
        <f t="shared" si="89"/>
        <v>#DIV/0!</v>
      </c>
      <c r="W126" s="55" t="e">
        <f t="shared" si="90"/>
        <v>#DIV/0!</v>
      </c>
      <c r="X126" s="55" t="e">
        <f t="shared" si="91"/>
        <v>#DIV/0!</v>
      </c>
      <c r="Y126" s="55" t="e">
        <f t="shared" si="92"/>
        <v>#DIV/0!</v>
      </c>
      <c r="Z126" s="55" t="e">
        <f t="shared" si="93"/>
        <v>#DIV/0!</v>
      </c>
      <c r="AA126" s="55" t="e">
        <f t="shared" si="94"/>
        <v>#DIV/0!</v>
      </c>
      <c r="AB126" s="55" t="e">
        <f t="shared" si="95"/>
        <v>#DIV/0!</v>
      </c>
      <c r="AC126" s="55" t="e">
        <f t="shared" si="96"/>
        <v>#DIV/0!</v>
      </c>
      <c r="AD126" s="55" t="e">
        <f t="shared" si="97"/>
        <v>#DIV/0!</v>
      </c>
      <c r="AE126" s="55" t="e">
        <f t="shared" si="98"/>
        <v>#DIV/0!</v>
      </c>
      <c r="AF126" s="55" t="e">
        <f t="shared" si="99"/>
        <v>#DIV/0!</v>
      </c>
      <c r="AG126" s="55" t="e">
        <f t="shared" si="100"/>
        <v>#DIV/0!</v>
      </c>
      <c r="AH126" s="288" t="e">
        <f t="shared" si="101"/>
        <v>#DIV/0!</v>
      </c>
      <c r="AI126" s="582" t="s">
        <v>633</v>
      </c>
      <c r="AJ126" s="444">
        <f t="shared" si="83"/>
        <v>-1</v>
      </c>
      <c r="AK126" s="408"/>
    </row>
    <row r="127" spans="1:37" x14ac:dyDescent="0.25">
      <c r="A127" s="58">
        <f>'งบกำไรขาดทุน ปี 2025'!A127</f>
        <v>61100004</v>
      </c>
      <c r="B127" s="16" t="str">
        <f>'งบกำไรขาดทุน ปี 2025'!B127</f>
        <v>ต้นทุนดอกเบี้ยผลประโยชน์พนักงาน</v>
      </c>
      <c r="C127" s="20">
        <f>'งบกำไรขาดทุน ปี 2025'!O127</f>
        <v>0</v>
      </c>
      <c r="D127" s="21">
        <f t="shared" si="86"/>
        <v>0</v>
      </c>
      <c r="E127" s="141">
        <f t="shared" si="120"/>
        <v>0</v>
      </c>
      <c r="F127" s="221" t="e">
        <f t="shared" si="87"/>
        <v>#DIV/0!</v>
      </c>
      <c r="G127" s="696" t="e">
        <f t="shared" si="121"/>
        <v>#DIV/0!</v>
      </c>
      <c r="H127" s="582" t="s">
        <v>633</v>
      </c>
      <c r="I127" s="137" t="e">
        <f>(($D127*$G127)+$D127)+'การลงระหว่างเดือน ปี 2026'!AO64</f>
        <v>#DIV/0!</v>
      </c>
      <c r="J127" s="105" t="e">
        <f>(($D127*$G127)+$D127)+'การลงระหว่างเดือน ปี 2026'!AP64</f>
        <v>#DIV/0!</v>
      </c>
      <c r="K127" s="105" t="e">
        <f>(($D127*$G127)+$D127)+'การลงระหว่างเดือน ปี 2026'!AQ64</f>
        <v>#DIV/0!</v>
      </c>
      <c r="L127" s="105" t="e">
        <f>(($D127*$G127)+$D127)+'การลงระหว่างเดือน ปี 2026'!AR64</f>
        <v>#DIV/0!</v>
      </c>
      <c r="M127" s="105" t="e">
        <f>(($D127*$G127)+$D127)+'การลงระหว่างเดือน ปี 2026'!AS64</f>
        <v>#DIV/0!</v>
      </c>
      <c r="N127" s="233" t="e">
        <f>(($D127*$G127)+$D127)+'การลงระหว่างเดือน ปี 2026'!AT64</f>
        <v>#DIV/0!</v>
      </c>
      <c r="O127" s="137" t="e">
        <f>(($D127*$G127)+$D127)+'การลงระหว่างเดือน ปี 2026'!AU64</f>
        <v>#DIV/0!</v>
      </c>
      <c r="P127" s="105" t="e">
        <f>(($D127*$G127)+$D127)+'การลงระหว่างเดือน ปี 2026'!AV64</f>
        <v>#DIV/0!</v>
      </c>
      <c r="Q127" s="105" t="e">
        <f>(($D127*$G127)+$D127)+'การลงระหว่างเดือน ปี 2026'!AW64</f>
        <v>#DIV/0!</v>
      </c>
      <c r="R127" s="105" t="e">
        <f>(($D127*$G127)+$D127)+'การลงระหว่างเดือน ปี 2026'!AX64</f>
        <v>#DIV/0!</v>
      </c>
      <c r="S127" s="105" t="e">
        <f>(($D127*$G127)+$D127)+'การลงระหว่างเดือน ปี 2026'!AY64</f>
        <v>#DIV/0!</v>
      </c>
      <c r="T127" s="246" t="e">
        <f>(($D127*$G127)+$D127)+'การลงระหว่างเดือน ปี 2026'!AZ64</f>
        <v>#DIV/0!</v>
      </c>
      <c r="U127" s="154" t="e">
        <f t="shared" si="117"/>
        <v>#DIV/0!</v>
      </c>
      <c r="V127" s="91" t="e">
        <f t="shared" si="89"/>
        <v>#DIV/0!</v>
      </c>
      <c r="W127" s="55" t="e">
        <f t="shared" si="90"/>
        <v>#DIV/0!</v>
      </c>
      <c r="X127" s="55" t="e">
        <f t="shared" si="91"/>
        <v>#DIV/0!</v>
      </c>
      <c r="Y127" s="55" t="e">
        <f t="shared" si="92"/>
        <v>#DIV/0!</v>
      </c>
      <c r="Z127" s="55" t="e">
        <f t="shared" si="93"/>
        <v>#DIV/0!</v>
      </c>
      <c r="AA127" s="55" t="e">
        <f t="shared" si="94"/>
        <v>#DIV/0!</v>
      </c>
      <c r="AB127" s="55" t="e">
        <f t="shared" si="95"/>
        <v>#DIV/0!</v>
      </c>
      <c r="AC127" s="55" t="e">
        <f t="shared" si="96"/>
        <v>#DIV/0!</v>
      </c>
      <c r="AD127" s="55" t="e">
        <f t="shared" si="97"/>
        <v>#DIV/0!</v>
      </c>
      <c r="AE127" s="55" t="e">
        <f t="shared" si="98"/>
        <v>#DIV/0!</v>
      </c>
      <c r="AF127" s="55" t="e">
        <f t="shared" si="99"/>
        <v>#DIV/0!</v>
      </c>
      <c r="AG127" s="55" t="e">
        <f t="shared" si="100"/>
        <v>#DIV/0!</v>
      </c>
      <c r="AH127" s="288" t="e">
        <f t="shared" si="101"/>
        <v>#DIV/0!</v>
      </c>
      <c r="AI127" s="582" t="s">
        <v>633</v>
      </c>
      <c r="AJ127" s="444">
        <f t="shared" si="83"/>
        <v>-1</v>
      </c>
      <c r="AK127" s="408"/>
    </row>
    <row r="128" spans="1:37" x14ac:dyDescent="0.25">
      <c r="A128" s="58">
        <f>'งบกำไรขาดทุน ปี 2025'!A128</f>
        <v>61100005</v>
      </c>
      <c r="B128" s="16" t="str">
        <f>'งบกำไรขาดทุน ปี 2025'!B128</f>
        <v>ต้นทุนดอกเบี้ยค่ารื้อถอนอาคาร</v>
      </c>
      <c r="C128" s="20">
        <f>'งบกำไรขาดทุน ปี 2025'!O128</f>
        <v>0</v>
      </c>
      <c r="D128" s="21">
        <f t="shared" si="86"/>
        <v>0</v>
      </c>
      <c r="E128" s="141">
        <f t="shared" si="120"/>
        <v>0</v>
      </c>
      <c r="F128" s="221" t="e">
        <f t="shared" si="87"/>
        <v>#DIV/0!</v>
      </c>
      <c r="G128" s="696" t="e">
        <f t="shared" si="121"/>
        <v>#DIV/0!</v>
      </c>
      <c r="H128" s="582" t="s">
        <v>633</v>
      </c>
      <c r="I128" s="137" t="e">
        <f>(($D128*$G128)+$D128)+'การลงระหว่างเดือน ปี 2026'!AO65</f>
        <v>#DIV/0!</v>
      </c>
      <c r="J128" s="105" t="e">
        <f>(($D128*$G128)+$D128)+'การลงระหว่างเดือน ปี 2026'!AP65</f>
        <v>#DIV/0!</v>
      </c>
      <c r="K128" s="105" t="e">
        <f>(($D128*$G128)+$D128)+'การลงระหว่างเดือน ปี 2026'!AQ65</f>
        <v>#DIV/0!</v>
      </c>
      <c r="L128" s="105" t="e">
        <f>(($D128*$G128)+$D128)+'การลงระหว่างเดือน ปี 2026'!AR65</f>
        <v>#DIV/0!</v>
      </c>
      <c r="M128" s="105" t="e">
        <f>(($D128*$G128)+$D128)+'การลงระหว่างเดือน ปี 2026'!AS65</f>
        <v>#DIV/0!</v>
      </c>
      <c r="N128" s="233" t="e">
        <f>(($D128*$G128)+$D128)+'การลงระหว่างเดือน ปี 2026'!AT65</f>
        <v>#DIV/0!</v>
      </c>
      <c r="O128" s="137" t="e">
        <f>(($D128*$G128)+$D128)+'การลงระหว่างเดือน ปี 2026'!AU65</f>
        <v>#DIV/0!</v>
      </c>
      <c r="P128" s="105" t="e">
        <f>(($D128*$G128)+$D128)+'การลงระหว่างเดือน ปี 2026'!AV65</f>
        <v>#DIV/0!</v>
      </c>
      <c r="Q128" s="105" t="e">
        <f>(($D128*$G128)+$D128)+'การลงระหว่างเดือน ปี 2026'!AW65</f>
        <v>#DIV/0!</v>
      </c>
      <c r="R128" s="105" t="e">
        <f>(($D128*$G128)+$D128)+'การลงระหว่างเดือน ปี 2026'!AX65</f>
        <v>#DIV/0!</v>
      </c>
      <c r="S128" s="105" t="e">
        <f>(($D128*$G128)+$D128)+'การลงระหว่างเดือน ปี 2026'!AY65</f>
        <v>#DIV/0!</v>
      </c>
      <c r="T128" s="246" t="e">
        <f>(($D128*$G128)+$D128)+'การลงระหว่างเดือน ปี 2026'!AZ65</f>
        <v>#DIV/0!</v>
      </c>
      <c r="U128" s="154" t="e">
        <f t="shared" si="117"/>
        <v>#DIV/0!</v>
      </c>
      <c r="V128" s="91" t="e">
        <f t="shared" si="89"/>
        <v>#DIV/0!</v>
      </c>
      <c r="W128" s="55" t="e">
        <f t="shared" si="90"/>
        <v>#DIV/0!</v>
      </c>
      <c r="X128" s="55" t="e">
        <f t="shared" si="91"/>
        <v>#DIV/0!</v>
      </c>
      <c r="Y128" s="55" t="e">
        <f t="shared" si="92"/>
        <v>#DIV/0!</v>
      </c>
      <c r="Z128" s="55" t="e">
        <f t="shared" si="93"/>
        <v>#DIV/0!</v>
      </c>
      <c r="AA128" s="55" t="e">
        <f t="shared" si="94"/>
        <v>#DIV/0!</v>
      </c>
      <c r="AB128" s="55" t="e">
        <f t="shared" si="95"/>
        <v>#DIV/0!</v>
      </c>
      <c r="AC128" s="55" t="e">
        <f t="shared" si="96"/>
        <v>#DIV/0!</v>
      </c>
      <c r="AD128" s="55" t="e">
        <f t="shared" si="97"/>
        <v>#DIV/0!</v>
      </c>
      <c r="AE128" s="55" t="e">
        <f t="shared" si="98"/>
        <v>#DIV/0!</v>
      </c>
      <c r="AF128" s="55" t="e">
        <f t="shared" si="99"/>
        <v>#DIV/0!</v>
      </c>
      <c r="AG128" s="55" t="e">
        <f t="shared" si="100"/>
        <v>#DIV/0!</v>
      </c>
      <c r="AH128" s="288" t="e">
        <f t="shared" si="101"/>
        <v>#DIV/0!</v>
      </c>
      <c r="AI128" s="582" t="s">
        <v>633</v>
      </c>
      <c r="AJ128" s="444">
        <f t="shared" si="83"/>
        <v>-1</v>
      </c>
      <c r="AK128" s="408"/>
    </row>
    <row r="129" spans="1:37" x14ac:dyDescent="0.25">
      <c r="A129" s="58">
        <f>'งบกำไรขาดทุน ปี 2025'!A129</f>
        <v>61200001</v>
      </c>
      <c r="B129" s="16" t="str">
        <f>'งบกำไรขาดทุน ปี 2025'!B129</f>
        <v>ผลต่างจากการตรวจนับ</v>
      </c>
      <c r="C129" s="20">
        <f>'งบกำไรขาดทุน ปี 2025'!O129</f>
        <v>0</v>
      </c>
      <c r="D129" s="21">
        <f t="shared" si="86"/>
        <v>0</v>
      </c>
      <c r="E129" s="141">
        <f t="shared" si="120"/>
        <v>0</v>
      </c>
      <c r="F129" s="221" t="e">
        <f t="shared" si="87"/>
        <v>#DIV/0!</v>
      </c>
      <c r="G129" s="478">
        <v>-0.1</v>
      </c>
      <c r="H129" s="582" t="s">
        <v>633</v>
      </c>
      <c r="I129" s="137">
        <f>(($D129*$G129)+$D129)+'การลงระหว่างเดือน ปี 2026'!AO66</f>
        <v>0</v>
      </c>
      <c r="J129" s="105">
        <f>(($D129*$G129)+$D129)+'การลงระหว่างเดือน ปี 2026'!AP66</f>
        <v>0</v>
      </c>
      <c r="K129" s="105">
        <f>(($D129*$G129)+$D129)+'การลงระหว่างเดือน ปี 2026'!AQ66</f>
        <v>0</v>
      </c>
      <c r="L129" s="105">
        <f>(($D129*$G129)+$D129)+'การลงระหว่างเดือน ปี 2026'!AR66</f>
        <v>0</v>
      </c>
      <c r="M129" s="105">
        <f>(($D129*$G129)+$D129)+'การลงระหว่างเดือน ปี 2026'!AS66</f>
        <v>0</v>
      </c>
      <c r="N129" s="233">
        <f>(($D129*$G129)+$D129)+'การลงระหว่างเดือน ปี 2026'!AT66</f>
        <v>0</v>
      </c>
      <c r="O129" s="137">
        <f>(($D129*$G129)+$D129)+'การลงระหว่างเดือน ปี 2026'!AU66</f>
        <v>0</v>
      </c>
      <c r="P129" s="105">
        <f>(($D129*$G129)+$D129)+'การลงระหว่างเดือน ปี 2026'!AV66</f>
        <v>0</v>
      </c>
      <c r="Q129" s="105">
        <f>(($D129*$G129)+$D129)+'การลงระหว่างเดือน ปี 2026'!AW66</f>
        <v>0</v>
      </c>
      <c r="R129" s="105">
        <f>(($D129*$G129)+$D129)+'การลงระหว่างเดือน ปี 2026'!AX66</f>
        <v>0</v>
      </c>
      <c r="S129" s="105">
        <f>(($D129*$G129)+$D129)+'การลงระหว่างเดือน ปี 2026'!AY66</f>
        <v>0</v>
      </c>
      <c r="T129" s="246">
        <f>(($D129*$G129)+$D129)+'การลงระหว่างเดือน ปี 2026'!AZ66</f>
        <v>0</v>
      </c>
      <c r="U129" s="154">
        <f t="shared" si="117"/>
        <v>0</v>
      </c>
      <c r="V129" s="91" t="e">
        <f t="shared" si="89"/>
        <v>#DIV/0!</v>
      </c>
      <c r="W129" s="55" t="e">
        <f t="shared" si="90"/>
        <v>#DIV/0!</v>
      </c>
      <c r="X129" s="55" t="e">
        <f t="shared" si="91"/>
        <v>#DIV/0!</v>
      </c>
      <c r="Y129" s="55" t="e">
        <f t="shared" si="92"/>
        <v>#DIV/0!</v>
      </c>
      <c r="Z129" s="55" t="e">
        <f t="shared" si="93"/>
        <v>#DIV/0!</v>
      </c>
      <c r="AA129" s="55" t="e">
        <f t="shared" si="94"/>
        <v>#DIV/0!</v>
      </c>
      <c r="AB129" s="55" t="e">
        <f t="shared" si="95"/>
        <v>#DIV/0!</v>
      </c>
      <c r="AC129" s="55" t="e">
        <f t="shared" si="96"/>
        <v>#DIV/0!</v>
      </c>
      <c r="AD129" s="55" t="e">
        <f t="shared" si="97"/>
        <v>#DIV/0!</v>
      </c>
      <c r="AE129" s="55" t="e">
        <f t="shared" si="98"/>
        <v>#DIV/0!</v>
      </c>
      <c r="AF129" s="55" t="e">
        <f t="shared" si="99"/>
        <v>#DIV/0!</v>
      </c>
      <c r="AG129" s="55" t="e">
        <f t="shared" si="100"/>
        <v>#DIV/0!</v>
      </c>
      <c r="AH129" s="288" t="e">
        <f t="shared" si="101"/>
        <v>#DIV/0!</v>
      </c>
      <c r="AI129" s="582" t="s">
        <v>634</v>
      </c>
      <c r="AJ129" s="444">
        <f t="shared" si="83"/>
        <v>-1</v>
      </c>
      <c r="AK129" s="408"/>
    </row>
    <row r="130" spans="1:37" x14ac:dyDescent="0.25">
      <c r="A130" s="58">
        <f>'งบกำไรขาดทุน ปี 2025'!A130</f>
        <v>61200002</v>
      </c>
      <c r="B130" s="16" t="str">
        <f>'งบกำไรขาดทุน ปี 2025'!B130</f>
        <v>ค่าสินค้าเสื่อมสภาพ</v>
      </c>
      <c r="C130" s="20">
        <f>'งบกำไรขาดทุน ปี 2025'!O130</f>
        <v>0</v>
      </c>
      <c r="D130" s="21">
        <f t="shared" si="86"/>
        <v>0</v>
      </c>
      <c r="E130" s="141">
        <f t="shared" si="120"/>
        <v>0</v>
      </c>
      <c r="F130" s="221" t="e">
        <f t="shared" si="87"/>
        <v>#DIV/0!</v>
      </c>
      <c r="G130" s="478">
        <v>-0.1</v>
      </c>
      <c r="H130" s="582" t="s">
        <v>633</v>
      </c>
      <c r="I130" s="137">
        <f>(($D130*$G130)+$D130)+'การลงระหว่างเดือน ปี 2026'!AO67</f>
        <v>0</v>
      </c>
      <c r="J130" s="105">
        <f>(($D130*$G130)+$D130)+'การลงระหว่างเดือน ปี 2026'!AP67</f>
        <v>0</v>
      </c>
      <c r="K130" s="105">
        <f>(($D130*$G130)+$D130)+'การลงระหว่างเดือน ปี 2026'!AQ67</f>
        <v>0</v>
      </c>
      <c r="L130" s="105">
        <f>(($D130*$G130)+$D130)+'การลงระหว่างเดือน ปี 2026'!AR67</f>
        <v>0</v>
      </c>
      <c r="M130" s="105">
        <f>(($D130*$G130)+$D130)+'การลงระหว่างเดือน ปี 2026'!AS67</f>
        <v>0</v>
      </c>
      <c r="N130" s="233">
        <f>(($D130*$G130)+$D130)+'การลงระหว่างเดือน ปี 2026'!AT67</f>
        <v>0</v>
      </c>
      <c r="O130" s="137">
        <f>(($D130*$G130)+$D130)+'การลงระหว่างเดือน ปี 2026'!AU67</f>
        <v>0</v>
      </c>
      <c r="P130" s="105">
        <f>(($D130*$G130)+$D130)+'การลงระหว่างเดือน ปี 2026'!AV67</f>
        <v>0</v>
      </c>
      <c r="Q130" s="105">
        <f>(($D130*$G130)+$D130)+'การลงระหว่างเดือน ปี 2026'!AW67</f>
        <v>0</v>
      </c>
      <c r="R130" s="105">
        <f>(($D130*$G130)+$D130)+'การลงระหว่างเดือน ปี 2026'!AX67</f>
        <v>0</v>
      </c>
      <c r="S130" s="105">
        <f>(($D130*$G130)+$D130)+'การลงระหว่างเดือน ปี 2026'!AY67</f>
        <v>0</v>
      </c>
      <c r="T130" s="246">
        <f>(($D130*$G130)+$D130)+'การลงระหว่างเดือน ปี 2026'!AZ67</f>
        <v>0</v>
      </c>
      <c r="U130" s="154">
        <f t="shared" si="117"/>
        <v>0</v>
      </c>
      <c r="V130" s="91" t="e">
        <f t="shared" si="89"/>
        <v>#DIV/0!</v>
      </c>
      <c r="W130" s="55" t="e">
        <f t="shared" si="90"/>
        <v>#DIV/0!</v>
      </c>
      <c r="X130" s="55" t="e">
        <f t="shared" si="91"/>
        <v>#DIV/0!</v>
      </c>
      <c r="Y130" s="55" t="e">
        <f t="shared" si="92"/>
        <v>#DIV/0!</v>
      </c>
      <c r="Z130" s="55" t="e">
        <f t="shared" si="93"/>
        <v>#DIV/0!</v>
      </c>
      <c r="AA130" s="55" t="e">
        <f t="shared" si="94"/>
        <v>#DIV/0!</v>
      </c>
      <c r="AB130" s="55" t="e">
        <f t="shared" si="95"/>
        <v>#DIV/0!</v>
      </c>
      <c r="AC130" s="55" t="e">
        <f t="shared" si="96"/>
        <v>#DIV/0!</v>
      </c>
      <c r="AD130" s="55" t="e">
        <f t="shared" si="97"/>
        <v>#DIV/0!</v>
      </c>
      <c r="AE130" s="55" t="e">
        <f t="shared" si="98"/>
        <v>#DIV/0!</v>
      </c>
      <c r="AF130" s="55" t="e">
        <f t="shared" si="99"/>
        <v>#DIV/0!</v>
      </c>
      <c r="AG130" s="55" t="e">
        <f t="shared" si="100"/>
        <v>#DIV/0!</v>
      </c>
      <c r="AH130" s="288" t="e">
        <f t="shared" si="101"/>
        <v>#DIV/0!</v>
      </c>
      <c r="AI130" s="582" t="s">
        <v>634</v>
      </c>
      <c r="AJ130" s="444">
        <f t="shared" si="83"/>
        <v>-1</v>
      </c>
      <c r="AK130" s="408"/>
    </row>
    <row r="131" spans="1:37" x14ac:dyDescent="0.25">
      <c r="A131" s="58">
        <f>'งบกำไรขาดทุน ปี 2025'!A131</f>
        <v>61200005</v>
      </c>
      <c r="B131" s="16" t="str">
        <f>'งบกำไรขาดทุน ปี 2025'!B131</f>
        <v>ค่าใช้จ่ายอื่น</v>
      </c>
      <c r="C131" s="121">
        <f>'งบกำไรขาดทุน ปี 2025'!O131</f>
        <v>0</v>
      </c>
      <c r="D131" s="136">
        <f t="shared" si="86"/>
        <v>0</v>
      </c>
      <c r="E131" s="145">
        <f t="shared" si="120"/>
        <v>0</v>
      </c>
      <c r="F131" s="96" t="e">
        <f t="shared" si="87"/>
        <v>#DIV/0!</v>
      </c>
      <c r="G131" s="698" t="e">
        <f t="shared" si="121"/>
        <v>#DIV/0!</v>
      </c>
      <c r="H131" s="582" t="s">
        <v>633</v>
      </c>
      <c r="I131" s="137" t="e">
        <f>(($D131*$G131)+$D131)</f>
        <v>#DIV/0!</v>
      </c>
      <c r="J131" s="105" t="e">
        <f t="shared" ref="J131:T131" si="122">(($D131*$G131)+$D131)</f>
        <v>#DIV/0!</v>
      </c>
      <c r="K131" s="105" t="e">
        <f t="shared" si="122"/>
        <v>#DIV/0!</v>
      </c>
      <c r="L131" s="105" t="e">
        <f t="shared" si="122"/>
        <v>#DIV/0!</v>
      </c>
      <c r="M131" s="105" t="e">
        <f t="shared" si="122"/>
        <v>#DIV/0!</v>
      </c>
      <c r="N131" s="233" t="e">
        <f t="shared" si="122"/>
        <v>#DIV/0!</v>
      </c>
      <c r="O131" s="137" t="e">
        <f t="shared" si="122"/>
        <v>#DIV/0!</v>
      </c>
      <c r="P131" s="105" t="e">
        <f t="shared" si="122"/>
        <v>#DIV/0!</v>
      </c>
      <c r="Q131" s="105" t="e">
        <f t="shared" si="122"/>
        <v>#DIV/0!</v>
      </c>
      <c r="R131" s="105" t="e">
        <f t="shared" si="122"/>
        <v>#DIV/0!</v>
      </c>
      <c r="S131" s="105" t="e">
        <f t="shared" si="122"/>
        <v>#DIV/0!</v>
      </c>
      <c r="T131" s="246" t="e">
        <f t="shared" si="122"/>
        <v>#DIV/0!</v>
      </c>
      <c r="U131" s="157" t="e">
        <f t="shared" si="117"/>
        <v>#DIV/0!</v>
      </c>
      <c r="V131" s="92" t="e">
        <f t="shared" si="89"/>
        <v>#DIV/0!</v>
      </c>
      <c r="W131" s="93" t="e">
        <f t="shared" si="90"/>
        <v>#DIV/0!</v>
      </c>
      <c r="X131" s="93" t="e">
        <f t="shared" si="91"/>
        <v>#DIV/0!</v>
      </c>
      <c r="Y131" s="93" t="e">
        <f t="shared" si="92"/>
        <v>#DIV/0!</v>
      </c>
      <c r="Z131" s="93" t="e">
        <f t="shared" si="93"/>
        <v>#DIV/0!</v>
      </c>
      <c r="AA131" s="93" t="e">
        <f t="shared" si="94"/>
        <v>#DIV/0!</v>
      </c>
      <c r="AB131" s="93" t="e">
        <f t="shared" si="95"/>
        <v>#DIV/0!</v>
      </c>
      <c r="AC131" s="93" t="e">
        <f t="shared" si="96"/>
        <v>#DIV/0!</v>
      </c>
      <c r="AD131" s="93" t="e">
        <f t="shared" si="97"/>
        <v>#DIV/0!</v>
      </c>
      <c r="AE131" s="93" t="e">
        <f t="shared" si="98"/>
        <v>#DIV/0!</v>
      </c>
      <c r="AF131" s="93" t="e">
        <f t="shared" si="99"/>
        <v>#DIV/0!</v>
      </c>
      <c r="AG131" s="93" t="e">
        <f t="shared" si="100"/>
        <v>#DIV/0!</v>
      </c>
      <c r="AH131" s="294" t="e">
        <f t="shared" si="101"/>
        <v>#DIV/0!</v>
      </c>
      <c r="AI131" s="582" t="s">
        <v>634</v>
      </c>
      <c r="AJ131" s="444">
        <f t="shared" si="83"/>
        <v>-1</v>
      </c>
      <c r="AK131" s="408"/>
    </row>
    <row r="132" spans="1:37" s="12" customFormat="1" x14ac:dyDescent="0.25">
      <c r="A132" s="161">
        <f>'งบกำไรขาดทุน ปี 2025'!A132</f>
        <v>0</v>
      </c>
      <c r="B132" s="15" t="str">
        <f>'งบกำไรขาดทุน ปี 2025'!B132</f>
        <v>รวมค่าใช้จ่ายอื่น</v>
      </c>
      <c r="C132" s="26">
        <f>'งบกำไรขาดทุน ปี 2025'!O132</f>
        <v>0</v>
      </c>
      <c r="D132" s="27">
        <f t="shared" si="86"/>
        <v>0</v>
      </c>
      <c r="E132" s="146">
        <f t="shared" si="120"/>
        <v>0</v>
      </c>
      <c r="F132" s="224" t="e">
        <f t="shared" si="87"/>
        <v>#DIV/0!</v>
      </c>
      <c r="G132" s="224"/>
      <c r="H132" s="582"/>
      <c r="I132" s="139" t="e">
        <f t="shared" ref="I132:U132" si="123">SUM(I123:I131)</f>
        <v>#DIV/0!</v>
      </c>
      <c r="J132" s="107" t="e">
        <f t="shared" si="123"/>
        <v>#DIV/0!</v>
      </c>
      <c r="K132" s="107" t="e">
        <f t="shared" si="123"/>
        <v>#DIV/0!</v>
      </c>
      <c r="L132" s="107" t="e">
        <f t="shared" si="123"/>
        <v>#DIV/0!</v>
      </c>
      <c r="M132" s="107" t="e">
        <f t="shared" si="123"/>
        <v>#DIV/0!</v>
      </c>
      <c r="N132" s="235" t="e">
        <f t="shared" si="123"/>
        <v>#DIV/0!</v>
      </c>
      <c r="O132" s="139" t="e">
        <f t="shared" si="123"/>
        <v>#DIV/0!</v>
      </c>
      <c r="P132" s="107" t="e">
        <f t="shared" si="123"/>
        <v>#DIV/0!</v>
      </c>
      <c r="Q132" s="107" t="e">
        <f t="shared" si="123"/>
        <v>#DIV/0!</v>
      </c>
      <c r="R132" s="107" t="e">
        <f t="shared" si="123"/>
        <v>#DIV/0!</v>
      </c>
      <c r="S132" s="107" t="e">
        <f t="shared" si="123"/>
        <v>#DIV/0!</v>
      </c>
      <c r="T132" s="248" t="e">
        <f t="shared" si="123"/>
        <v>#DIV/0!</v>
      </c>
      <c r="U132" s="107" t="e">
        <f t="shared" si="123"/>
        <v>#DIV/0!</v>
      </c>
      <c r="V132" s="94" t="e">
        <f t="shared" si="89"/>
        <v>#DIV/0!</v>
      </c>
      <c r="W132" s="56" t="e">
        <f t="shared" si="90"/>
        <v>#DIV/0!</v>
      </c>
      <c r="X132" s="56" t="e">
        <f t="shared" si="91"/>
        <v>#DIV/0!</v>
      </c>
      <c r="Y132" s="56" t="e">
        <f t="shared" si="92"/>
        <v>#DIV/0!</v>
      </c>
      <c r="Z132" s="56" t="e">
        <f t="shared" si="93"/>
        <v>#DIV/0!</v>
      </c>
      <c r="AA132" s="56" t="e">
        <f t="shared" si="94"/>
        <v>#DIV/0!</v>
      </c>
      <c r="AB132" s="56" t="e">
        <f t="shared" si="95"/>
        <v>#DIV/0!</v>
      </c>
      <c r="AC132" s="56" t="e">
        <f t="shared" si="96"/>
        <v>#DIV/0!</v>
      </c>
      <c r="AD132" s="56" t="e">
        <f t="shared" si="97"/>
        <v>#DIV/0!</v>
      </c>
      <c r="AE132" s="56" t="e">
        <f t="shared" si="98"/>
        <v>#DIV/0!</v>
      </c>
      <c r="AF132" s="56" t="e">
        <f t="shared" si="99"/>
        <v>#DIV/0!</v>
      </c>
      <c r="AG132" s="56" t="e">
        <f t="shared" si="100"/>
        <v>#DIV/0!</v>
      </c>
      <c r="AH132" s="290" t="e">
        <f t="shared" si="101"/>
        <v>#DIV/0!</v>
      </c>
      <c r="AI132" s="582"/>
      <c r="AJ132" s="444">
        <f t="shared" si="83"/>
        <v>-1</v>
      </c>
      <c r="AK132" s="408"/>
    </row>
    <row r="133" spans="1:37" x14ac:dyDescent="0.25">
      <c r="A133" s="58">
        <f>'งบกำไรขาดทุน ปี 2025'!A133</f>
        <v>0</v>
      </c>
      <c r="B133" s="16" t="str">
        <f>'งบกำไรขาดทุน ปี 2025'!B133</f>
        <v>ภาษี</v>
      </c>
      <c r="C133" s="215">
        <f>'งบกำไรขาดทุน ปี 2025'!O133</f>
        <v>0</v>
      </c>
      <c r="D133" s="188"/>
      <c r="E133" s="189"/>
      <c r="F133" s="225"/>
      <c r="G133" s="225"/>
      <c r="H133" s="580"/>
      <c r="I133" s="190"/>
      <c r="J133" s="181"/>
      <c r="K133" s="181"/>
      <c r="L133" s="181"/>
      <c r="M133" s="181"/>
      <c r="N133" s="236"/>
      <c r="O133" s="190"/>
      <c r="P133" s="181"/>
      <c r="Q133" s="181"/>
      <c r="R133" s="181"/>
      <c r="S133" s="181"/>
      <c r="T133" s="249"/>
      <c r="U133" s="182"/>
      <c r="V133" s="183"/>
      <c r="W133" s="184"/>
      <c r="X133" s="184"/>
      <c r="Y133" s="184"/>
      <c r="Z133" s="184"/>
      <c r="AA133" s="184"/>
      <c r="AB133" s="184"/>
      <c r="AC133" s="184"/>
      <c r="AD133" s="184"/>
      <c r="AE133" s="184"/>
      <c r="AF133" s="184"/>
      <c r="AG133" s="184"/>
      <c r="AH133" s="291"/>
      <c r="AI133" s="580"/>
      <c r="AJ133" s="444">
        <f t="shared" si="83"/>
        <v>-1</v>
      </c>
      <c r="AK133" s="408"/>
    </row>
    <row r="134" spans="1:37" x14ac:dyDescent="0.25">
      <c r="A134" s="58">
        <f>'งบกำไรขาดทุน ปี 2025'!A134</f>
        <v>61200003</v>
      </c>
      <c r="B134" s="16" t="str">
        <f>'งบกำไรขาดทุน ปี 2025'!B134</f>
        <v>ภาษีมูลค่าเพิ่มที่ไม่สามารถเครดิตได้</v>
      </c>
      <c r="C134" s="20">
        <f>'งบกำไรขาดทุน ปี 2025'!O134</f>
        <v>0</v>
      </c>
      <c r="D134" s="21">
        <f t="shared" si="86"/>
        <v>0</v>
      </c>
      <c r="E134" s="141">
        <f t="shared" ref="E134:E141" si="124">D134*$E$5</f>
        <v>0</v>
      </c>
      <c r="F134" s="221" t="e">
        <f t="shared" si="87"/>
        <v>#DIV/0!</v>
      </c>
      <c r="G134" s="221"/>
      <c r="H134" s="582" t="s">
        <v>632</v>
      </c>
      <c r="I134" s="137" t="e">
        <f>((I$18*($F134+$G134)))</f>
        <v>#DIV/0!</v>
      </c>
      <c r="J134" s="105" t="e">
        <f t="shared" ref="J134:T134" si="125">((J$18*($F134+$G134)))</f>
        <v>#DIV/0!</v>
      </c>
      <c r="K134" s="105" t="e">
        <f t="shared" si="125"/>
        <v>#DIV/0!</v>
      </c>
      <c r="L134" s="105" t="e">
        <f t="shared" si="125"/>
        <v>#DIV/0!</v>
      </c>
      <c r="M134" s="105" t="e">
        <f t="shared" si="125"/>
        <v>#DIV/0!</v>
      </c>
      <c r="N134" s="233" t="e">
        <f t="shared" si="125"/>
        <v>#DIV/0!</v>
      </c>
      <c r="O134" s="137" t="e">
        <f t="shared" si="125"/>
        <v>#DIV/0!</v>
      </c>
      <c r="P134" s="105" t="e">
        <f t="shared" si="125"/>
        <v>#DIV/0!</v>
      </c>
      <c r="Q134" s="105" t="e">
        <f t="shared" si="125"/>
        <v>#DIV/0!</v>
      </c>
      <c r="R134" s="105" t="e">
        <f t="shared" si="125"/>
        <v>#DIV/0!</v>
      </c>
      <c r="S134" s="105" t="e">
        <f t="shared" si="125"/>
        <v>#DIV/0!</v>
      </c>
      <c r="T134" s="246" t="e">
        <f t="shared" si="125"/>
        <v>#DIV/0!</v>
      </c>
      <c r="U134" s="154" t="e">
        <f t="shared" si="117"/>
        <v>#DIV/0!</v>
      </c>
      <c r="V134" s="91" t="e">
        <f t="shared" si="89"/>
        <v>#DIV/0!</v>
      </c>
      <c r="W134" s="55" t="e">
        <f t="shared" si="90"/>
        <v>#DIV/0!</v>
      </c>
      <c r="X134" s="55" t="e">
        <f t="shared" si="91"/>
        <v>#DIV/0!</v>
      </c>
      <c r="Y134" s="55" t="e">
        <f t="shared" si="92"/>
        <v>#DIV/0!</v>
      </c>
      <c r="Z134" s="55" t="e">
        <f t="shared" si="93"/>
        <v>#DIV/0!</v>
      </c>
      <c r="AA134" s="55" t="e">
        <f t="shared" si="94"/>
        <v>#DIV/0!</v>
      </c>
      <c r="AB134" s="55" t="e">
        <f t="shared" si="95"/>
        <v>#DIV/0!</v>
      </c>
      <c r="AC134" s="55" t="e">
        <f t="shared" si="96"/>
        <v>#DIV/0!</v>
      </c>
      <c r="AD134" s="55" t="e">
        <f t="shared" si="97"/>
        <v>#DIV/0!</v>
      </c>
      <c r="AE134" s="55" t="e">
        <f t="shared" si="98"/>
        <v>#DIV/0!</v>
      </c>
      <c r="AF134" s="55" t="e">
        <f t="shared" si="99"/>
        <v>#DIV/0!</v>
      </c>
      <c r="AG134" s="55" t="e">
        <f t="shared" si="100"/>
        <v>#DIV/0!</v>
      </c>
      <c r="AH134" s="288" t="e">
        <f t="shared" si="101"/>
        <v>#DIV/0!</v>
      </c>
      <c r="AI134" s="582" t="s">
        <v>632</v>
      </c>
      <c r="AJ134" s="444">
        <f t="shared" si="83"/>
        <v>-1</v>
      </c>
      <c r="AK134" s="408"/>
    </row>
    <row r="135" spans="1:37" x14ac:dyDescent="0.25">
      <c r="A135" s="58">
        <f>'งบกำไรขาดทุน ปี 2025'!A135</f>
        <v>61000001</v>
      </c>
      <c r="B135" s="16" t="str">
        <f>'งบกำไรขาดทุน ปี 2025'!B135</f>
        <v>ภาษีโรงเรือน</v>
      </c>
      <c r="C135" s="20">
        <f>'งบกำไรขาดทุน ปี 2025'!O135</f>
        <v>0</v>
      </c>
      <c r="D135" s="21">
        <f t="shared" si="86"/>
        <v>0</v>
      </c>
      <c r="E135" s="141">
        <f t="shared" si="124"/>
        <v>0</v>
      </c>
      <c r="F135" s="221" t="e">
        <f t="shared" si="87"/>
        <v>#DIV/0!</v>
      </c>
      <c r="G135" s="696" t="e">
        <f>$U$2</f>
        <v>#DIV/0!</v>
      </c>
      <c r="H135" s="582" t="s">
        <v>633</v>
      </c>
      <c r="I135" s="137" t="e">
        <f t="shared" ref="I135:T140" si="126">(($D135*$G135)+$D135)</f>
        <v>#DIV/0!</v>
      </c>
      <c r="J135" s="105" t="e">
        <f t="shared" si="126"/>
        <v>#DIV/0!</v>
      </c>
      <c r="K135" s="105" t="e">
        <f t="shared" si="126"/>
        <v>#DIV/0!</v>
      </c>
      <c r="L135" s="105" t="e">
        <f t="shared" si="126"/>
        <v>#DIV/0!</v>
      </c>
      <c r="M135" s="105" t="e">
        <f t="shared" si="126"/>
        <v>#DIV/0!</v>
      </c>
      <c r="N135" s="233" t="e">
        <f t="shared" si="126"/>
        <v>#DIV/0!</v>
      </c>
      <c r="O135" s="137" t="e">
        <f t="shared" si="126"/>
        <v>#DIV/0!</v>
      </c>
      <c r="P135" s="105" t="e">
        <f t="shared" si="126"/>
        <v>#DIV/0!</v>
      </c>
      <c r="Q135" s="105" t="e">
        <f t="shared" si="126"/>
        <v>#DIV/0!</v>
      </c>
      <c r="R135" s="105" t="e">
        <f t="shared" si="126"/>
        <v>#DIV/0!</v>
      </c>
      <c r="S135" s="105" t="e">
        <f t="shared" si="126"/>
        <v>#DIV/0!</v>
      </c>
      <c r="T135" s="246" t="e">
        <f t="shared" si="126"/>
        <v>#DIV/0!</v>
      </c>
      <c r="U135" s="154" t="e">
        <f t="shared" si="117"/>
        <v>#DIV/0!</v>
      </c>
      <c r="V135" s="91" t="e">
        <f t="shared" si="89"/>
        <v>#DIV/0!</v>
      </c>
      <c r="W135" s="55" t="e">
        <f t="shared" si="90"/>
        <v>#DIV/0!</v>
      </c>
      <c r="X135" s="55" t="e">
        <f t="shared" si="91"/>
        <v>#DIV/0!</v>
      </c>
      <c r="Y135" s="55" t="e">
        <f t="shared" si="92"/>
        <v>#DIV/0!</v>
      </c>
      <c r="Z135" s="55" t="e">
        <f t="shared" si="93"/>
        <v>#DIV/0!</v>
      </c>
      <c r="AA135" s="55" t="e">
        <f t="shared" si="94"/>
        <v>#DIV/0!</v>
      </c>
      <c r="AB135" s="55" t="e">
        <f t="shared" si="95"/>
        <v>#DIV/0!</v>
      </c>
      <c r="AC135" s="55" t="e">
        <f t="shared" si="96"/>
        <v>#DIV/0!</v>
      </c>
      <c r="AD135" s="55" t="e">
        <f t="shared" si="97"/>
        <v>#DIV/0!</v>
      </c>
      <c r="AE135" s="55" t="e">
        <f t="shared" si="98"/>
        <v>#DIV/0!</v>
      </c>
      <c r="AF135" s="55" t="e">
        <f t="shared" si="99"/>
        <v>#DIV/0!</v>
      </c>
      <c r="AG135" s="55" t="e">
        <f t="shared" si="100"/>
        <v>#DIV/0!</v>
      </c>
      <c r="AH135" s="288" t="e">
        <f t="shared" si="101"/>
        <v>#DIV/0!</v>
      </c>
      <c r="AI135" s="582" t="s">
        <v>633</v>
      </c>
      <c r="AJ135" s="444">
        <f t="shared" si="83"/>
        <v>-1</v>
      </c>
      <c r="AK135" s="408"/>
    </row>
    <row r="136" spans="1:37" x14ac:dyDescent="0.25">
      <c r="A136" s="58">
        <f>'งบกำไรขาดทุน ปี 2025'!A136</f>
        <v>61200004</v>
      </c>
      <c r="B136" s="16" t="str">
        <f>'งบกำไรขาดทุน ปี 2025'!B136</f>
        <v>เงินเพิ่มและเบี้ยปรับภาษีอากร</v>
      </c>
      <c r="C136" s="20">
        <f>'งบกำไรขาดทุน ปี 2025'!O136</f>
        <v>0</v>
      </c>
      <c r="D136" s="21">
        <f t="shared" si="86"/>
        <v>0</v>
      </c>
      <c r="E136" s="141">
        <f t="shared" si="124"/>
        <v>0</v>
      </c>
      <c r="F136" s="221" t="e">
        <f t="shared" si="87"/>
        <v>#DIV/0!</v>
      </c>
      <c r="G136" s="696" t="e">
        <f t="shared" ref="G136:G140" si="127">$U$2</f>
        <v>#DIV/0!</v>
      </c>
      <c r="H136" s="582" t="s">
        <v>633</v>
      </c>
      <c r="I136" s="137" t="e">
        <f t="shared" si="126"/>
        <v>#DIV/0!</v>
      </c>
      <c r="J136" s="105" t="e">
        <f t="shared" si="126"/>
        <v>#DIV/0!</v>
      </c>
      <c r="K136" s="105" t="e">
        <f t="shared" si="126"/>
        <v>#DIV/0!</v>
      </c>
      <c r="L136" s="105" t="e">
        <f t="shared" si="126"/>
        <v>#DIV/0!</v>
      </c>
      <c r="M136" s="105" t="e">
        <f t="shared" si="126"/>
        <v>#DIV/0!</v>
      </c>
      <c r="N136" s="233" t="e">
        <f t="shared" si="126"/>
        <v>#DIV/0!</v>
      </c>
      <c r="O136" s="137" t="e">
        <f t="shared" si="126"/>
        <v>#DIV/0!</v>
      </c>
      <c r="P136" s="105" t="e">
        <f t="shared" si="126"/>
        <v>#DIV/0!</v>
      </c>
      <c r="Q136" s="105" t="e">
        <f t="shared" si="126"/>
        <v>#DIV/0!</v>
      </c>
      <c r="R136" s="105" t="e">
        <f t="shared" si="126"/>
        <v>#DIV/0!</v>
      </c>
      <c r="S136" s="105" t="e">
        <f t="shared" si="126"/>
        <v>#DIV/0!</v>
      </c>
      <c r="T136" s="246" t="e">
        <f t="shared" si="126"/>
        <v>#DIV/0!</v>
      </c>
      <c r="U136" s="154" t="e">
        <f t="shared" si="117"/>
        <v>#DIV/0!</v>
      </c>
      <c r="V136" s="91" t="e">
        <f t="shared" si="89"/>
        <v>#DIV/0!</v>
      </c>
      <c r="W136" s="55" t="e">
        <f t="shared" si="90"/>
        <v>#DIV/0!</v>
      </c>
      <c r="X136" s="55" t="e">
        <f t="shared" si="91"/>
        <v>#DIV/0!</v>
      </c>
      <c r="Y136" s="55" t="e">
        <f t="shared" si="92"/>
        <v>#DIV/0!</v>
      </c>
      <c r="Z136" s="55" t="e">
        <f t="shared" si="93"/>
        <v>#DIV/0!</v>
      </c>
      <c r="AA136" s="55" t="e">
        <f t="shared" si="94"/>
        <v>#DIV/0!</v>
      </c>
      <c r="AB136" s="55" t="e">
        <f t="shared" si="95"/>
        <v>#DIV/0!</v>
      </c>
      <c r="AC136" s="55" t="e">
        <f t="shared" si="96"/>
        <v>#DIV/0!</v>
      </c>
      <c r="AD136" s="55" t="e">
        <f t="shared" si="97"/>
        <v>#DIV/0!</v>
      </c>
      <c r="AE136" s="55" t="e">
        <f t="shared" si="98"/>
        <v>#DIV/0!</v>
      </c>
      <c r="AF136" s="55" t="e">
        <f t="shared" si="99"/>
        <v>#DIV/0!</v>
      </c>
      <c r="AG136" s="55" t="e">
        <f t="shared" si="100"/>
        <v>#DIV/0!</v>
      </c>
      <c r="AH136" s="288" t="e">
        <f t="shared" si="101"/>
        <v>#DIV/0!</v>
      </c>
      <c r="AI136" s="582" t="s">
        <v>633</v>
      </c>
      <c r="AJ136" s="444">
        <f t="shared" ref="AJ136:AJ185" si="128">IFERROR(U136/E136,0)-1</f>
        <v>-1</v>
      </c>
      <c r="AK136" s="408"/>
    </row>
    <row r="137" spans="1:37" x14ac:dyDescent="0.25">
      <c r="A137" s="58">
        <f>'งบกำไรขาดทุน ปี 2025'!A137</f>
        <v>61000002</v>
      </c>
      <c r="B137" s="16" t="str">
        <f>'งบกำไรขาดทุน ปี 2025'!B137</f>
        <v>ภาษีป้าย</v>
      </c>
      <c r="C137" s="20">
        <f>'งบกำไรขาดทุน ปี 2025'!O137</f>
        <v>0</v>
      </c>
      <c r="D137" s="21">
        <f t="shared" si="86"/>
        <v>0</v>
      </c>
      <c r="E137" s="141">
        <f t="shared" si="124"/>
        <v>0</v>
      </c>
      <c r="F137" s="221" t="e">
        <f t="shared" si="87"/>
        <v>#DIV/0!</v>
      </c>
      <c r="G137" s="696" t="e">
        <f t="shared" si="127"/>
        <v>#DIV/0!</v>
      </c>
      <c r="H137" s="582" t="s">
        <v>633</v>
      </c>
      <c r="I137" s="137" t="e">
        <f t="shared" si="126"/>
        <v>#DIV/0!</v>
      </c>
      <c r="J137" s="105" t="e">
        <f t="shared" si="126"/>
        <v>#DIV/0!</v>
      </c>
      <c r="K137" s="105" t="e">
        <f t="shared" si="126"/>
        <v>#DIV/0!</v>
      </c>
      <c r="L137" s="105" t="e">
        <f t="shared" si="126"/>
        <v>#DIV/0!</v>
      </c>
      <c r="M137" s="105" t="e">
        <f t="shared" si="126"/>
        <v>#DIV/0!</v>
      </c>
      <c r="N137" s="233" t="e">
        <f t="shared" si="126"/>
        <v>#DIV/0!</v>
      </c>
      <c r="O137" s="137" t="e">
        <f t="shared" si="126"/>
        <v>#DIV/0!</v>
      </c>
      <c r="P137" s="105" t="e">
        <f t="shared" si="126"/>
        <v>#DIV/0!</v>
      </c>
      <c r="Q137" s="105" t="e">
        <f t="shared" si="126"/>
        <v>#DIV/0!</v>
      </c>
      <c r="R137" s="105" t="e">
        <f t="shared" si="126"/>
        <v>#DIV/0!</v>
      </c>
      <c r="S137" s="105" t="e">
        <f t="shared" si="126"/>
        <v>#DIV/0!</v>
      </c>
      <c r="T137" s="246" t="e">
        <f t="shared" si="126"/>
        <v>#DIV/0!</v>
      </c>
      <c r="U137" s="154" t="e">
        <f t="shared" si="117"/>
        <v>#DIV/0!</v>
      </c>
      <c r="V137" s="91" t="e">
        <f t="shared" si="89"/>
        <v>#DIV/0!</v>
      </c>
      <c r="W137" s="55" t="e">
        <f t="shared" si="90"/>
        <v>#DIV/0!</v>
      </c>
      <c r="X137" s="55" t="e">
        <f t="shared" si="91"/>
        <v>#DIV/0!</v>
      </c>
      <c r="Y137" s="55" t="e">
        <f t="shared" si="92"/>
        <v>#DIV/0!</v>
      </c>
      <c r="Z137" s="55" t="e">
        <f t="shared" si="93"/>
        <v>#DIV/0!</v>
      </c>
      <c r="AA137" s="55" t="e">
        <f t="shared" si="94"/>
        <v>#DIV/0!</v>
      </c>
      <c r="AB137" s="55" t="e">
        <f t="shared" si="95"/>
        <v>#DIV/0!</v>
      </c>
      <c r="AC137" s="55" t="e">
        <f t="shared" si="96"/>
        <v>#DIV/0!</v>
      </c>
      <c r="AD137" s="55" t="e">
        <f t="shared" si="97"/>
        <v>#DIV/0!</v>
      </c>
      <c r="AE137" s="55" t="e">
        <f t="shared" si="98"/>
        <v>#DIV/0!</v>
      </c>
      <c r="AF137" s="55" t="e">
        <f t="shared" si="99"/>
        <v>#DIV/0!</v>
      </c>
      <c r="AG137" s="55" t="e">
        <f t="shared" si="100"/>
        <v>#DIV/0!</v>
      </c>
      <c r="AH137" s="288" t="e">
        <f t="shared" si="101"/>
        <v>#DIV/0!</v>
      </c>
      <c r="AI137" s="582" t="s">
        <v>633</v>
      </c>
      <c r="AJ137" s="444">
        <f t="shared" si="128"/>
        <v>-1</v>
      </c>
      <c r="AK137" s="408"/>
    </row>
    <row r="138" spans="1:37" x14ac:dyDescent="0.25">
      <c r="A138" s="58">
        <f>'งบกำไรขาดทุน ปี 2025'!A138</f>
        <v>61000005</v>
      </c>
      <c r="B138" s="16" t="str">
        <f>'งบกำไรขาดทุน ปี 2025'!B138</f>
        <v>ค่าใช้จ่ายภาษีเงินได้รอการตัดบัญชี</v>
      </c>
      <c r="C138" s="20">
        <f>'งบกำไรขาดทุน ปี 2025'!O138</f>
        <v>0</v>
      </c>
      <c r="D138" s="21">
        <f t="shared" si="86"/>
        <v>0</v>
      </c>
      <c r="E138" s="141">
        <f t="shared" si="124"/>
        <v>0</v>
      </c>
      <c r="F138" s="221" t="e">
        <f t="shared" si="87"/>
        <v>#DIV/0!</v>
      </c>
      <c r="G138" s="696" t="e">
        <f t="shared" si="127"/>
        <v>#DIV/0!</v>
      </c>
      <c r="H138" s="582" t="s">
        <v>633</v>
      </c>
      <c r="I138" s="137" t="e">
        <f t="shared" si="126"/>
        <v>#DIV/0!</v>
      </c>
      <c r="J138" s="105" t="e">
        <f t="shared" si="126"/>
        <v>#DIV/0!</v>
      </c>
      <c r="K138" s="105" t="e">
        <f t="shared" si="126"/>
        <v>#DIV/0!</v>
      </c>
      <c r="L138" s="105" t="e">
        <f t="shared" si="126"/>
        <v>#DIV/0!</v>
      </c>
      <c r="M138" s="105" t="e">
        <f t="shared" si="126"/>
        <v>#DIV/0!</v>
      </c>
      <c r="N138" s="233" t="e">
        <f t="shared" si="126"/>
        <v>#DIV/0!</v>
      </c>
      <c r="O138" s="137" t="e">
        <f t="shared" si="126"/>
        <v>#DIV/0!</v>
      </c>
      <c r="P138" s="105" t="e">
        <f t="shared" si="126"/>
        <v>#DIV/0!</v>
      </c>
      <c r="Q138" s="105" t="e">
        <f t="shared" si="126"/>
        <v>#DIV/0!</v>
      </c>
      <c r="R138" s="105" t="e">
        <f t="shared" si="126"/>
        <v>#DIV/0!</v>
      </c>
      <c r="S138" s="105" t="e">
        <f t="shared" si="126"/>
        <v>#DIV/0!</v>
      </c>
      <c r="T138" s="246" t="e">
        <f t="shared" si="126"/>
        <v>#DIV/0!</v>
      </c>
      <c r="U138" s="154" t="e">
        <f t="shared" si="117"/>
        <v>#DIV/0!</v>
      </c>
      <c r="V138" s="91" t="e">
        <f t="shared" si="89"/>
        <v>#DIV/0!</v>
      </c>
      <c r="W138" s="55" t="e">
        <f t="shared" si="90"/>
        <v>#DIV/0!</v>
      </c>
      <c r="X138" s="55" t="e">
        <f t="shared" si="91"/>
        <v>#DIV/0!</v>
      </c>
      <c r="Y138" s="55" t="e">
        <f t="shared" si="92"/>
        <v>#DIV/0!</v>
      </c>
      <c r="Z138" s="55" t="e">
        <f t="shared" si="93"/>
        <v>#DIV/0!</v>
      </c>
      <c r="AA138" s="55" t="e">
        <f t="shared" si="94"/>
        <v>#DIV/0!</v>
      </c>
      <c r="AB138" s="55" t="e">
        <f t="shared" si="95"/>
        <v>#DIV/0!</v>
      </c>
      <c r="AC138" s="55" t="e">
        <f t="shared" si="96"/>
        <v>#DIV/0!</v>
      </c>
      <c r="AD138" s="55" t="e">
        <f t="shared" si="97"/>
        <v>#DIV/0!</v>
      </c>
      <c r="AE138" s="55" t="e">
        <f t="shared" si="98"/>
        <v>#DIV/0!</v>
      </c>
      <c r="AF138" s="55" t="e">
        <f t="shared" si="99"/>
        <v>#DIV/0!</v>
      </c>
      <c r="AG138" s="55" t="e">
        <f t="shared" si="100"/>
        <v>#DIV/0!</v>
      </c>
      <c r="AH138" s="288" t="e">
        <f t="shared" si="101"/>
        <v>#DIV/0!</v>
      </c>
      <c r="AI138" s="582" t="s">
        <v>633</v>
      </c>
      <c r="AJ138" s="444">
        <f t="shared" si="128"/>
        <v>-1</v>
      </c>
      <c r="AK138" s="408"/>
    </row>
    <row r="139" spans="1:37" x14ac:dyDescent="0.25">
      <c r="A139" s="58">
        <f>'งบกำไรขาดทุน ปี 2025'!A139</f>
        <v>61000003</v>
      </c>
      <c r="B139" s="16" t="str">
        <f>'งบกำไรขาดทุน ปี 2025'!B139</f>
        <v>ภาษีธุรกิจเฉพาะ</v>
      </c>
      <c r="C139" s="20">
        <f>'งบกำไรขาดทุน ปี 2025'!O139</f>
        <v>0</v>
      </c>
      <c r="D139" s="21">
        <f t="shared" si="86"/>
        <v>0</v>
      </c>
      <c r="E139" s="141">
        <f t="shared" si="124"/>
        <v>0</v>
      </c>
      <c r="F139" s="221" t="e">
        <f t="shared" si="87"/>
        <v>#DIV/0!</v>
      </c>
      <c r="G139" s="696" t="e">
        <f t="shared" si="127"/>
        <v>#DIV/0!</v>
      </c>
      <c r="H139" s="582" t="s">
        <v>633</v>
      </c>
      <c r="I139" s="137" t="e">
        <f t="shared" si="126"/>
        <v>#DIV/0!</v>
      </c>
      <c r="J139" s="105" t="e">
        <f t="shared" si="126"/>
        <v>#DIV/0!</v>
      </c>
      <c r="K139" s="105" t="e">
        <f t="shared" si="126"/>
        <v>#DIV/0!</v>
      </c>
      <c r="L139" s="105" t="e">
        <f t="shared" si="126"/>
        <v>#DIV/0!</v>
      </c>
      <c r="M139" s="105" t="e">
        <f t="shared" si="126"/>
        <v>#DIV/0!</v>
      </c>
      <c r="N139" s="233" t="e">
        <f t="shared" si="126"/>
        <v>#DIV/0!</v>
      </c>
      <c r="O139" s="137" t="e">
        <f t="shared" si="126"/>
        <v>#DIV/0!</v>
      </c>
      <c r="P139" s="105" t="e">
        <f t="shared" si="126"/>
        <v>#DIV/0!</v>
      </c>
      <c r="Q139" s="105" t="e">
        <f t="shared" si="126"/>
        <v>#DIV/0!</v>
      </c>
      <c r="R139" s="105" t="e">
        <f t="shared" si="126"/>
        <v>#DIV/0!</v>
      </c>
      <c r="S139" s="105" t="e">
        <f t="shared" si="126"/>
        <v>#DIV/0!</v>
      </c>
      <c r="T139" s="246" t="e">
        <f t="shared" si="126"/>
        <v>#DIV/0!</v>
      </c>
      <c r="U139" s="154" t="e">
        <f t="shared" si="117"/>
        <v>#DIV/0!</v>
      </c>
      <c r="V139" s="91" t="e">
        <f t="shared" si="89"/>
        <v>#DIV/0!</v>
      </c>
      <c r="W139" s="55" t="e">
        <f t="shared" si="90"/>
        <v>#DIV/0!</v>
      </c>
      <c r="X139" s="55" t="e">
        <f t="shared" si="91"/>
        <v>#DIV/0!</v>
      </c>
      <c r="Y139" s="55" t="e">
        <f t="shared" si="92"/>
        <v>#DIV/0!</v>
      </c>
      <c r="Z139" s="55" t="e">
        <f t="shared" si="93"/>
        <v>#DIV/0!</v>
      </c>
      <c r="AA139" s="55" t="e">
        <f t="shared" si="94"/>
        <v>#DIV/0!</v>
      </c>
      <c r="AB139" s="55" t="e">
        <f t="shared" si="95"/>
        <v>#DIV/0!</v>
      </c>
      <c r="AC139" s="55" t="e">
        <f t="shared" si="96"/>
        <v>#DIV/0!</v>
      </c>
      <c r="AD139" s="55" t="e">
        <f t="shared" si="97"/>
        <v>#DIV/0!</v>
      </c>
      <c r="AE139" s="55" t="e">
        <f t="shared" si="98"/>
        <v>#DIV/0!</v>
      </c>
      <c r="AF139" s="55" t="e">
        <f t="shared" si="99"/>
        <v>#DIV/0!</v>
      </c>
      <c r="AG139" s="55" t="e">
        <f t="shared" si="100"/>
        <v>#DIV/0!</v>
      </c>
      <c r="AH139" s="288" t="e">
        <f t="shared" si="101"/>
        <v>#DIV/0!</v>
      </c>
      <c r="AI139" s="582" t="s">
        <v>633</v>
      </c>
      <c r="AJ139" s="444">
        <f t="shared" si="128"/>
        <v>-1</v>
      </c>
      <c r="AK139" s="408"/>
    </row>
    <row r="140" spans="1:37" x14ac:dyDescent="0.25">
      <c r="A140" s="58">
        <f>'งบกำไรขาดทุน ปี 2025'!A140</f>
        <v>61000004</v>
      </c>
      <c r="B140" s="16" t="str">
        <f>'งบกำไรขาดทุน ปี 2025'!B140</f>
        <v>ภาษีอื่นๆ</v>
      </c>
      <c r="C140" s="121">
        <f>'งบกำไรขาดทุน ปี 2025'!O140</f>
        <v>0</v>
      </c>
      <c r="D140" s="136">
        <f t="shared" si="86"/>
        <v>0</v>
      </c>
      <c r="E140" s="145">
        <f t="shared" si="124"/>
        <v>0</v>
      </c>
      <c r="F140" s="96" t="e">
        <f t="shared" si="87"/>
        <v>#DIV/0!</v>
      </c>
      <c r="G140" s="698" t="e">
        <f t="shared" si="127"/>
        <v>#DIV/0!</v>
      </c>
      <c r="H140" s="582" t="s">
        <v>633</v>
      </c>
      <c r="I140" s="138" t="e">
        <f t="shared" si="126"/>
        <v>#DIV/0!</v>
      </c>
      <c r="J140" s="106" t="e">
        <f t="shared" si="126"/>
        <v>#DIV/0!</v>
      </c>
      <c r="K140" s="106" t="e">
        <f t="shared" si="126"/>
        <v>#DIV/0!</v>
      </c>
      <c r="L140" s="106" t="e">
        <f t="shared" si="126"/>
        <v>#DIV/0!</v>
      </c>
      <c r="M140" s="106" t="e">
        <f t="shared" si="126"/>
        <v>#DIV/0!</v>
      </c>
      <c r="N140" s="239" t="e">
        <f t="shared" si="126"/>
        <v>#DIV/0!</v>
      </c>
      <c r="O140" s="138" t="e">
        <f t="shared" si="126"/>
        <v>#DIV/0!</v>
      </c>
      <c r="P140" s="106" t="e">
        <f t="shared" si="126"/>
        <v>#DIV/0!</v>
      </c>
      <c r="Q140" s="106" t="e">
        <f t="shared" si="126"/>
        <v>#DIV/0!</v>
      </c>
      <c r="R140" s="106" t="e">
        <f t="shared" si="126"/>
        <v>#DIV/0!</v>
      </c>
      <c r="S140" s="106" t="e">
        <f t="shared" si="126"/>
        <v>#DIV/0!</v>
      </c>
      <c r="T140" s="252" t="e">
        <f t="shared" si="126"/>
        <v>#DIV/0!</v>
      </c>
      <c r="U140" s="157" t="e">
        <f t="shared" si="117"/>
        <v>#DIV/0!</v>
      </c>
      <c r="V140" s="92" t="e">
        <f t="shared" si="89"/>
        <v>#DIV/0!</v>
      </c>
      <c r="W140" s="93" t="e">
        <f t="shared" si="90"/>
        <v>#DIV/0!</v>
      </c>
      <c r="X140" s="93" t="e">
        <f t="shared" si="91"/>
        <v>#DIV/0!</v>
      </c>
      <c r="Y140" s="93" t="e">
        <f t="shared" si="92"/>
        <v>#DIV/0!</v>
      </c>
      <c r="Z140" s="93" t="e">
        <f t="shared" si="93"/>
        <v>#DIV/0!</v>
      </c>
      <c r="AA140" s="93" t="e">
        <f t="shared" si="94"/>
        <v>#DIV/0!</v>
      </c>
      <c r="AB140" s="93" t="e">
        <f t="shared" si="95"/>
        <v>#DIV/0!</v>
      </c>
      <c r="AC140" s="93" t="e">
        <f t="shared" si="96"/>
        <v>#DIV/0!</v>
      </c>
      <c r="AD140" s="93" t="e">
        <f t="shared" si="97"/>
        <v>#DIV/0!</v>
      </c>
      <c r="AE140" s="93" t="e">
        <f t="shared" si="98"/>
        <v>#DIV/0!</v>
      </c>
      <c r="AF140" s="93" t="e">
        <f t="shared" si="99"/>
        <v>#DIV/0!</v>
      </c>
      <c r="AG140" s="93" t="e">
        <f t="shared" si="100"/>
        <v>#DIV/0!</v>
      </c>
      <c r="AH140" s="294" t="e">
        <f t="shared" si="101"/>
        <v>#DIV/0!</v>
      </c>
      <c r="AI140" s="582" t="s">
        <v>633</v>
      </c>
      <c r="AJ140" s="444">
        <f t="shared" si="128"/>
        <v>-1</v>
      </c>
      <c r="AK140" s="408"/>
    </row>
    <row r="141" spans="1:37" s="12" customFormat="1" x14ac:dyDescent="0.25">
      <c r="A141" s="161">
        <f>'งบกำไรขาดทุน ปี 2025'!A141</f>
        <v>0</v>
      </c>
      <c r="B141" s="15" t="str">
        <f>'งบกำไรขาดทุน ปี 2025'!B141</f>
        <v>รวมภาษี</v>
      </c>
      <c r="C141" s="26">
        <f>'งบกำไรขาดทุน ปี 2025'!O141</f>
        <v>0</v>
      </c>
      <c r="D141" s="27">
        <f t="shared" ref="D141:D186" si="129">C141/$C$5</f>
        <v>0</v>
      </c>
      <c r="E141" s="146">
        <f t="shared" si="124"/>
        <v>0</v>
      </c>
      <c r="F141" s="224" t="e">
        <f t="shared" ref="F141:F185" si="130">E141/$E$18</f>
        <v>#DIV/0!</v>
      </c>
      <c r="G141" s="224"/>
      <c r="H141" s="582"/>
      <c r="I141" s="139" t="e">
        <f t="shared" ref="I141:U141" si="131">SUM(I134:I140)</f>
        <v>#DIV/0!</v>
      </c>
      <c r="J141" s="107" t="e">
        <f t="shared" si="131"/>
        <v>#DIV/0!</v>
      </c>
      <c r="K141" s="107" t="e">
        <f t="shared" si="131"/>
        <v>#DIV/0!</v>
      </c>
      <c r="L141" s="107" t="e">
        <f t="shared" si="131"/>
        <v>#DIV/0!</v>
      </c>
      <c r="M141" s="107" t="e">
        <f t="shared" si="131"/>
        <v>#DIV/0!</v>
      </c>
      <c r="N141" s="235" t="e">
        <f t="shared" si="131"/>
        <v>#DIV/0!</v>
      </c>
      <c r="O141" s="139" t="e">
        <f t="shared" si="131"/>
        <v>#DIV/0!</v>
      </c>
      <c r="P141" s="107" t="e">
        <f t="shared" si="131"/>
        <v>#DIV/0!</v>
      </c>
      <c r="Q141" s="107" t="e">
        <f t="shared" si="131"/>
        <v>#DIV/0!</v>
      </c>
      <c r="R141" s="107" t="e">
        <f t="shared" si="131"/>
        <v>#DIV/0!</v>
      </c>
      <c r="S141" s="107" t="e">
        <f t="shared" si="131"/>
        <v>#DIV/0!</v>
      </c>
      <c r="T141" s="248" t="e">
        <f t="shared" si="131"/>
        <v>#DIV/0!</v>
      </c>
      <c r="U141" s="107" t="e">
        <f t="shared" si="131"/>
        <v>#DIV/0!</v>
      </c>
      <c r="V141" s="94" t="e">
        <f t="shared" ref="V141:V186" si="132">I141/$I$18</f>
        <v>#DIV/0!</v>
      </c>
      <c r="W141" s="56" t="e">
        <f t="shared" ref="W141:W186" si="133">J141/$J$18</f>
        <v>#DIV/0!</v>
      </c>
      <c r="X141" s="56" t="e">
        <f t="shared" ref="X141:X186" si="134">K141/$K$18</f>
        <v>#DIV/0!</v>
      </c>
      <c r="Y141" s="56" t="e">
        <f t="shared" ref="Y141:Y186" si="135">L141/$L$18</f>
        <v>#DIV/0!</v>
      </c>
      <c r="Z141" s="56" t="e">
        <f t="shared" ref="Z141:Z186" si="136">M141/$M$18</f>
        <v>#DIV/0!</v>
      </c>
      <c r="AA141" s="56" t="e">
        <f t="shared" ref="AA141:AA186" si="137">N141/$N$18</f>
        <v>#DIV/0!</v>
      </c>
      <c r="AB141" s="56" t="e">
        <f t="shared" ref="AB141:AB186" si="138">O141/$O$18</f>
        <v>#DIV/0!</v>
      </c>
      <c r="AC141" s="56" t="e">
        <f t="shared" ref="AC141:AC186" si="139">P141/$P$18</f>
        <v>#DIV/0!</v>
      </c>
      <c r="AD141" s="56" t="e">
        <f t="shared" ref="AD141:AD186" si="140">Q141/$Q$18</f>
        <v>#DIV/0!</v>
      </c>
      <c r="AE141" s="56" t="e">
        <f t="shared" ref="AE141:AE186" si="141">R141/$R$18</f>
        <v>#DIV/0!</v>
      </c>
      <c r="AF141" s="56" t="e">
        <f t="shared" ref="AF141:AF186" si="142">S141/$S$18</f>
        <v>#DIV/0!</v>
      </c>
      <c r="AG141" s="56" t="e">
        <f t="shared" ref="AG141:AG186" si="143">T141/$T$18</f>
        <v>#DIV/0!</v>
      </c>
      <c r="AH141" s="290" t="e">
        <f t="shared" ref="AH141:AH186" si="144">U141/$U$18</f>
        <v>#DIV/0!</v>
      </c>
      <c r="AI141" s="582"/>
      <c r="AJ141" s="444">
        <f t="shared" si="128"/>
        <v>-1</v>
      </c>
      <c r="AK141" s="408"/>
    </row>
    <row r="142" spans="1:37" x14ac:dyDescent="0.25">
      <c r="A142" s="58">
        <f>'งบกำไรขาดทุน ปี 2025'!A142</f>
        <v>0</v>
      </c>
      <c r="B142" s="16" t="str">
        <f>'งบกำไรขาดทุน ปี 2025'!B142</f>
        <v>ค่าใช้จ่ายตัดบัญชี</v>
      </c>
      <c r="C142" s="215">
        <f>'งบกำไรขาดทุน ปี 2025'!O142</f>
        <v>0</v>
      </c>
      <c r="D142" s="188"/>
      <c r="E142" s="189"/>
      <c r="F142" s="225"/>
      <c r="G142" s="225"/>
      <c r="H142" s="580"/>
      <c r="I142" s="190"/>
      <c r="J142" s="181"/>
      <c r="K142" s="181"/>
      <c r="L142" s="181"/>
      <c r="M142" s="181"/>
      <c r="N142" s="236"/>
      <c r="O142" s="190"/>
      <c r="P142" s="181"/>
      <c r="Q142" s="181"/>
      <c r="R142" s="181"/>
      <c r="S142" s="181"/>
      <c r="T142" s="249"/>
      <c r="U142" s="182"/>
      <c r="V142" s="183"/>
      <c r="W142" s="184"/>
      <c r="X142" s="184"/>
      <c r="Y142" s="184"/>
      <c r="Z142" s="184"/>
      <c r="AA142" s="184"/>
      <c r="AB142" s="184"/>
      <c r="AC142" s="184"/>
      <c r="AD142" s="184"/>
      <c r="AE142" s="184"/>
      <c r="AF142" s="184"/>
      <c r="AG142" s="184"/>
      <c r="AH142" s="291"/>
      <c r="AI142" s="580"/>
      <c r="AJ142" s="444">
        <f t="shared" si="128"/>
        <v>-1</v>
      </c>
      <c r="AK142" s="408"/>
    </row>
    <row r="143" spans="1:37" x14ac:dyDescent="0.25">
      <c r="A143" s="58">
        <f>'งบกำไรขาดทุน ปี 2025'!A143</f>
        <v>60500001</v>
      </c>
      <c r="B143" s="16" t="str">
        <f>'งบกำไรขาดทุน ปี 2025'!B143</f>
        <v>หนี้สูญ</v>
      </c>
      <c r="C143" s="20">
        <f>'งบกำไรขาดทุน ปี 2025'!O143</f>
        <v>0</v>
      </c>
      <c r="D143" s="21">
        <f t="shared" si="129"/>
        <v>0</v>
      </c>
      <c r="E143" s="141">
        <f t="shared" ref="E143:E148" si="145">D143*$E$5</f>
        <v>0</v>
      </c>
      <c r="F143" s="221" t="e">
        <f t="shared" si="130"/>
        <v>#DIV/0!</v>
      </c>
      <c r="G143" s="221"/>
      <c r="H143" s="582" t="s">
        <v>632</v>
      </c>
      <c r="I143" s="137" t="e">
        <f>((I$18*($F143+$G143)))</f>
        <v>#DIV/0!</v>
      </c>
      <c r="J143" s="105" t="e">
        <f t="shared" ref="J143:T145" si="146">((J$18*($F143+$G143)))</f>
        <v>#DIV/0!</v>
      </c>
      <c r="K143" s="105" t="e">
        <f t="shared" si="146"/>
        <v>#DIV/0!</v>
      </c>
      <c r="L143" s="105" t="e">
        <f t="shared" si="146"/>
        <v>#DIV/0!</v>
      </c>
      <c r="M143" s="105" t="e">
        <f t="shared" si="146"/>
        <v>#DIV/0!</v>
      </c>
      <c r="N143" s="233" t="e">
        <f t="shared" si="146"/>
        <v>#DIV/0!</v>
      </c>
      <c r="O143" s="137" t="e">
        <f t="shared" si="146"/>
        <v>#DIV/0!</v>
      </c>
      <c r="P143" s="105" t="e">
        <f t="shared" si="146"/>
        <v>#DIV/0!</v>
      </c>
      <c r="Q143" s="105" t="e">
        <f t="shared" si="146"/>
        <v>#DIV/0!</v>
      </c>
      <c r="R143" s="105" t="e">
        <f t="shared" si="146"/>
        <v>#DIV/0!</v>
      </c>
      <c r="S143" s="105" t="e">
        <f t="shared" si="146"/>
        <v>#DIV/0!</v>
      </c>
      <c r="T143" s="246" t="e">
        <f t="shared" si="146"/>
        <v>#DIV/0!</v>
      </c>
      <c r="U143" s="154" t="e">
        <f t="shared" si="117"/>
        <v>#DIV/0!</v>
      </c>
      <c r="V143" s="91" t="e">
        <f t="shared" si="132"/>
        <v>#DIV/0!</v>
      </c>
      <c r="W143" s="55" t="e">
        <f t="shared" si="133"/>
        <v>#DIV/0!</v>
      </c>
      <c r="X143" s="55" t="e">
        <f t="shared" si="134"/>
        <v>#DIV/0!</v>
      </c>
      <c r="Y143" s="55" t="e">
        <f t="shared" si="135"/>
        <v>#DIV/0!</v>
      </c>
      <c r="Z143" s="55" t="e">
        <f t="shared" si="136"/>
        <v>#DIV/0!</v>
      </c>
      <c r="AA143" s="55" t="e">
        <f t="shared" si="137"/>
        <v>#DIV/0!</v>
      </c>
      <c r="AB143" s="55" t="e">
        <f t="shared" si="138"/>
        <v>#DIV/0!</v>
      </c>
      <c r="AC143" s="55" t="e">
        <f t="shared" si="139"/>
        <v>#DIV/0!</v>
      </c>
      <c r="AD143" s="55" t="e">
        <f t="shared" si="140"/>
        <v>#DIV/0!</v>
      </c>
      <c r="AE143" s="55" t="e">
        <f t="shared" si="141"/>
        <v>#DIV/0!</v>
      </c>
      <c r="AF143" s="55" t="e">
        <f t="shared" si="142"/>
        <v>#DIV/0!</v>
      </c>
      <c r="AG143" s="55" t="e">
        <f t="shared" si="143"/>
        <v>#DIV/0!</v>
      </c>
      <c r="AH143" s="288" t="e">
        <f t="shared" si="144"/>
        <v>#DIV/0!</v>
      </c>
      <c r="AI143" s="582" t="s">
        <v>632</v>
      </c>
      <c r="AJ143" s="444">
        <f t="shared" si="128"/>
        <v>-1</v>
      </c>
      <c r="AK143" s="408"/>
    </row>
    <row r="144" spans="1:37" x14ac:dyDescent="0.25">
      <c r="A144" s="58">
        <f>'งบกำไรขาดทุน ปี 2025'!A144</f>
        <v>60500002</v>
      </c>
      <c r="B144" s="16" t="str">
        <f>'งบกำไรขาดทุน ปี 2025'!B144</f>
        <v>หนี้สงสัยจะสูญ</v>
      </c>
      <c r="C144" s="20">
        <f>'งบกำไรขาดทุน ปี 2025'!O144</f>
        <v>0</v>
      </c>
      <c r="D144" s="21">
        <f t="shared" si="129"/>
        <v>0</v>
      </c>
      <c r="E144" s="141">
        <f t="shared" si="145"/>
        <v>0</v>
      </c>
      <c r="F144" s="221" t="e">
        <f t="shared" si="130"/>
        <v>#DIV/0!</v>
      </c>
      <c r="G144" s="221"/>
      <c r="H144" s="582" t="s">
        <v>632</v>
      </c>
      <c r="I144" s="137" t="e">
        <f t="shared" ref="I144:I145" si="147">((I$18*($F144+$G144)))</f>
        <v>#DIV/0!</v>
      </c>
      <c r="J144" s="105" t="e">
        <f t="shared" si="146"/>
        <v>#DIV/0!</v>
      </c>
      <c r="K144" s="105" t="e">
        <f t="shared" si="146"/>
        <v>#DIV/0!</v>
      </c>
      <c r="L144" s="105" t="e">
        <f t="shared" si="146"/>
        <v>#DIV/0!</v>
      </c>
      <c r="M144" s="105" t="e">
        <f t="shared" si="146"/>
        <v>#DIV/0!</v>
      </c>
      <c r="N144" s="233" t="e">
        <f t="shared" si="146"/>
        <v>#DIV/0!</v>
      </c>
      <c r="O144" s="137" t="e">
        <f t="shared" si="146"/>
        <v>#DIV/0!</v>
      </c>
      <c r="P144" s="105" t="e">
        <f t="shared" si="146"/>
        <v>#DIV/0!</v>
      </c>
      <c r="Q144" s="105" t="e">
        <f t="shared" si="146"/>
        <v>#DIV/0!</v>
      </c>
      <c r="R144" s="105" t="e">
        <f t="shared" si="146"/>
        <v>#DIV/0!</v>
      </c>
      <c r="S144" s="105" t="e">
        <f t="shared" si="146"/>
        <v>#DIV/0!</v>
      </c>
      <c r="T144" s="246" t="e">
        <f t="shared" si="146"/>
        <v>#DIV/0!</v>
      </c>
      <c r="U144" s="154" t="e">
        <f t="shared" si="117"/>
        <v>#DIV/0!</v>
      </c>
      <c r="V144" s="91" t="e">
        <f t="shared" si="132"/>
        <v>#DIV/0!</v>
      </c>
      <c r="W144" s="55" t="e">
        <f t="shared" si="133"/>
        <v>#DIV/0!</v>
      </c>
      <c r="X144" s="55" t="e">
        <f t="shared" si="134"/>
        <v>#DIV/0!</v>
      </c>
      <c r="Y144" s="55" t="e">
        <f t="shared" si="135"/>
        <v>#DIV/0!</v>
      </c>
      <c r="Z144" s="55" t="e">
        <f t="shared" si="136"/>
        <v>#DIV/0!</v>
      </c>
      <c r="AA144" s="55" t="e">
        <f t="shared" si="137"/>
        <v>#DIV/0!</v>
      </c>
      <c r="AB144" s="55" t="e">
        <f t="shared" si="138"/>
        <v>#DIV/0!</v>
      </c>
      <c r="AC144" s="55" t="e">
        <f t="shared" si="139"/>
        <v>#DIV/0!</v>
      </c>
      <c r="AD144" s="55" t="e">
        <f t="shared" si="140"/>
        <v>#DIV/0!</v>
      </c>
      <c r="AE144" s="55" t="e">
        <f t="shared" si="141"/>
        <v>#DIV/0!</v>
      </c>
      <c r="AF144" s="55" t="e">
        <f t="shared" si="142"/>
        <v>#DIV/0!</v>
      </c>
      <c r="AG144" s="55" t="e">
        <f t="shared" si="143"/>
        <v>#DIV/0!</v>
      </c>
      <c r="AH144" s="288" t="e">
        <f t="shared" si="144"/>
        <v>#DIV/0!</v>
      </c>
      <c r="AI144" s="582" t="s">
        <v>632</v>
      </c>
      <c r="AJ144" s="444">
        <f t="shared" si="128"/>
        <v>-1</v>
      </c>
      <c r="AK144" s="408"/>
    </row>
    <row r="145" spans="1:37" x14ac:dyDescent="0.25">
      <c r="A145" s="58">
        <f>'งบกำไรขาดทุน ปี 2025'!A145</f>
        <v>60500003</v>
      </c>
      <c r="B145" s="16" t="str">
        <f>'งบกำไรขาดทุน ปี 2025'!B145</f>
        <v>ค่าความเสียหายจากการทำงาน</v>
      </c>
      <c r="C145" s="121">
        <f>'งบกำไรขาดทุน ปี 2025'!O145</f>
        <v>0</v>
      </c>
      <c r="D145" s="136">
        <f t="shared" si="129"/>
        <v>0</v>
      </c>
      <c r="E145" s="145">
        <f t="shared" si="145"/>
        <v>0</v>
      </c>
      <c r="F145" s="96" t="e">
        <f t="shared" si="130"/>
        <v>#DIV/0!</v>
      </c>
      <c r="G145" s="96"/>
      <c r="H145" s="582" t="s">
        <v>632</v>
      </c>
      <c r="I145" s="138" t="e">
        <f t="shared" si="147"/>
        <v>#DIV/0!</v>
      </c>
      <c r="J145" s="106" t="e">
        <f t="shared" si="146"/>
        <v>#DIV/0!</v>
      </c>
      <c r="K145" s="106" t="e">
        <f t="shared" si="146"/>
        <v>#DIV/0!</v>
      </c>
      <c r="L145" s="106" t="e">
        <f t="shared" si="146"/>
        <v>#DIV/0!</v>
      </c>
      <c r="M145" s="106" t="e">
        <f t="shared" si="146"/>
        <v>#DIV/0!</v>
      </c>
      <c r="N145" s="239" t="e">
        <f t="shared" si="146"/>
        <v>#DIV/0!</v>
      </c>
      <c r="O145" s="138" t="e">
        <f t="shared" si="146"/>
        <v>#DIV/0!</v>
      </c>
      <c r="P145" s="106" t="e">
        <f t="shared" si="146"/>
        <v>#DIV/0!</v>
      </c>
      <c r="Q145" s="106" t="e">
        <f t="shared" si="146"/>
        <v>#DIV/0!</v>
      </c>
      <c r="R145" s="106" t="e">
        <f t="shared" si="146"/>
        <v>#DIV/0!</v>
      </c>
      <c r="S145" s="106" t="e">
        <f t="shared" si="146"/>
        <v>#DIV/0!</v>
      </c>
      <c r="T145" s="252" t="e">
        <f t="shared" si="146"/>
        <v>#DIV/0!</v>
      </c>
      <c r="U145" s="157" t="e">
        <f t="shared" si="117"/>
        <v>#DIV/0!</v>
      </c>
      <c r="V145" s="92" t="e">
        <f t="shared" si="132"/>
        <v>#DIV/0!</v>
      </c>
      <c r="W145" s="93" t="e">
        <f t="shared" si="133"/>
        <v>#DIV/0!</v>
      </c>
      <c r="X145" s="93" t="e">
        <f t="shared" si="134"/>
        <v>#DIV/0!</v>
      </c>
      <c r="Y145" s="93" t="e">
        <f t="shared" si="135"/>
        <v>#DIV/0!</v>
      </c>
      <c r="Z145" s="93" t="e">
        <f t="shared" si="136"/>
        <v>#DIV/0!</v>
      </c>
      <c r="AA145" s="93" t="e">
        <f t="shared" si="137"/>
        <v>#DIV/0!</v>
      </c>
      <c r="AB145" s="93" t="e">
        <f t="shared" si="138"/>
        <v>#DIV/0!</v>
      </c>
      <c r="AC145" s="93" t="e">
        <f t="shared" si="139"/>
        <v>#DIV/0!</v>
      </c>
      <c r="AD145" s="93" t="e">
        <f t="shared" si="140"/>
        <v>#DIV/0!</v>
      </c>
      <c r="AE145" s="93" t="e">
        <f t="shared" si="141"/>
        <v>#DIV/0!</v>
      </c>
      <c r="AF145" s="93" t="e">
        <f t="shared" si="142"/>
        <v>#DIV/0!</v>
      </c>
      <c r="AG145" s="93" t="e">
        <f t="shared" si="143"/>
        <v>#DIV/0!</v>
      </c>
      <c r="AH145" s="294" t="e">
        <f t="shared" si="144"/>
        <v>#DIV/0!</v>
      </c>
      <c r="AI145" s="582" t="s">
        <v>632</v>
      </c>
      <c r="AJ145" s="444">
        <f t="shared" si="128"/>
        <v>-1</v>
      </c>
      <c r="AK145" s="408"/>
    </row>
    <row r="146" spans="1:37" s="12" customFormat="1" x14ac:dyDescent="0.25">
      <c r="A146" s="161">
        <f>'งบกำไรขาดทุน ปี 2025'!A146</f>
        <v>0</v>
      </c>
      <c r="B146" s="15" t="str">
        <f>'งบกำไรขาดทุน ปี 2025'!B146</f>
        <v>รวมค่าใช้จ่ายตัดบัญชี</v>
      </c>
      <c r="C146" s="26">
        <f>'งบกำไรขาดทุน ปี 2025'!O146</f>
        <v>0</v>
      </c>
      <c r="D146" s="27">
        <f t="shared" si="129"/>
        <v>0</v>
      </c>
      <c r="E146" s="146">
        <f t="shared" si="145"/>
        <v>0</v>
      </c>
      <c r="F146" s="224" t="e">
        <f t="shared" si="130"/>
        <v>#DIV/0!</v>
      </c>
      <c r="G146" s="224"/>
      <c r="H146" s="582"/>
      <c r="I146" s="139" t="e">
        <f t="shared" ref="I146:U146" si="148">SUM(I143:I145)</f>
        <v>#DIV/0!</v>
      </c>
      <c r="J146" s="107" t="e">
        <f t="shared" si="148"/>
        <v>#DIV/0!</v>
      </c>
      <c r="K146" s="107" t="e">
        <f t="shared" si="148"/>
        <v>#DIV/0!</v>
      </c>
      <c r="L146" s="107" t="e">
        <f t="shared" si="148"/>
        <v>#DIV/0!</v>
      </c>
      <c r="M146" s="107" t="e">
        <f t="shared" si="148"/>
        <v>#DIV/0!</v>
      </c>
      <c r="N146" s="235" t="e">
        <f t="shared" si="148"/>
        <v>#DIV/0!</v>
      </c>
      <c r="O146" s="139" t="e">
        <f t="shared" si="148"/>
        <v>#DIV/0!</v>
      </c>
      <c r="P146" s="107" t="e">
        <f t="shared" si="148"/>
        <v>#DIV/0!</v>
      </c>
      <c r="Q146" s="107" t="e">
        <f t="shared" si="148"/>
        <v>#DIV/0!</v>
      </c>
      <c r="R146" s="107" t="e">
        <f t="shared" si="148"/>
        <v>#DIV/0!</v>
      </c>
      <c r="S146" s="107" t="e">
        <f t="shared" si="148"/>
        <v>#DIV/0!</v>
      </c>
      <c r="T146" s="248" t="e">
        <f t="shared" si="148"/>
        <v>#DIV/0!</v>
      </c>
      <c r="U146" s="107" t="e">
        <f t="shared" si="148"/>
        <v>#DIV/0!</v>
      </c>
      <c r="V146" s="94" t="e">
        <f t="shared" si="132"/>
        <v>#DIV/0!</v>
      </c>
      <c r="W146" s="56" t="e">
        <f t="shared" si="133"/>
        <v>#DIV/0!</v>
      </c>
      <c r="X146" s="56" t="e">
        <f t="shared" si="134"/>
        <v>#DIV/0!</v>
      </c>
      <c r="Y146" s="56" t="e">
        <f t="shared" si="135"/>
        <v>#DIV/0!</v>
      </c>
      <c r="Z146" s="56" t="e">
        <f t="shared" si="136"/>
        <v>#DIV/0!</v>
      </c>
      <c r="AA146" s="56" t="e">
        <f t="shared" si="137"/>
        <v>#DIV/0!</v>
      </c>
      <c r="AB146" s="56" t="e">
        <f t="shared" si="138"/>
        <v>#DIV/0!</v>
      </c>
      <c r="AC146" s="56" t="e">
        <f t="shared" si="139"/>
        <v>#DIV/0!</v>
      </c>
      <c r="AD146" s="56" t="e">
        <f t="shared" si="140"/>
        <v>#DIV/0!</v>
      </c>
      <c r="AE146" s="56" t="e">
        <f t="shared" si="141"/>
        <v>#DIV/0!</v>
      </c>
      <c r="AF146" s="56" t="e">
        <f t="shared" si="142"/>
        <v>#DIV/0!</v>
      </c>
      <c r="AG146" s="56" t="e">
        <f t="shared" si="143"/>
        <v>#DIV/0!</v>
      </c>
      <c r="AH146" s="290" t="e">
        <f t="shared" si="144"/>
        <v>#DIV/0!</v>
      </c>
      <c r="AI146" s="582"/>
      <c r="AJ146" s="444">
        <f t="shared" si="128"/>
        <v>-1</v>
      </c>
      <c r="AK146" s="408"/>
    </row>
    <row r="147" spans="1:37" s="12" customFormat="1" x14ac:dyDescent="0.25">
      <c r="A147" s="161">
        <f>'งบกำไรขาดทุน ปี 2025'!A147</f>
        <v>0</v>
      </c>
      <c r="B147" s="15" t="str">
        <f>'งบกำไรขาดทุน ปี 2025'!B147</f>
        <v>รวมค่าใช้จ่ายในการบริหาร</v>
      </c>
      <c r="C147" s="216">
        <f>'งบกำไรขาดทุน ปี 2025'!O147</f>
        <v>0</v>
      </c>
      <c r="D147" s="191">
        <f t="shared" si="129"/>
        <v>0</v>
      </c>
      <c r="E147" s="192">
        <f t="shared" si="145"/>
        <v>0</v>
      </c>
      <c r="F147" s="226" t="e">
        <f t="shared" si="130"/>
        <v>#DIV/0!</v>
      </c>
      <c r="G147" s="226"/>
      <c r="H147" s="582"/>
      <c r="I147" s="180" t="e">
        <f t="shared" ref="I147:U147" si="149">I63+I68+I74+I79+I84+I89+I98+I111+I116+I121+I132+I141+I146</f>
        <v>#DIV/0!</v>
      </c>
      <c r="J147" s="177" t="e">
        <f t="shared" si="149"/>
        <v>#DIV/0!</v>
      </c>
      <c r="K147" s="177" t="e">
        <f t="shared" si="149"/>
        <v>#DIV/0!</v>
      </c>
      <c r="L147" s="177" t="e">
        <f t="shared" si="149"/>
        <v>#DIV/0!</v>
      </c>
      <c r="M147" s="177" t="e">
        <f t="shared" si="149"/>
        <v>#DIV/0!</v>
      </c>
      <c r="N147" s="234" t="e">
        <f t="shared" si="149"/>
        <v>#DIV/0!</v>
      </c>
      <c r="O147" s="180" t="e">
        <f t="shared" si="149"/>
        <v>#DIV/0!</v>
      </c>
      <c r="P147" s="177" t="e">
        <f t="shared" si="149"/>
        <v>#DIV/0!</v>
      </c>
      <c r="Q147" s="177" t="e">
        <f t="shared" si="149"/>
        <v>#DIV/0!</v>
      </c>
      <c r="R147" s="177" t="e">
        <f t="shared" si="149"/>
        <v>#DIV/0!</v>
      </c>
      <c r="S147" s="177" t="e">
        <f t="shared" si="149"/>
        <v>#DIV/0!</v>
      </c>
      <c r="T147" s="247" t="e">
        <f t="shared" si="149"/>
        <v>#DIV/0!</v>
      </c>
      <c r="U147" s="177" t="e">
        <f t="shared" si="149"/>
        <v>#DIV/0!</v>
      </c>
      <c r="V147" s="178" t="e">
        <f t="shared" si="132"/>
        <v>#DIV/0!</v>
      </c>
      <c r="W147" s="179" t="e">
        <f t="shared" si="133"/>
        <v>#DIV/0!</v>
      </c>
      <c r="X147" s="179" t="e">
        <f t="shared" si="134"/>
        <v>#DIV/0!</v>
      </c>
      <c r="Y147" s="179" t="e">
        <f t="shared" si="135"/>
        <v>#DIV/0!</v>
      </c>
      <c r="Z147" s="179" t="e">
        <f t="shared" si="136"/>
        <v>#DIV/0!</v>
      </c>
      <c r="AA147" s="179" t="e">
        <f t="shared" si="137"/>
        <v>#DIV/0!</v>
      </c>
      <c r="AB147" s="179" t="e">
        <f t="shared" si="138"/>
        <v>#DIV/0!</v>
      </c>
      <c r="AC147" s="179" t="e">
        <f t="shared" si="139"/>
        <v>#DIV/0!</v>
      </c>
      <c r="AD147" s="179" t="e">
        <f t="shared" si="140"/>
        <v>#DIV/0!</v>
      </c>
      <c r="AE147" s="179" t="e">
        <f t="shared" si="141"/>
        <v>#DIV/0!</v>
      </c>
      <c r="AF147" s="179" t="e">
        <f t="shared" si="142"/>
        <v>#DIV/0!</v>
      </c>
      <c r="AG147" s="179" t="e">
        <f t="shared" si="143"/>
        <v>#DIV/0!</v>
      </c>
      <c r="AH147" s="289" t="e">
        <f t="shared" si="144"/>
        <v>#DIV/0!</v>
      </c>
      <c r="AI147" s="582"/>
      <c r="AJ147" s="444">
        <f t="shared" si="128"/>
        <v>-1</v>
      </c>
      <c r="AK147" s="408"/>
    </row>
    <row r="148" spans="1:37" s="12" customFormat="1" x14ac:dyDescent="0.25">
      <c r="A148" s="161">
        <f>'งบกำไรขาดทุน ปี 2025'!A148</f>
        <v>0</v>
      </c>
      <c r="B148" s="15" t="str">
        <f>'งบกำไรขาดทุน ปี 2025'!B148</f>
        <v>กำไร(ขาดทุน)ก่อนหักค่าเสื่อมราคา</v>
      </c>
      <c r="C148" s="26">
        <f>'งบกำไรขาดทุน ปี 2025'!O148</f>
        <v>0</v>
      </c>
      <c r="D148" s="27">
        <f t="shared" si="129"/>
        <v>0</v>
      </c>
      <c r="E148" s="146">
        <f t="shared" si="145"/>
        <v>0</v>
      </c>
      <c r="F148" s="224" t="e">
        <f t="shared" si="130"/>
        <v>#DIV/0!</v>
      </c>
      <c r="G148" s="224"/>
      <c r="H148" s="582"/>
      <c r="I148" s="139" t="e">
        <f t="shared" ref="I148:U148" si="150">I18-I42-I147</f>
        <v>#DIV/0!</v>
      </c>
      <c r="J148" s="107" t="e">
        <f t="shared" si="150"/>
        <v>#DIV/0!</v>
      </c>
      <c r="K148" s="107" t="e">
        <f t="shared" si="150"/>
        <v>#DIV/0!</v>
      </c>
      <c r="L148" s="107" t="e">
        <f t="shared" si="150"/>
        <v>#DIV/0!</v>
      </c>
      <c r="M148" s="107" t="e">
        <f t="shared" si="150"/>
        <v>#DIV/0!</v>
      </c>
      <c r="N148" s="235" t="e">
        <f t="shared" si="150"/>
        <v>#DIV/0!</v>
      </c>
      <c r="O148" s="139" t="e">
        <f t="shared" si="150"/>
        <v>#DIV/0!</v>
      </c>
      <c r="P148" s="107" t="e">
        <f t="shared" si="150"/>
        <v>#DIV/0!</v>
      </c>
      <c r="Q148" s="107" t="e">
        <f t="shared" si="150"/>
        <v>#DIV/0!</v>
      </c>
      <c r="R148" s="107" t="e">
        <f t="shared" si="150"/>
        <v>#DIV/0!</v>
      </c>
      <c r="S148" s="107" t="e">
        <f t="shared" si="150"/>
        <v>#DIV/0!</v>
      </c>
      <c r="T148" s="248" t="e">
        <f t="shared" si="150"/>
        <v>#DIV/0!</v>
      </c>
      <c r="U148" s="107" t="e">
        <f t="shared" si="150"/>
        <v>#DIV/0!</v>
      </c>
      <c r="V148" s="94" t="e">
        <f t="shared" si="132"/>
        <v>#DIV/0!</v>
      </c>
      <c r="W148" s="56" t="e">
        <f t="shared" si="133"/>
        <v>#DIV/0!</v>
      </c>
      <c r="X148" s="56" t="e">
        <f t="shared" si="134"/>
        <v>#DIV/0!</v>
      </c>
      <c r="Y148" s="56" t="e">
        <f t="shared" si="135"/>
        <v>#DIV/0!</v>
      </c>
      <c r="Z148" s="56" t="e">
        <f t="shared" si="136"/>
        <v>#DIV/0!</v>
      </c>
      <c r="AA148" s="56" t="e">
        <f t="shared" si="137"/>
        <v>#DIV/0!</v>
      </c>
      <c r="AB148" s="56" t="e">
        <f t="shared" si="138"/>
        <v>#DIV/0!</v>
      </c>
      <c r="AC148" s="56" t="e">
        <f t="shared" si="139"/>
        <v>#DIV/0!</v>
      </c>
      <c r="AD148" s="56" t="e">
        <f t="shared" si="140"/>
        <v>#DIV/0!</v>
      </c>
      <c r="AE148" s="56" t="e">
        <f t="shared" si="141"/>
        <v>#DIV/0!</v>
      </c>
      <c r="AF148" s="56" t="e">
        <f t="shared" si="142"/>
        <v>#DIV/0!</v>
      </c>
      <c r="AG148" s="56" t="e">
        <f t="shared" si="143"/>
        <v>#DIV/0!</v>
      </c>
      <c r="AH148" s="290" t="e">
        <f t="shared" si="144"/>
        <v>#DIV/0!</v>
      </c>
      <c r="AI148" s="582"/>
      <c r="AJ148" s="444">
        <f t="shared" si="128"/>
        <v>-1</v>
      </c>
      <c r="AK148" s="408"/>
    </row>
    <row r="149" spans="1:37" x14ac:dyDescent="0.25">
      <c r="A149" s="58">
        <f>'งบกำไรขาดทุน ปี 2025'!A149</f>
        <v>0</v>
      </c>
      <c r="B149" s="16" t="str">
        <f>'งบกำไรขาดทุน ปี 2025'!B149</f>
        <v>ค่าเสื่อมราคา</v>
      </c>
      <c r="C149" s="20">
        <f>'งบกำไรขาดทุน ปี 2025'!O149</f>
        <v>0</v>
      </c>
      <c r="D149" s="21"/>
      <c r="E149" s="141"/>
      <c r="F149" s="221"/>
      <c r="G149" s="221"/>
      <c r="H149" s="580"/>
      <c r="I149" s="137"/>
      <c r="J149" s="105"/>
      <c r="K149" s="105"/>
      <c r="L149" s="105"/>
      <c r="M149" s="105"/>
      <c r="N149" s="233"/>
      <c r="O149" s="137"/>
      <c r="P149" s="105"/>
      <c r="Q149" s="105"/>
      <c r="R149" s="105"/>
      <c r="S149" s="105"/>
      <c r="T149" s="246"/>
      <c r="U149" s="154"/>
      <c r="V149" s="91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288"/>
      <c r="AI149" s="580"/>
      <c r="AJ149" s="444">
        <f t="shared" si="128"/>
        <v>-1</v>
      </c>
      <c r="AK149" s="408"/>
    </row>
    <row r="150" spans="1:37" x14ac:dyDescent="0.25">
      <c r="A150" s="58">
        <f>'งบกำไรขาดทุน ปี 2025'!A150</f>
        <v>61300001</v>
      </c>
      <c r="B150" s="16" t="str">
        <f>'งบกำไรขาดทุน ปี 2025'!B150</f>
        <v>ค่าสิทธิการเช่าอาคารตัดจ่าย</v>
      </c>
      <c r="C150" s="20">
        <f>'งบกำไรขาดทุน ปี 2025'!O150</f>
        <v>0</v>
      </c>
      <c r="D150" s="21">
        <f t="shared" si="129"/>
        <v>0</v>
      </c>
      <c r="E150" s="141">
        <f t="shared" ref="E150:E164" si="151">D150*$E$5</f>
        <v>0</v>
      </c>
      <c r="F150" s="221" t="e">
        <f t="shared" si="130"/>
        <v>#DIV/0!</v>
      </c>
      <c r="G150" s="221"/>
      <c r="H150" s="582" t="s">
        <v>633</v>
      </c>
      <c r="I150" s="137">
        <f t="shared" ref="I150:T150" si="152">(($D150*$G150)+$D150)</f>
        <v>0</v>
      </c>
      <c r="J150" s="105">
        <f t="shared" si="152"/>
        <v>0</v>
      </c>
      <c r="K150" s="105">
        <f t="shared" si="152"/>
        <v>0</v>
      </c>
      <c r="L150" s="105">
        <f t="shared" si="152"/>
        <v>0</v>
      </c>
      <c r="M150" s="105">
        <f t="shared" si="152"/>
        <v>0</v>
      </c>
      <c r="N150" s="233">
        <f t="shared" si="152"/>
        <v>0</v>
      </c>
      <c r="O150" s="137">
        <f t="shared" si="152"/>
        <v>0</v>
      </c>
      <c r="P150" s="105">
        <f t="shared" si="152"/>
        <v>0</v>
      </c>
      <c r="Q150" s="105">
        <f t="shared" si="152"/>
        <v>0</v>
      </c>
      <c r="R150" s="105">
        <f t="shared" si="152"/>
        <v>0</v>
      </c>
      <c r="S150" s="105">
        <f t="shared" si="152"/>
        <v>0</v>
      </c>
      <c r="T150" s="246">
        <f t="shared" si="152"/>
        <v>0</v>
      </c>
      <c r="U150" s="154">
        <f t="shared" si="117"/>
        <v>0</v>
      </c>
      <c r="V150" s="91" t="e">
        <f t="shared" si="132"/>
        <v>#DIV/0!</v>
      </c>
      <c r="W150" s="55" t="e">
        <f t="shared" si="133"/>
        <v>#DIV/0!</v>
      </c>
      <c r="X150" s="55" t="e">
        <f t="shared" si="134"/>
        <v>#DIV/0!</v>
      </c>
      <c r="Y150" s="55" t="e">
        <f t="shared" si="135"/>
        <v>#DIV/0!</v>
      </c>
      <c r="Z150" s="55" t="e">
        <f t="shared" si="136"/>
        <v>#DIV/0!</v>
      </c>
      <c r="AA150" s="55" t="e">
        <f t="shared" si="137"/>
        <v>#DIV/0!</v>
      </c>
      <c r="AB150" s="55" t="e">
        <f t="shared" si="138"/>
        <v>#DIV/0!</v>
      </c>
      <c r="AC150" s="55" t="e">
        <f t="shared" si="139"/>
        <v>#DIV/0!</v>
      </c>
      <c r="AD150" s="55" t="e">
        <f t="shared" si="140"/>
        <v>#DIV/0!</v>
      </c>
      <c r="AE150" s="55" t="e">
        <f t="shared" si="141"/>
        <v>#DIV/0!</v>
      </c>
      <c r="AF150" s="55" t="e">
        <f t="shared" si="142"/>
        <v>#DIV/0!</v>
      </c>
      <c r="AG150" s="55" t="e">
        <f t="shared" si="143"/>
        <v>#DIV/0!</v>
      </c>
      <c r="AH150" s="288" t="e">
        <f t="shared" si="144"/>
        <v>#DIV/0!</v>
      </c>
      <c r="AI150" s="582" t="s">
        <v>633</v>
      </c>
      <c r="AJ150" s="444">
        <f t="shared" si="128"/>
        <v>-1</v>
      </c>
      <c r="AK150" s="408"/>
    </row>
    <row r="151" spans="1:37" x14ac:dyDescent="0.25">
      <c r="A151" s="58">
        <f>'งบกำไรขาดทุน ปี 2025'!A151</f>
        <v>61300002</v>
      </c>
      <c r="B151" s="16" t="str">
        <f>'งบกำไรขาดทุน ปี 2025'!B151</f>
        <v>ค่าเสื่อมราคา - ป้ายสำนักงาน</v>
      </c>
      <c r="C151" s="20">
        <f>'งบกำไรขาดทุน ปี 2025'!O151</f>
        <v>0</v>
      </c>
      <c r="D151" s="21">
        <f t="shared" si="129"/>
        <v>0</v>
      </c>
      <c r="E151" s="141">
        <f t="shared" si="151"/>
        <v>0</v>
      </c>
      <c r="F151" s="221" t="e">
        <f t="shared" si="130"/>
        <v>#DIV/0!</v>
      </c>
      <c r="G151" s="221"/>
      <c r="H151" s="582" t="s">
        <v>633</v>
      </c>
      <c r="I151" s="137">
        <f>(($D151*$G151)+$D151)+'การลงระหว่างเดือน ปี 2026'!AO70</f>
        <v>0</v>
      </c>
      <c r="J151" s="105">
        <f>(($D151*$G151)+$D151)+'การลงระหว่างเดือน ปี 2026'!AP70</f>
        <v>0</v>
      </c>
      <c r="K151" s="105">
        <f>(($D151*$G151)+$D151)+'การลงระหว่างเดือน ปี 2026'!AQ70</f>
        <v>0</v>
      </c>
      <c r="L151" s="105">
        <f>(($D151*$G151)+$D151)+'การลงระหว่างเดือน ปี 2026'!AR70</f>
        <v>0</v>
      </c>
      <c r="M151" s="105">
        <f>(($D151*$G151)+$D151)+'การลงระหว่างเดือน ปี 2026'!AS70</f>
        <v>0</v>
      </c>
      <c r="N151" s="233">
        <f>(($D151*$G151)+$D151)+'การลงระหว่างเดือน ปี 2026'!AT70</f>
        <v>0</v>
      </c>
      <c r="O151" s="137">
        <f>(($D151*$G151)+$D151)+'การลงระหว่างเดือน ปี 2026'!AU70</f>
        <v>0</v>
      </c>
      <c r="P151" s="105">
        <f>(($D151*$G151)+$D151)+'การลงระหว่างเดือน ปี 2026'!AV70</f>
        <v>0</v>
      </c>
      <c r="Q151" s="105">
        <f>(($D151*$G151)+$D151)+'การลงระหว่างเดือน ปี 2026'!AW70</f>
        <v>0</v>
      </c>
      <c r="R151" s="105">
        <f>(($D151*$G151)+$D151)+'การลงระหว่างเดือน ปี 2026'!AX70</f>
        <v>0</v>
      </c>
      <c r="S151" s="105">
        <f>(($D151*$G151)+$D151)+'การลงระหว่างเดือน ปี 2026'!AY70</f>
        <v>0</v>
      </c>
      <c r="T151" s="246">
        <f>(($D151*$G151)+$D151)+'การลงระหว่างเดือน ปี 2026'!AZ70</f>
        <v>0</v>
      </c>
      <c r="U151" s="154">
        <f t="shared" si="117"/>
        <v>0</v>
      </c>
      <c r="V151" s="91" t="e">
        <f t="shared" si="132"/>
        <v>#DIV/0!</v>
      </c>
      <c r="W151" s="55" t="e">
        <f t="shared" si="133"/>
        <v>#DIV/0!</v>
      </c>
      <c r="X151" s="55" t="e">
        <f t="shared" si="134"/>
        <v>#DIV/0!</v>
      </c>
      <c r="Y151" s="55" t="e">
        <f t="shared" si="135"/>
        <v>#DIV/0!</v>
      </c>
      <c r="Z151" s="55" t="e">
        <f t="shared" si="136"/>
        <v>#DIV/0!</v>
      </c>
      <c r="AA151" s="55" t="e">
        <f t="shared" si="137"/>
        <v>#DIV/0!</v>
      </c>
      <c r="AB151" s="55" t="e">
        <f t="shared" si="138"/>
        <v>#DIV/0!</v>
      </c>
      <c r="AC151" s="55" t="e">
        <f t="shared" si="139"/>
        <v>#DIV/0!</v>
      </c>
      <c r="AD151" s="55" t="e">
        <f t="shared" si="140"/>
        <v>#DIV/0!</v>
      </c>
      <c r="AE151" s="55" t="e">
        <f t="shared" si="141"/>
        <v>#DIV/0!</v>
      </c>
      <c r="AF151" s="55" t="e">
        <f t="shared" si="142"/>
        <v>#DIV/0!</v>
      </c>
      <c r="AG151" s="55" t="e">
        <f t="shared" si="143"/>
        <v>#DIV/0!</v>
      </c>
      <c r="AH151" s="288" t="e">
        <f t="shared" si="144"/>
        <v>#DIV/0!</v>
      </c>
      <c r="AI151" s="582" t="s">
        <v>633</v>
      </c>
      <c r="AJ151" s="444">
        <f t="shared" si="128"/>
        <v>-1</v>
      </c>
      <c r="AK151" s="408"/>
    </row>
    <row r="152" spans="1:37" x14ac:dyDescent="0.25">
      <c r="A152" s="58">
        <f>'งบกำไรขาดทุน ปี 2025'!A152</f>
        <v>61300004</v>
      </c>
      <c r="B152" s="16" t="str">
        <f>'งบกำไรขาดทุน ปี 2025'!B152</f>
        <v>ค่าเสื่อมราคา - คอมพิวเตอร์</v>
      </c>
      <c r="C152" s="20">
        <f>'งบกำไรขาดทุน ปี 2025'!O152</f>
        <v>0</v>
      </c>
      <c r="D152" s="21">
        <f t="shared" si="129"/>
        <v>0</v>
      </c>
      <c r="E152" s="141">
        <f t="shared" si="151"/>
        <v>0</v>
      </c>
      <c r="F152" s="221" t="e">
        <f t="shared" si="130"/>
        <v>#DIV/0!</v>
      </c>
      <c r="G152" s="221"/>
      <c r="H152" s="582" t="s">
        <v>633</v>
      </c>
      <c r="I152" s="137">
        <f>(($D152*$G152)+$D152)+'การลงระหว่างเดือน ปี 2026'!AO71</f>
        <v>0</v>
      </c>
      <c r="J152" s="105">
        <f>(($D152*$G152)+$D152)+'การลงระหว่างเดือน ปี 2026'!AP71</f>
        <v>0</v>
      </c>
      <c r="K152" s="105">
        <f>(($D152*$G152)+$D152)+'การลงระหว่างเดือน ปี 2026'!AQ71</f>
        <v>0</v>
      </c>
      <c r="L152" s="105">
        <f>(($D152*$G152)+$D152)+'การลงระหว่างเดือน ปี 2026'!AR71</f>
        <v>0</v>
      </c>
      <c r="M152" s="105">
        <f>(($D152*$G152)+$D152)+'การลงระหว่างเดือน ปี 2026'!AS71</f>
        <v>0</v>
      </c>
      <c r="N152" s="233">
        <f>(($D152*$G152)+$D152)+'การลงระหว่างเดือน ปี 2026'!AT71</f>
        <v>0</v>
      </c>
      <c r="O152" s="137">
        <f>(($D152*$G152)+$D152)+'การลงระหว่างเดือน ปี 2026'!AU71</f>
        <v>0</v>
      </c>
      <c r="P152" s="105">
        <f>(($D152*$G152)+$D152)+'การลงระหว่างเดือน ปี 2026'!AV71</f>
        <v>0</v>
      </c>
      <c r="Q152" s="105">
        <f>(($D152*$G152)+$D152)+'การลงระหว่างเดือน ปี 2026'!AW71</f>
        <v>0</v>
      </c>
      <c r="R152" s="105">
        <f>(($D152*$G152)+$D152)+'การลงระหว่างเดือน ปี 2026'!AX71</f>
        <v>0</v>
      </c>
      <c r="S152" s="105">
        <f>(($D152*$G152)+$D152)+'การลงระหว่างเดือน ปี 2026'!AY71</f>
        <v>0</v>
      </c>
      <c r="T152" s="246">
        <f>(($D152*$G152)+$D152)+'การลงระหว่างเดือน ปี 2026'!AZ71</f>
        <v>0</v>
      </c>
      <c r="U152" s="154">
        <f t="shared" si="117"/>
        <v>0</v>
      </c>
      <c r="V152" s="91" t="e">
        <f t="shared" si="132"/>
        <v>#DIV/0!</v>
      </c>
      <c r="W152" s="55" t="e">
        <f t="shared" si="133"/>
        <v>#DIV/0!</v>
      </c>
      <c r="X152" s="55" t="e">
        <f t="shared" si="134"/>
        <v>#DIV/0!</v>
      </c>
      <c r="Y152" s="55" t="e">
        <f t="shared" si="135"/>
        <v>#DIV/0!</v>
      </c>
      <c r="Z152" s="55" t="e">
        <f t="shared" si="136"/>
        <v>#DIV/0!</v>
      </c>
      <c r="AA152" s="55" t="e">
        <f t="shared" si="137"/>
        <v>#DIV/0!</v>
      </c>
      <c r="AB152" s="55" t="e">
        <f t="shared" si="138"/>
        <v>#DIV/0!</v>
      </c>
      <c r="AC152" s="55" t="e">
        <f t="shared" si="139"/>
        <v>#DIV/0!</v>
      </c>
      <c r="AD152" s="55" t="e">
        <f t="shared" si="140"/>
        <v>#DIV/0!</v>
      </c>
      <c r="AE152" s="55" t="e">
        <f t="shared" si="141"/>
        <v>#DIV/0!</v>
      </c>
      <c r="AF152" s="55" t="e">
        <f t="shared" si="142"/>
        <v>#DIV/0!</v>
      </c>
      <c r="AG152" s="55" t="e">
        <f t="shared" si="143"/>
        <v>#DIV/0!</v>
      </c>
      <c r="AH152" s="288" t="e">
        <f t="shared" si="144"/>
        <v>#DIV/0!</v>
      </c>
      <c r="AI152" s="582" t="s">
        <v>633</v>
      </c>
      <c r="AJ152" s="444">
        <f t="shared" si="128"/>
        <v>-1</v>
      </c>
      <c r="AK152" s="408"/>
    </row>
    <row r="153" spans="1:37" x14ac:dyDescent="0.25">
      <c r="A153" s="58">
        <f>'งบกำไรขาดทุน ปี 2025'!A153</f>
        <v>61300005</v>
      </c>
      <c r="B153" s="16" t="str">
        <f>'งบกำไรขาดทุน ปี 2025'!B153</f>
        <v>ค่าเสื่อมราคา - ระบบ software</v>
      </c>
      <c r="C153" s="20">
        <f>'งบกำไรขาดทุน ปี 2025'!O153</f>
        <v>0</v>
      </c>
      <c r="D153" s="21">
        <f t="shared" si="129"/>
        <v>0</v>
      </c>
      <c r="E153" s="141">
        <f t="shared" si="151"/>
        <v>0</v>
      </c>
      <c r="F153" s="221" t="e">
        <f t="shared" si="130"/>
        <v>#DIV/0!</v>
      </c>
      <c r="G153" s="221"/>
      <c r="H153" s="582" t="s">
        <v>633</v>
      </c>
      <c r="I153" s="137">
        <f>(($D153*$G153)+$D153)+'การลงระหว่างเดือน ปี 2026'!AO72</f>
        <v>0</v>
      </c>
      <c r="J153" s="105">
        <f>(($D153*$G153)+$D153)+'การลงระหว่างเดือน ปี 2026'!AP72</f>
        <v>0</v>
      </c>
      <c r="K153" s="105">
        <f>(($D153*$G153)+$D153)+'การลงระหว่างเดือน ปี 2026'!AQ72</f>
        <v>0</v>
      </c>
      <c r="L153" s="105">
        <f>(($D153*$G153)+$D153)+'การลงระหว่างเดือน ปี 2026'!AR72</f>
        <v>0</v>
      </c>
      <c r="M153" s="105">
        <f>(($D153*$G153)+$D153)+'การลงระหว่างเดือน ปี 2026'!AS72</f>
        <v>0</v>
      </c>
      <c r="N153" s="233">
        <f>(($D153*$G153)+$D153)+'การลงระหว่างเดือน ปี 2026'!AT72</f>
        <v>0</v>
      </c>
      <c r="O153" s="137">
        <f>(($D153*$G153)+$D153)+'การลงระหว่างเดือน ปี 2026'!AU72</f>
        <v>0</v>
      </c>
      <c r="P153" s="105">
        <f>(($D153*$G153)+$D153)+'การลงระหว่างเดือน ปี 2026'!AV72</f>
        <v>0</v>
      </c>
      <c r="Q153" s="105">
        <f>(($D153*$G153)+$D153)+'การลงระหว่างเดือน ปี 2026'!AW72</f>
        <v>0</v>
      </c>
      <c r="R153" s="105">
        <f>(($D153*$G153)+$D153)+'การลงระหว่างเดือน ปี 2026'!AX72</f>
        <v>0</v>
      </c>
      <c r="S153" s="105">
        <f>(($D153*$G153)+$D153)+'การลงระหว่างเดือน ปี 2026'!AY72</f>
        <v>0</v>
      </c>
      <c r="T153" s="246">
        <f>(($D153*$G153)+$D153)+'การลงระหว่างเดือน ปี 2026'!AZ72</f>
        <v>0</v>
      </c>
      <c r="U153" s="154">
        <f t="shared" si="117"/>
        <v>0</v>
      </c>
      <c r="V153" s="91" t="e">
        <f t="shared" si="132"/>
        <v>#DIV/0!</v>
      </c>
      <c r="W153" s="55" t="e">
        <f t="shared" si="133"/>
        <v>#DIV/0!</v>
      </c>
      <c r="X153" s="55" t="e">
        <f t="shared" si="134"/>
        <v>#DIV/0!</v>
      </c>
      <c r="Y153" s="55" t="e">
        <f t="shared" si="135"/>
        <v>#DIV/0!</v>
      </c>
      <c r="Z153" s="55" t="e">
        <f t="shared" si="136"/>
        <v>#DIV/0!</v>
      </c>
      <c r="AA153" s="55" t="e">
        <f t="shared" si="137"/>
        <v>#DIV/0!</v>
      </c>
      <c r="AB153" s="55" t="e">
        <f t="shared" si="138"/>
        <v>#DIV/0!</v>
      </c>
      <c r="AC153" s="55" t="e">
        <f t="shared" si="139"/>
        <v>#DIV/0!</v>
      </c>
      <c r="AD153" s="55" t="e">
        <f t="shared" si="140"/>
        <v>#DIV/0!</v>
      </c>
      <c r="AE153" s="55" t="e">
        <f t="shared" si="141"/>
        <v>#DIV/0!</v>
      </c>
      <c r="AF153" s="55" t="e">
        <f t="shared" si="142"/>
        <v>#DIV/0!</v>
      </c>
      <c r="AG153" s="55" t="e">
        <f t="shared" si="143"/>
        <v>#DIV/0!</v>
      </c>
      <c r="AH153" s="288" t="e">
        <f t="shared" si="144"/>
        <v>#DIV/0!</v>
      </c>
      <c r="AI153" s="582" t="s">
        <v>633</v>
      </c>
      <c r="AJ153" s="444">
        <f t="shared" si="128"/>
        <v>-1</v>
      </c>
      <c r="AK153" s="408"/>
    </row>
    <row r="154" spans="1:37" x14ac:dyDescent="0.25">
      <c r="A154" s="58">
        <f>'งบกำไรขาดทุน ปี 2025'!A154</f>
        <v>61300006</v>
      </c>
      <c r="B154" s="16" t="str">
        <f>'งบกำไรขาดทุน ปี 2025'!B154</f>
        <v>ค่าเสื่อมราคา - อาคารบนที่ดินเช่า</v>
      </c>
      <c r="C154" s="20">
        <f>'งบกำไรขาดทุน ปี 2025'!O154</f>
        <v>0</v>
      </c>
      <c r="D154" s="21">
        <f t="shared" si="129"/>
        <v>0</v>
      </c>
      <c r="E154" s="141">
        <f t="shared" si="151"/>
        <v>0</v>
      </c>
      <c r="F154" s="221" t="e">
        <f t="shared" si="130"/>
        <v>#DIV/0!</v>
      </c>
      <c r="G154" s="221"/>
      <c r="H154" s="582" t="s">
        <v>633</v>
      </c>
      <c r="I154" s="137">
        <f>(($D154*$G154)+$D154)+'การลงระหว่างเดือน ปี 2026'!AO73</f>
        <v>0</v>
      </c>
      <c r="J154" s="105">
        <f>(($D154*$G154)+$D154)+'การลงระหว่างเดือน ปี 2026'!AP73</f>
        <v>0</v>
      </c>
      <c r="K154" s="105">
        <f>(($D154*$G154)+$D154)+'การลงระหว่างเดือน ปี 2026'!AQ73</f>
        <v>0</v>
      </c>
      <c r="L154" s="105">
        <f>(($D154*$G154)+$D154)+'การลงระหว่างเดือน ปี 2026'!AR73</f>
        <v>0</v>
      </c>
      <c r="M154" s="105">
        <f>(($D154*$G154)+$D154)+'การลงระหว่างเดือน ปี 2026'!AS73</f>
        <v>0</v>
      </c>
      <c r="N154" s="233">
        <f>(($D154*$G154)+$D154)+'การลงระหว่างเดือน ปี 2026'!AT73</f>
        <v>0</v>
      </c>
      <c r="O154" s="137">
        <f>(($D154*$G154)+$D154)+'การลงระหว่างเดือน ปี 2026'!AU73</f>
        <v>0</v>
      </c>
      <c r="P154" s="105">
        <f>(($D154*$G154)+$D154)+'การลงระหว่างเดือน ปี 2026'!AV73</f>
        <v>0</v>
      </c>
      <c r="Q154" s="105">
        <f>(($D154*$G154)+$D154)+'การลงระหว่างเดือน ปี 2026'!AW73</f>
        <v>0</v>
      </c>
      <c r="R154" s="105">
        <f>(($D154*$G154)+$D154)+'การลงระหว่างเดือน ปี 2026'!AX73</f>
        <v>0</v>
      </c>
      <c r="S154" s="105">
        <f>(($D154*$G154)+$D154)+'การลงระหว่างเดือน ปี 2026'!AY73</f>
        <v>0</v>
      </c>
      <c r="T154" s="246">
        <f>(($D154*$G154)+$D154)+'การลงระหว่างเดือน ปี 2026'!AZ73</f>
        <v>0</v>
      </c>
      <c r="U154" s="154">
        <f t="shared" si="117"/>
        <v>0</v>
      </c>
      <c r="V154" s="91" t="e">
        <f t="shared" si="132"/>
        <v>#DIV/0!</v>
      </c>
      <c r="W154" s="55" t="e">
        <f t="shared" si="133"/>
        <v>#DIV/0!</v>
      </c>
      <c r="X154" s="55" t="e">
        <f t="shared" si="134"/>
        <v>#DIV/0!</v>
      </c>
      <c r="Y154" s="55" t="e">
        <f t="shared" si="135"/>
        <v>#DIV/0!</v>
      </c>
      <c r="Z154" s="55" t="e">
        <f t="shared" si="136"/>
        <v>#DIV/0!</v>
      </c>
      <c r="AA154" s="55" t="e">
        <f t="shared" si="137"/>
        <v>#DIV/0!</v>
      </c>
      <c r="AB154" s="55" t="e">
        <f t="shared" si="138"/>
        <v>#DIV/0!</v>
      </c>
      <c r="AC154" s="55" t="e">
        <f t="shared" si="139"/>
        <v>#DIV/0!</v>
      </c>
      <c r="AD154" s="55" t="e">
        <f t="shared" si="140"/>
        <v>#DIV/0!</v>
      </c>
      <c r="AE154" s="55" t="e">
        <f t="shared" si="141"/>
        <v>#DIV/0!</v>
      </c>
      <c r="AF154" s="55" t="e">
        <f t="shared" si="142"/>
        <v>#DIV/0!</v>
      </c>
      <c r="AG154" s="55" t="e">
        <f t="shared" si="143"/>
        <v>#DIV/0!</v>
      </c>
      <c r="AH154" s="288" t="e">
        <f t="shared" si="144"/>
        <v>#DIV/0!</v>
      </c>
      <c r="AI154" s="582" t="s">
        <v>633</v>
      </c>
      <c r="AJ154" s="444">
        <f t="shared" si="128"/>
        <v>-1</v>
      </c>
      <c r="AK154" s="408"/>
    </row>
    <row r="155" spans="1:37" x14ac:dyDescent="0.25">
      <c r="A155" s="58">
        <f>'งบกำไรขาดทุน ปี 2025'!A155</f>
        <v>61300008</v>
      </c>
      <c r="B155" s="16" t="str">
        <f>'งบกำไรขาดทุน ปี 2025'!B155</f>
        <v>ค่าเสื่อมราคา - ส่วนต่อเติมตกแต่ง</v>
      </c>
      <c r="C155" s="20">
        <f>'งบกำไรขาดทุน ปี 2025'!O155</f>
        <v>0</v>
      </c>
      <c r="D155" s="21">
        <f t="shared" si="129"/>
        <v>0</v>
      </c>
      <c r="E155" s="141">
        <f t="shared" si="151"/>
        <v>0</v>
      </c>
      <c r="F155" s="221" t="e">
        <f t="shared" si="130"/>
        <v>#DIV/0!</v>
      </c>
      <c r="G155" s="221"/>
      <c r="H155" s="582" t="s">
        <v>633</v>
      </c>
      <c r="I155" s="137">
        <f>(($D155*$G155)+$D155)+'การลงระหว่างเดือน ปี 2026'!AO74</f>
        <v>0</v>
      </c>
      <c r="J155" s="105">
        <f>(($D155*$G155)+$D155)+'การลงระหว่างเดือน ปี 2026'!AP74</f>
        <v>0</v>
      </c>
      <c r="K155" s="105">
        <f>(($D155*$G155)+$D155)+'การลงระหว่างเดือน ปี 2026'!AQ74</f>
        <v>0</v>
      </c>
      <c r="L155" s="105">
        <f>(($D155*$G155)+$D155)+'การลงระหว่างเดือน ปี 2026'!AR74</f>
        <v>0</v>
      </c>
      <c r="M155" s="105">
        <f>(($D155*$G155)+$D155)+'การลงระหว่างเดือน ปี 2026'!AS74</f>
        <v>0</v>
      </c>
      <c r="N155" s="233">
        <f>(($D155*$G155)+$D155)+'การลงระหว่างเดือน ปี 2026'!AT74</f>
        <v>0</v>
      </c>
      <c r="O155" s="137">
        <f>(($D155*$G155)+$D155)+'การลงระหว่างเดือน ปี 2026'!AU74</f>
        <v>0</v>
      </c>
      <c r="P155" s="105">
        <f>(($D155*$G155)+$D155)+'การลงระหว่างเดือน ปี 2026'!AV74</f>
        <v>0</v>
      </c>
      <c r="Q155" s="105">
        <f>(($D155*$G155)+$D155)+'การลงระหว่างเดือน ปี 2026'!AW74</f>
        <v>0</v>
      </c>
      <c r="R155" s="105">
        <f>(($D155*$G155)+$D155)+'การลงระหว่างเดือน ปี 2026'!AX74</f>
        <v>0</v>
      </c>
      <c r="S155" s="105">
        <f>(($D155*$G155)+$D155)+'การลงระหว่างเดือน ปี 2026'!AY74</f>
        <v>0</v>
      </c>
      <c r="T155" s="246">
        <f>(($D155*$G155)+$D155)+'การลงระหว่างเดือน ปี 2026'!AZ74</f>
        <v>0</v>
      </c>
      <c r="U155" s="154">
        <f t="shared" si="117"/>
        <v>0</v>
      </c>
      <c r="V155" s="91" t="e">
        <f t="shared" si="132"/>
        <v>#DIV/0!</v>
      </c>
      <c r="W155" s="55" t="e">
        <f t="shared" si="133"/>
        <v>#DIV/0!</v>
      </c>
      <c r="X155" s="55" t="e">
        <f t="shared" si="134"/>
        <v>#DIV/0!</v>
      </c>
      <c r="Y155" s="55" t="e">
        <f t="shared" si="135"/>
        <v>#DIV/0!</v>
      </c>
      <c r="Z155" s="55" t="e">
        <f t="shared" si="136"/>
        <v>#DIV/0!</v>
      </c>
      <c r="AA155" s="55" t="e">
        <f t="shared" si="137"/>
        <v>#DIV/0!</v>
      </c>
      <c r="AB155" s="55" t="e">
        <f t="shared" si="138"/>
        <v>#DIV/0!</v>
      </c>
      <c r="AC155" s="55" t="e">
        <f t="shared" si="139"/>
        <v>#DIV/0!</v>
      </c>
      <c r="AD155" s="55" t="e">
        <f t="shared" si="140"/>
        <v>#DIV/0!</v>
      </c>
      <c r="AE155" s="55" t="e">
        <f t="shared" si="141"/>
        <v>#DIV/0!</v>
      </c>
      <c r="AF155" s="55" t="e">
        <f t="shared" si="142"/>
        <v>#DIV/0!</v>
      </c>
      <c r="AG155" s="55" t="e">
        <f t="shared" si="143"/>
        <v>#DIV/0!</v>
      </c>
      <c r="AH155" s="288" t="e">
        <f t="shared" si="144"/>
        <v>#DIV/0!</v>
      </c>
      <c r="AI155" s="582" t="s">
        <v>633</v>
      </c>
      <c r="AJ155" s="444">
        <f t="shared" si="128"/>
        <v>-1</v>
      </c>
      <c r="AK155" s="408"/>
    </row>
    <row r="156" spans="1:37" x14ac:dyDescent="0.25">
      <c r="A156" s="58">
        <f>'งบกำไรขาดทุน ปี 2025'!A156</f>
        <v>61300009</v>
      </c>
      <c r="B156" s="16" t="str">
        <f>'งบกำไรขาดทุน ปี 2025'!B156</f>
        <v>ค่าเสื่อมราคา - ต้นทุนค่ารื้อถอน</v>
      </c>
      <c r="C156" s="20">
        <f>'งบกำไรขาดทุน ปี 2025'!O156</f>
        <v>0</v>
      </c>
      <c r="D156" s="21">
        <f t="shared" si="129"/>
        <v>0</v>
      </c>
      <c r="E156" s="141">
        <f t="shared" si="151"/>
        <v>0</v>
      </c>
      <c r="F156" s="221" t="e">
        <f t="shared" si="130"/>
        <v>#DIV/0!</v>
      </c>
      <c r="G156" s="221"/>
      <c r="H156" s="582" t="s">
        <v>633</v>
      </c>
      <c r="I156" s="137">
        <f>(($D156*$G156)+$D156)+'การลงระหว่างเดือน ปี 2026'!AO75</f>
        <v>0</v>
      </c>
      <c r="J156" s="105">
        <f>(($D156*$G156)+$D156)+'การลงระหว่างเดือน ปี 2026'!AP75</f>
        <v>0</v>
      </c>
      <c r="K156" s="105">
        <f>(($D156*$G156)+$D156)+'การลงระหว่างเดือน ปี 2026'!AQ75</f>
        <v>0</v>
      </c>
      <c r="L156" s="105">
        <f>(($D156*$G156)+$D156)+'การลงระหว่างเดือน ปี 2026'!AR75</f>
        <v>0</v>
      </c>
      <c r="M156" s="105">
        <f>(($D156*$G156)+$D156)+'การลงระหว่างเดือน ปี 2026'!AS75</f>
        <v>0</v>
      </c>
      <c r="N156" s="233">
        <f>(($D156*$G156)+$D156)+'การลงระหว่างเดือน ปี 2026'!AT75</f>
        <v>0</v>
      </c>
      <c r="O156" s="137">
        <f>(($D156*$G156)+$D156)+'การลงระหว่างเดือน ปี 2026'!AU75</f>
        <v>0</v>
      </c>
      <c r="P156" s="105">
        <f>(($D156*$G156)+$D156)+'การลงระหว่างเดือน ปี 2026'!AV75</f>
        <v>0</v>
      </c>
      <c r="Q156" s="105">
        <f>(($D156*$G156)+$D156)+'การลงระหว่างเดือน ปี 2026'!AW75</f>
        <v>0</v>
      </c>
      <c r="R156" s="105">
        <f>(($D156*$G156)+$D156)+'การลงระหว่างเดือน ปี 2026'!AX75</f>
        <v>0</v>
      </c>
      <c r="S156" s="105">
        <f>(($D156*$G156)+$D156)+'การลงระหว่างเดือน ปี 2026'!AY75</f>
        <v>0</v>
      </c>
      <c r="T156" s="246">
        <f>(($D156*$G156)+$D156)+'การลงระหว่างเดือน ปี 2026'!AZ75</f>
        <v>0</v>
      </c>
      <c r="U156" s="154">
        <f t="shared" si="117"/>
        <v>0</v>
      </c>
      <c r="V156" s="91" t="e">
        <f t="shared" si="132"/>
        <v>#DIV/0!</v>
      </c>
      <c r="W156" s="55" t="e">
        <f t="shared" si="133"/>
        <v>#DIV/0!</v>
      </c>
      <c r="X156" s="55" t="e">
        <f t="shared" si="134"/>
        <v>#DIV/0!</v>
      </c>
      <c r="Y156" s="55" t="e">
        <f t="shared" si="135"/>
        <v>#DIV/0!</v>
      </c>
      <c r="Z156" s="55" t="e">
        <f t="shared" si="136"/>
        <v>#DIV/0!</v>
      </c>
      <c r="AA156" s="55" t="e">
        <f t="shared" si="137"/>
        <v>#DIV/0!</v>
      </c>
      <c r="AB156" s="55" t="e">
        <f t="shared" si="138"/>
        <v>#DIV/0!</v>
      </c>
      <c r="AC156" s="55" t="e">
        <f t="shared" si="139"/>
        <v>#DIV/0!</v>
      </c>
      <c r="AD156" s="55" t="e">
        <f t="shared" si="140"/>
        <v>#DIV/0!</v>
      </c>
      <c r="AE156" s="55" t="e">
        <f t="shared" si="141"/>
        <v>#DIV/0!</v>
      </c>
      <c r="AF156" s="55" t="e">
        <f t="shared" si="142"/>
        <v>#DIV/0!</v>
      </c>
      <c r="AG156" s="55" t="e">
        <f t="shared" si="143"/>
        <v>#DIV/0!</v>
      </c>
      <c r="AH156" s="288" t="e">
        <f t="shared" si="144"/>
        <v>#DIV/0!</v>
      </c>
      <c r="AI156" s="582" t="s">
        <v>633</v>
      </c>
      <c r="AJ156" s="444">
        <f t="shared" si="128"/>
        <v>-1</v>
      </c>
      <c r="AK156" s="408"/>
    </row>
    <row r="157" spans="1:37" x14ac:dyDescent="0.25">
      <c r="A157" s="58">
        <f>'งบกำไรขาดทุน ปี 2025'!A157</f>
        <v>61300011</v>
      </c>
      <c r="B157" s="16" t="str">
        <f>'งบกำไรขาดทุน ปี 2025'!B157</f>
        <v>ค่าเสื่อมราคา - เครื่องมือเครื่องใช้</v>
      </c>
      <c r="C157" s="20">
        <f>'งบกำไรขาดทุน ปี 2025'!O157</f>
        <v>0</v>
      </c>
      <c r="D157" s="21">
        <f t="shared" si="129"/>
        <v>0</v>
      </c>
      <c r="E157" s="141">
        <f t="shared" si="151"/>
        <v>0</v>
      </c>
      <c r="F157" s="221" t="e">
        <f t="shared" si="130"/>
        <v>#DIV/0!</v>
      </c>
      <c r="G157" s="221"/>
      <c r="H157" s="582" t="s">
        <v>633</v>
      </c>
      <c r="I157" s="137">
        <f>(($D157*$G157)+$D157)+'การลงระหว่างเดือน ปี 2026'!AO76</f>
        <v>0</v>
      </c>
      <c r="J157" s="105">
        <f>(($D157*$G157)+$D157)+'การลงระหว่างเดือน ปี 2026'!AP76</f>
        <v>0</v>
      </c>
      <c r="K157" s="105">
        <f>(($D157*$G157)+$D157)+'การลงระหว่างเดือน ปี 2026'!AQ76</f>
        <v>0</v>
      </c>
      <c r="L157" s="105">
        <f>(($D157*$G157)+$D157)+'การลงระหว่างเดือน ปี 2026'!AR76</f>
        <v>0</v>
      </c>
      <c r="M157" s="105">
        <f>(($D157*$G157)+$D157)+'การลงระหว่างเดือน ปี 2026'!AS76</f>
        <v>0</v>
      </c>
      <c r="N157" s="233">
        <f>(($D157*$G157)+$D157)+'การลงระหว่างเดือน ปี 2026'!AT76</f>
        <v>0</v>
      </c>
      <c r="O157" s="137">
        <f>(($D157*$G157)+$D157)+'การลงระหว่างเดือน ปี 2026'!AU76</f>
        <v>0</v>
      </c>
      <c r="P157" s="105">
        <f>(($D157*$G157)+$D157)+'การลงระหว่างเดือน ปี 2026'!AV76</f>
        <v>0</v>
      </c>
      <c r="Q157" s="105">
        <f>(($D157*$G157)+$D157)+'การลงระหว่างเดือน ปี 2026'!AW76</f>
        <v>0</v>
      </c>
      <c r="R157" s="105">
        <f>(($D157*$G157)+$D157)+'การลงระหว่างเดือน ปี 2026'!AX76</f>
        <v>0</v>
      </c>
      <c r="S157" s="105">
        <f>(($D157*$G157)+$D157)+'การลงระหว่างเดือน ปี 2026'!AY76</f>
        <v>0</v>
      </c>
      <c r="T157" s="246">
        <f>(($D157*$G157)+$D157)+'การลงระหว่างเดือน ปี 2026'!AZ76</f>
        <v>0</v>
      </c>
      <c r="U157" s="154">
        <f t="shared" si="117"/>
        <v>0</v>
      </c>
      <c r="V157" s="91" t="e">
        <f t="shared" si="132"/>
        <v>#DIV/0!</v>
      </c>
      <c r="W157" s="55" t="e">
        <f t="shared" si="133"/>
        <v>#DIV/0!</v>
      </c>
      <c r="X157" s="55" t="e">
        <f t="shared" si="134"/>
        <v>#DIV/0!</v>
      </c>
      <c r="Y157" s="55" t="e">
        <f t="shared" si="135"/>
        <v>#DIV/0!</v>
      </c>
      <c r="Z157" s="55" t="e">
        <f t="shared" si="136"/>
        <v>#DIV/0!</v>
      </c>
      <c r="AA157" s="55" t="e">
        <f t="shared" si="137"/>
        <v>#DIV/0!</v>
      </c>
      <c r="AB157" s="55" t="e">
        <f t="shared" si="138"/>
        <v>#DIV/0!</v>
      </c>
      <c r="AC157" s="55" t="e">
        <f t="shared" si="139"/>
        <v>#DIV/0!</v>
      </c>
      <c r="AD157" s="55" t="e">
        <f t="shared" si="140"/>
        <v>#DIV/0!</v>
      </c>
      <c r="AE157" s="55" t="e">
        <f t="shared" si="141"/>
        <v>#DIV/0!</v>
      </c>
      <c r="AF157" s="55" t="e">
        <f t="shared" si="142"/>
        <v>#DIV/0!</v>
      </c>
      <c r="AG157" s="55" t="e">
        <f t="shared" si="143"/>
        <v>#DIV/0!</v>
      </c>
      <c r="AH157" s="288" t="e">
        <f t="shared" si="144"/>
        <v>#DIV/0!</v>
      </c>
      <c r="AI157" s="582" t="s">
        <v>633</v>
      </c>
      <c r="AJ157" s="444">
        <f t="shared" si="128"/>
        <v>-1</v>
      </c>
      <c r="AK157" s="408"/>
    </row>
    <row r="158" spans="1:37" x14ac:dyDescent="0.25">
      <c r="A158" s="58">
        <f>'งบกำไรขาดทุน ปี 2025'!A158</f>
        <v>61300012</v>
      </c>
      <c r="B158" s="16" t="str">
        <f>'งบกำไรขาดทุน ปี 2025'!B158</f>
        <v>ค่าเสื่อมราคา - เฟอร์นิเจอร์ &amp; เครื่องใช้สำนักงาน</v>
      </c>
      <c r="C158" s="20">
        <f>'งบกำไรขาดทุน ปี 2025'!O158</f>
        <v>0</v>
      </c>
      <c r="D158" s="21">
        <f t="shared" si="129"/>
        <v>0</v>
      </c>
      <c r="E158" s="141">
        <f t="shared" si="151"/>
        <v>0</v>
      </c>
      <c r="F158" s="221" t="e">
        <f t="shared" si="130"/>
        <v>#DIV/0!</v>
      </c>
      <c r="G158" s="221"/>
      <c r="H158" s="582" t="s">
        <v>633</v>
      </c>
      <c r="I158" s="137">
        <f>(($D158*$G158)+$D158)+'การลงระหว่างเดือน ปี 2026'!AO77</f>
        <v>0</v>
      </c>
      <c r="J158" s="105">
        <f>(($D158*$G158)+$D158)+'การลงระหว่างเดือน ปี 2026'!AP77</f>
        <v>0</v>
      </c>
      <c r="K158" s="105">
        <f>(($D158*$G158)+$D158)+'การลงระหว่างเดือน ปี 2026'!AQ77</f>
        <v>0</v>
      </c>
      <c r="L158" s="105">
        <f>(($D158*$G158)+$D158)+'การลงระหว่างเดือน ปี 2026'!AR77</f>
        <v>0</v>
      </c>
      <c r="M158" s="105">
        <f>(($D158*$G158)+$D158)+'การลงระหว่างเดือน ปี 2026'!AS77</f>
        <v>0</v>
      </c>
      <c r="N158" s="233">
        <f>(($D158*$G158)+$D158)+'การลงระหว่างเดือน ปี 2026'!AT77</f>
        <v>0</v>
      </c>
      <c r="O158" s="137">
        <f>(($D158*$G158)+$D158)+'การลงระหว่างเดือน ปี 2026'!AU77</f>
        <v>0</v>
      </c>
      <c r="P158" s="105">
        <f>(($D158*$G158)+$D158)+'การลงระหว่างเดือน ปี 2026'!AV77</f>
        <v>0</v>
      </c>
      <c r="Q158" s="105">
        <f>(($D158*$G158)+$D158)+'การลงระหว่างเดือน ปี 2026'!AW77</f>
        <v>0</v>
      </c>
      <c r="R158" s="105">
        <f>(($D158*$G158)+$D158)+'การลงระหว่างเดือน ปี 2026'!AX77</f>
        <v>0</v>
      </c>
      <c r="S158" s="105">
        <f>(($D158*$G158)+$D158)+'การลงระหว่างเดือน ปี 2026'!AY77</f>
        <v>0</v>
      </c>
      <c r="T158" s="246">
        <f>(($D158*$G158)+$D158)+'การลงระหว่างเดือน ปี 2026'!AZ77</f>
        <v>0</v>
      </c>
      <c r="U158" s="154">
        <f t="shared" si="117"/>
        <v>0</v>
      </c>
      <c r="V158" s="91" t="e">
        <f t="shared" si="132"/>
        <v>#DIV/0!</v>
      </c>
      <c r="W158" s="55" t="e">
        <f t="shared" si="133"/>
        <v>#DIV/0!</v>
      </c>
      <c r="X158" s="55" t="e">
        <f t="shared" si="134"/>
        <v>#DIV/0!</v>
      </c>
      <c r="Y158" s="55" t="e">
        <f t="shared" si="135"/>
        <v>#DIV/0!</v>
      </c>
      <c r="Z158" s="55" t="e">
        <f t="shared" si="136"/>
        <v>#DIV/0!</v>
      </c>
      <c r="AA158" s="55" t="e">
        <f t="shared" si="137"/>
        <v>#DIV/0!</v>
      </c>
      <c r="AB158" s="55" t="e">
        <f t="shared" si="138"/>
        <v>#DIV/0!</v>
      </c>
      <c r="AC158" s="55" t="e">
        <f t="shared" si="139"/>
        <v>#DIV/0!</v>
      </c>
      <c r="AD158" s="55" t="e">
        <f t="shared" si="140"/>
        <v>#DIV/0!</v>
      </c>
      <c r="AE158" s="55" t="e">
        <f t="shared" si="141"/>
        <v>#DIV/0!</v>
      </c>
      <c r="AF158" s="55" t="e">
        <f t="shared" si="142"/>
        <v>#DIV/0!</v>
      </c>
      <c r="AG158" s="55" t="e">
        <f t="shared" si="143"/>
        <v>#DIV/0!</v>
      </c>
      <c r="AH158" s="288" t="e">
        <f t="shared" si="144"/>
        <v>#DIV/0!</v>
      </c>
      <c r="AI158" s="582" t="s">
        <v>633</v>
      </c>
      <c r="AJ158" s="444">
        <f t="shared" si="128"/>
        <v>-1</v>
      </c>
      <c r="AK158" s="408"/>
    </row>
    <row r="159" spans="1:37" x14ac:dyDescent="0.25">
      <c r="A159" s="58">
        <f>'งบกำไรขาดทุน ปี 2025'!A159</f>
        <v>61300013</v>
      </c>
      <c r="B159" s="16" t="str">
        <f>'งบกำไรขาดทุน ปี 2025'!B159</f>
        <v>ค่าเสื่อมราคา - ยานพาหนะ</v>
      </c>
      <c r="C159" s="20">
        <f>'งบกำไรขาดทุน ปี 2025'!O159</f>
        <v>0</v>
      </c>
      <c r="D159" s="21">
        <f t="shared" si="129"/>
        <v>0</v>
      </c>
      <c r="E159" s="141">
        <f t="shared" si="151"/>
        <v>0</v>
      </c>
      <c r="F159" s="221" t="e">
        <f t="shared" si="130"/>
        <v>#DIV/0!</v>
      </c>
      <c r="G159" s="221"/>
      <c r="H159" s="582" t="s">
        <v>633</v>
      </c>
      <c r="I159" s="137">
        <f>(($D159*$G159)+$D159)+'การลงระหว่างเดือน ปี 2026'!AO78</f>
        <v>0</v>
      </c>
      <c r="J159" s="105">
        <f>(($D159*$G159)+$D159)+'การลงระหว่างเดือน ปี 2026'!AP78</f>
        <v>0</v>
      </c>
      <c r="K159" s="105">
        <f>(($D159*$G159)+$D159)+'การลงระหว่างเดือน ปี 2026'!AQ78</f>
        <v>0</v>
      </c>
      <c r="L159" s="105">
        <f>(($D159*$G159)+$D159)+'การลงระหว่างเดือน ปี 2026'!AR78</f>
        <v>0</v>
      </c>
      <c r="M159" s="105">
        <f>(($D159*$G159)+$D159)+'การลงระหว่างเดือน ปี 2026'!AS78</f>
        <v>0</v>
      </c>
      <c r="N159" s="233">
        <f>(($D159*$G159)+$D159)+'การลงระหว่างเดือน ปี 2026'!AT78</f>
        <v>0</v>
      </c>
      <c r="O159" s="137">
        <f>(($D159*$G159)+$D159)+'การลงระหว่างเดือน ปี 2026'!AU78</f>
        <v>0</v>
      </c>
      <c r="P159" s="105">
        <f>(($D159*$G159)+$D159)+'การลงระหว่างเดือน ปี 2026'!AV78</f>
        <v>0</v>
      </c>
      <c r="Q159" s="105">
        <f>(($D159*$G159)+$D159)+'การลงระหว่างเดือน ปี 2026'!AW78</f>
        <v>0</v>
      </c>
      <c r="R159" s="105">
        <f>(($D159*$G159)+$D159)+'การลงระหว่างเดือน ปี 2026'!AX78</f>
        <v>0</v>
      </c>
      <c r="S159" s="105">
        <f>(($D159*$G159)+$D159)+'การลงระหว่างเดือน ปี 2026'!AY78</f>
        <v>0</v>
      </c>
      <c r="T159" s="246">
        <f>(($D159*$G159)+$D159)+'การลงระหว่างเดือน ปี 2026'!AZ78</f>
        <v>0</v>
      </c>
      <c r="U159" s="154">
        <f t="shared" si="117"/>
        <v>0</v>
      </c>
      <c r="V159" s="91" t="e">
        <f t="shared" si="132"/>
        <v>#DIV/0!</v>
      </c>
      <c r="W159" s="55" t="e">
        <f t="shared" si="133"/>
        <v>#DIV/0!</v>
      </c>
      <c r="X159" s="55" t="e">
        <f t="shared" si="134"/>
        <v>#DIV/0!</v>
      </c>
      <c r="Y159" s="55" t="e">
        <f t="shared" si="135"/>
        <v>#DIV/0!</v>
      </c>
      <c r="Z159" s="55" t="e">
        <f t="shared" si="136"/>
        <v>#DIV/0!</v>
      </c>
      <c r="AA159" s="55" t="e">
        <f t="shared" si="137"/>
        <v>#DIV/0!</v>
      </c>
      <c r="AB159" s="55" t="e">
        <f t="shared" si="138"/>
        <v>#DIV/0!</v>
      </c>
      <c r="AC159" s="55" t="e">
        <f t="shared" si="139"/>
        <v>#DIV/0!</v>
      </c>
      <c r="AD159" s="55" t="e">
        <f t="shared" si="140"/>
        <v>#DIV/0!</v>
      </c>
      <c r="AE159" s="55" t="e">
        <f t="shared" si="141"/>
        <v>#DIV/0!</v>
      </c>
      <c r="AF159" s="55" t="e">
        <f t="shared" si="142"/>
        <v>#DIV/0!</v>
      </c>
      <c r="AG159" s="55" t="e">
        <f t="shared" si="143"/>
        <v>#DIV/0!</v>
      </c>
      <c r="AH159" s="288" t="e">
        <f t="shared" si="144"/>
        <v>#DIV/0!</v>
      </c>
      <c r="AI159" s="582" t="s">
        <v>633</v>
      </c>
      <c r="AJ159" s="444">
        <f t="shared" si="128"/>
        <v>-1</v>
      </c>
      <c r="AK159" s="408"/>
    </row>
    <row r="160" spans="1:37" x14ac:dyDescent="0.25">
      <c r="A160" s="58">
        <f>'งบกำไรขาดทุน ปี 2025'!A160</f>
        <v>61300007</v>
      </c>
      <c r="B160" s="16" t="str">
        <f>'งบกำไรขาดทุน ปี 2025'!B160</f>
        <v>ค่าเสื่อมราคา - อาคารและสิ่งปลูกสร้าง</v>
      </c>
      <c r="C160" s="20">
        <f>'งบกำไรขาดทุน ปี 2025'!O160</f>
        <v>0</v>
      </c>
      <c r="D160" s="21">
        <f t="shared" si="129"/>
        <v>0</v>
      </c>
      <c r="E160" s="141">
        <f t="shared" si="151"/>
        <v>0</v>
      </c>
      <c r="F160" s="221" t="e">
        <f t="shared" si="130"/>
        <v>#DIV/0!</v>
      </c>
      <c r="G160" s="221"/>
      <c r="H160" s="582" t="s">
        <v>633</v>
      </c>
      <c r="I160" s="137">
        <f>(($D160*$G160)+$D160)+'การลงระหว่างเดือน ปี 2026'!AO79</f>
        <v>0</v>
      </c>
      <c r="J160" s="105">
        <f>(($D160*$G160)+$D160)+'การลงระหว่างเดือน ปี 2026'!AP79</f>
        <v>0</v>
      </c>
      <c r="K160" s="105">
        <f>(($D160*$G160)+$D160)+'การลงระหว่างเดือน ปี 2026'!AQ79</f>
        <v>0</v>
      </c>
      <c r="L160" s="105">
        <f>(($D160*$G160)+$D160)+'การลงระหว่างเดือน ปี 2026'!AR79</f>
        <v>0</v>
      </c>
      <c r="M160" s="105">
        <f>(($D160*$G160)+$D160)+'การลงระหว่างเดือน ปี 2026'!AS79</f>
        <v>0</v>
      </c>
      <c r="N160" s="233">
        <f>(($D160*$G160)+$D160)+'การลงระหว่างเดือน ปี 2026'!AT79</f>
        <v>0</v>
      </c>
      <c r="O160" s="137">
        <f>(($D160*$G160)+$D160)+'การลงระหว่างเดือน ปี 2026'!AU79</f>
        <v>0</v>
      </c>
      <c r="P160" s="105">
        <f>(($D160*$G160)+$D160)+'การลงระหว่างเดือน ปี 2026'!AV79</f>
        <v>0</v>
      </c>
      <c r="Q160" s="105">
        <f>(($D160*$G160)+$D160)+'การลงระหว่างเดือน ปี 2026'!AW79</f>
        <v>0</v>
      </c>
      <c r="R160" s="105">
        <f>(($D160*$G160)+$D160)+'การลงระหว่างเดือน ปี 2026'!AX79</f>
        <v>0</v>
      </c>
      <c r="S160" s="105">
        <f>(($D160*$G160)+$D160)+'การลงระหว่างเดือน ปี 2026'!AY79</f>
        <v>0</v>
      </c>
      <c r="T160" s="246">
        <f>(($D160*$G160)+$D160)+'การลงระหว่างเดือน ปี 2026'!AZ79</f>
        <v>0</v>
      </c>
      <c r="U160" s="154">
        <f t="shared" si="117"/>
        <v>0</v>
      </c>
      <c r="V160" s="91" t="e">
        <f t="shared" si="132"/>
        <v>#DIV/0!</v>
      </c>
      <c r="W160" s="55" t="e">
        <f t="shared" si="133"/>
        <v>#DIV/0!</v>
      </c>
      <c r="X160" s="55" t="e">
        <f t="shared" si="134"/>
        <v>#DIV/0!</v>
      </c>
      <c r="Y160" s="55" t="e">
        <f t="shared" si="135"/>
        <v>#DIV/0!</v>
      </c>
      <c r="Z160" s="55" t="e">
        <f t="shared" si="136"/>
        <v>#DIV/0!</v>
      </c>
      <c r="AA160" s="55" t="e">
        <f t="shared" si="137"/>
        <v>#DIV/0!</v>
      </c>
      <c r="AB160" s="55" t="e">
        <f t="shared" si="138"/>
        <v>#DIV/0!</v>
      </c>
      <c r="AC160" s="55" t="e">
        <f t="shared" si="139"/>
        <v>#DIV/0!</v>
      </c>
      <c r="AD160" s="55" t="e">
        <f t="shared" si="140"/>
        <v>#DIV/0!</v>
      </c>
      <c r="AE160" s="55" t="e">
        <f t="shared" si="141"/>
        <v>#DIV/0!</v>
      </c>
      <c r="AF160" s="55" t="e">
        <f t="shared" si="142"/>
        <v>#DIV/0!</v>
      </c>
      <c r="AG160" s="55" t="e">
        <f t="shared" si="143"/>
        <v>#DIV/0!</v>
      </c>
      <c r="AH160" s="288" t="e">
        <f t="shared" si="144"/>
        <v>#DIV/0!</v>
      </c>
      <c r="AI160" s="582" t="s">
        <v>633</v>
      </c>
      <c r="AJ160" s="444">
        <f t="shared" si="128"/>
        <v>-1</v>
      </c>
      <c r="AK160" s="408"/>
    </row>
    <row r="161" spans="1:37" x14ac:dyDescent="0.25">
      <c r="A161" s="58">
        <f>'งบกำไรขาดทุน ปี 2025'!A161</f>
        <v>61300014</v>
      </c>
      <c r="B161" s="16" t="str">
        <f>'งบกำไรขาดทุน ปี 2025'!B161</f>
        <v>ค่าเสื่อมราคา-สินทรัพย์สิทธิการใช้</v>
      </c>
      <c r="C161" s="20">
        <f>'งบกำไรขาดทุน ปี 2025'!O161</f>
        <v>0</v>
      </c>
      <c r="D161" s="21">
        <f t="shared" si="129"/>
        <v>0</v>
      </c>
      <c r="E161" s="141">
        <f t="shared" si="151"/>
        <v>0</v>
      </c>
      <c r="F161" s="221" t="e">
        <f t="shared" si="130"/>
        <v>#DIV/0!</v>
      </c>
      <c r="G161" s="221"/>
      <c r="H161" s="582" t="s">
        <v>633</v>
      </c>
      <c r="I161" s="137">
        <f t="shared" ref="I161:T163" si="153">(($D161*$G161)+$D161)</f>
        <v>0</v>
      </c>
      <c r="J161" s="105">
        <f t="shared" si="153"/>
        <v>0</v>
      </c>
      <c r="K161" s="105">
        <f t="shared" si="153"/>
        <v>0</v>
      </c>
      <c r="L161" s="105">
        <f t="shared" si="153"/>
        <v>0</v>
      </c>
      <c r="M161" s="105">
        <f t="shared" si="153"/>
        <v>0</v>
      </c>
      <c r="N161" s="233">
        <f t="shared" si="153"/>
        <v>0</v>
      </c>
      <c r="O161" s="137">
        <f t="shared" si="153"/>
        <v>0</v>
      </c>
      <c r="P161" s="105">
        <f t="shared" si="153"/>
        <v>0</v>
      </c>
      <c r="Q161" s="105">
        <f t="shared" si="153"/>
        <v>0</v>
      </c>
      <c r="R161" s="105">
        <f t="shared" si="153"/>
        <v>0</v>
      </c>
      <c r="S161" s="105">
        <f t="shared" si="153"/>
        <v>0</v>
      </c>
      <c r="T161" s="246">
        <f t="shared" si="153"/>
        <v>0</v>
      </c>
      <c r="U161" s="154">
        <f t="shared" si="117"/>
        <v>0</v>
      </c>
      <c r="V161" s="91" t="e">
        <f t="shared" si="132"/>
        <v>#DIV/0!</v>
      </c>
      <c r="W161" s="55" t="e">
        <f t="shared" si="133"/>
        <v>#DIV/0!</v>
      </c>
      <c r="X161" s="55" t="e">
        <f t="shared" si="134"/>
        <v>#DIV/0!</v>
      </c>
      <c r="Y161" s="55" t="e">
        <f t="shared" si="135"/>
        <v>#DIV/0!</v>
      </c>
      <c r="Z161" s="55" t="e">
        <f t="shared" si="136"/>
        <v>#DIV/0!</v>
      </c>
      <c r="AA161" s="55" t="e">
        <f t="shared" si="137"/>
        <v>#DIV/0!</v>
      </c>
      <c r="AB161" s="55" t="e">
        <f t="shared" si="138"/>
        <v>#DIV/0!</v>
      </c>
      <c r="AC161" s="55" t="e">
        <f t="shared" si="139"/>
        <v>#DIV/0!</v>
      </c>
      <c r="AD161" s="55" t="e">
        <f t="shared" si="140"/>
        <v>#DIV/0!</v>
      </c>
      <c r="AE161" s="55" t="e">
        <f t="shared" si="141"/>
        <v>#DIV/0!</v>
      </c>
      <c r="AF161" s="55" t="e">
        <f t="shared" si="142"/>
        <v>#DIV/0!</v>
      </c>
      <c r="AG161" s="55" t="e">
        <f t="shared" si="143"/>
        <v>#DIV/0!</v>
      </c>
      <c r="AH161" s="288" t="e">
        <f t="shared" si="144"/>
        <v>#DIV/0!</v>
      </c>
      <c r="AI161" s="582" t="s">
        <v>633</v>
      </c>
      <c r="AJ161" s="444">
        <f t="shared" si="128"/>
        <v>-1</v>
      </c>
      <c r="AK161" s="408"/>
    </row>
    <row r="162" spans="1:37" x14ac:dyDescent="0.25">
      <c r="A162" s="58">
        <f>'งบกำไรขาดทุน ปี 2025'!A162</f>
        <v>61300015</v>
      </c>
      <c r="B162" s="16" t="str">
        <f>'งบกำไรขาดทุน ปี 2025'!B162</f>
        <v>ค่าเสื่อมราคา-อาคารและสิ่งปลูกสร้าง-IP</v>
      </c>
      <c r="C162" s="20">
        <f>'งบกำไรขาดทุน ปี 2025'!O162</f>
        <v>0</v>
      </c>
      <c r="D162" s="21">
        <f t="shared" si="129"/>
        <v>0</v>
      </c>
      <c r="E162" s="141">
        <f t="shared" si="151"/>
        <v>0</v>
      </c>
      <c r="F162" s="221" t="e">
        <f t="shared" si="130"/>
        <v>#DIV/0!</v>
      </c>
      <c r="G162" s="221"/>
      <c r="H162" s="582" t="s">
        <v>633</v>
      </c>
      <c r="I162" s="137">
        <f t="shared" si="153"/>
        <v>0</v>
      </c>
      <c r="J162" s="105">
        <f t="shared" si="153"/>
        <v>0</v>
      </c>
      <c r="K162" s="105">
        <f t="shared" si="153"/>
        <v>0</v>
      </c>
      <c r="L162" s="105">
        <f t="shared" si="153"/>
        <v>0</v>
      </c>
      <c r="M162" s="105">
        <f t="shared" si="153"/>
        <v>0</v>
      </c>
      <c r="N162" s="233">
        <f t="shared" si="153"/>
        <v>0</v>
      </c>
      <c r="O162" s="137">
        <f t="shared" si="153"/>
        <v>0</v>
      </c>
      <c r="P162" s="105">
        <f t="shared" si="153"/>
        <v>0</v>
      </c>
      <c r="Q162" s="105">
        <f t="shared" si="153"/>
        <v>0</v>
      </c>
      <c r="R162" s="105">
        <f t="shared" si="153"/>
        <v>0</v>
      </c>
      <c r="S162" s="105">
        <f t="shared" si="153"/>
        <v>0</v>
      </c>
      <c r="T162" s="246">
        <f t="shared" si="153"/>
        <v>0</v>
      </c>
      <c r="U162" s="154">
        <f t="shared" si="117"/>
        <v>0</v>
      </c>
      <c r="V162" s="91" t="e">
        <f t="shared" si="132"/>
        <v>#DIV/0!</v>
      </c>
      <c r="W162" s="55" t="e">
        <f t="shared" si="133"/>
        <v>#DIV/0!</v>
      </c>
      <c r="X162" s="55" t="e">
        <f t="shared" si="134"/>
        <v>#DIV/0!</v>
      </c>
      <c r="Y162" s="55" t="e">
        <f t="shared" si="135"/>
        <v>#DIV/0!</v>
      </c>
      <c r="Z162" s="55" t="e">
        <f t="shared" si="136"/>
        <v>#DIV/0!</v>
      </c>
      <c r="AA162" s="55" t="e">
        <f t="shared" si="137"/>
        <v>#DIV/0!</v>
      </c>
      <c r="AB162" s="55" t="e">
        <f t="shared" si="138"/>
        <v>#DIV/0!</v>
      </c>
      <c r="AC162" s="55" t="e">
        <f t="shared" si="139"/>
        <v>#DIV/0!</v>
      </c>
      <c r="AD162" s="55" t="e">
        <f t="shared" si="140"/>
        <v>#DIV/0!</v>
      </c>
      <c r="AE162" s="55" t="e">
        <f t="shared" si="141"/>
        <v>#DIV/0!</v>
      </c>
      <c r="AF162" s="55" t="e">
        <f t="shared" si="142"/>
        <v>#DIV/0!</v>
      </c>
      <c r="AG162" s="55" t="e">
        <f t="shared" si="143"/>
        <v>#DIV/0!</v>
      </c>
      <c r="AH162" s="288" t="e">
        <f t="shared" si="144"/>
        <v>#DIV/0!</v>
      </c>
      <c r="AI162" s="582" t="s">
        <v>633</v>
      </c>
      <c r="AJ162" s="444">
        <f t="shared" si="128"/>
        <v>-1</v>
      </c>
      <c r="AK162" s="408"/>
    </row>
    <row r="163" spans="1:37" x14ac:dyDescent="0.25">
      <c r="A163" s="58">
        <f>'งบกำไรขาดทุน ปี 2025'!A163</f>
        <v>61300016</v>
      </c>
      <c r="B163" s="16" t="str">
        <f>'งบกำไรขาดทุน ปี 2025'!B163</f>
        <v>ค่าเสื่อมราคา-สินทรัพย์สิทธิการใช้-IP</v>
      </c>
      <c r="C163" s="121">
        <f>'งบกำไรขาดทุน ปี 2025'!O163</f>
        <v>0</v>
      </c>
      <c r="D163" s="136">
        <f t="shared" si="129"/>
        <v>0</v>
      </c>
      <c r="E163" s="145">
        <f t="shared" si="151"/>
        <v>0</v>
      </c>
      <c r="F163" s="96" t="e">
        <f t="shared" si="130"/>
        <v>#DIV/0!</v>
      </c>
      <c r="G163" s="96"/>
      <c r="H163" s="582" t="s">
        <v>633</v>
      </c>
      <c r="I163" s="138">
        <f t="shared" si="153"/>
        <v>0</v>
      </c>
      <c r="J163" s="106">
        <f t="shared" si="153"/>
        <v>0</v>
      </c>
      <c r="K163" s="106">
        <f t="shared" si="153"/>
        <v>0</v>
      </c>
      <c r="L163" s="106">
        <f t="shared" si="153"/>
        <v>0</v>
      </c>
      <c r="M163" s="106">
        <f t="shared" si="153"/>
        <v>0</v>
      </c>
      <c r="N163" s="239">
        <f t="shared" si="153"/>
        <v>0</v>
      </c>
      <c r="O163" s="138">
        <f t="shared" si="153"/>
        <v>0</v>
      </c>
      <c r="P163" s="106">
        <f t="shared" si="153"/>
        <v>0</v>
      </c>
      <c r="Q163" s="106">
        <f t="shared" si="153"/>
        <v>0</v>
      </c>
      <c r="R163" s="106">
        <f t="shared" si="153"/>
        <v>0</v>
      </c>
      <c r="S163" s="106">
        <f t="shared" si="153"/>
        <v>0</v>
      </c>
      <c r="T163" s="252">
        <f t="shared" si="153"/>
        <v>0</v>
      </c>
      <c r="U163" s="157">
        <f t="shared" si="117"/>
        <v>0</v>
      </c>
      <c r="V163" s="92" t="e">
        <f t="shared" si="132"/>
        <v>#DIV/0!</v>
      </c>
      <c r="W163" s="93" t="e">
        <f t="shared" si="133"/>
        <v>#DIV/0!</v>
      </c>
      <c r="X163" s="93" t="e">
        <f t="shared" si="134"/>
        <v>#DIV/0!</v>
      </c>
      <c r="Y163" s="93" t="e">
        <f t="shared" si="135"/>
        <v>#DIV/0!</v>
      </c>
      <c r="Z163" s="93" t="e">
        <f t="shared" si="136"/>
        <v>#DIV/0!</v>
      </c>
      <c r="AA163" s="93" t="e">
        <f t="shared" si="137"/>
        <v>#DIV/0!</v>
      </c>
      <c r="AB163" s="93" t="e">
        <f t="shared" si="138"/>
        <v>#DIV/0!</v>
      </c>
      <c r="AC163" s="93" t="e">
        <f t="shared" si="139"/>
        <v>#DIV/0!</v>
      </c>
      <c r="AD163" s="93" t="e">
        <f t="shared" si="140"/>
        <v>#DIV/0!</v>
      </c>
      <c r="AE163" s="93" t="e">
        <f t="shared" si="141"/>
        <v>#DIV/0!</v>
      </c>
      <c r="AF163" s="93" t="e">
        <f t="shared" si="142"/>
        <v>#DIV/0!</v>
      </c>
      <c r="AG163" s="93" t="e">
        <f t="shared" si="143"/>
        <v>#DIV/0!</v>
      </c>
      <c r="AH163" s="294" t="e">
        <f t="shared" si="144"/>
        <v>#DIV/0!</v>
      </c>
      <c r="AI163" s="582" t="s">
        <v>633</v>
      </c>
      <c r="AJ163" s="444">
        <f t="shared" si="128"/>
        <v>-1</v>
      </c>
      <c r="AK163" s="408"/>
    </row>
    <row r="164" spans="1:37" s="12" customFormat="1" x14ac:dyDescent="0.25">
      <c r="A164" s="161">
        <f>'งบกำไรขาดทุน ปี 2025'!A164</f>
        <v>0</v>
      </c>
      <c r="B164" s="15" t="str">
        <f>'งบกำไรขาดทุน ปี 2025'!B164</f>
        <v>รวมค่าเสื่อมราคา</v>
      </c>
      <c r="C164" s="26">
        <f>'งบกำไรขาดทุน ปี 2025'!O164</f>
        <v>0</v>
      </c>
      <c r="D164" s="27">
        <f t="shared" si="129"/>
        <v>0</v>
      </c>
      <c r="E164" s="146">
        <f t="shared" si="151"/>
        <v>0</v>
      </c>
      <c r="F164" s="224" t="e">
        <f t="shared" si="130"/>
        <v>#DIV/0!</v>
      </c>
      <c r="G164" s="224"/>
      <c r="H164" s="582"/>
      <c r="I164" s="139">
        <f t="shared" ref="I164:U164" si="154">SUM(I149:I163)</f>
        <v>0</v>
      </c>
      <c r="J164" s="107">
        <f t="shared" si="154"/>
        <v>0</v>
      </c>
      <c r="K164" s="107">
        <f t="shared" si="154"/>
        <v>0</v>
      </c>
      <c r="L164" s="107">
        <f t="shared" si="154"/>
        <v>0</v>
      </c>
      <c r="M164" s="107">
        <f t="shared" si="154"/>
        <v>0</v>
      </c>
      <c r="N164" s="235">
        <f t="shared" si="154"/>
        <v>0</v>
      </c>
      <c r="O164" s="139">
        <f t="shared" si="154"/>
        <v>0</v>
      </c>
      <c r="P164" s="107">
        <f t="shared" si="154"/>
        <v>0</v>
      </c>
      <c r="Q164" s="107">
        <f t="shared" si="154"/>
        <v>0</v>
      </c>
      <c r="R164" s="107">
        <f t="shared" si="154"/>
        <v>0</v>
      </c>
      <c r="S164" s="107">
        <f t="shared" si="154"/>
        <v>0</v>
      </c>
      <c r="T164" s="248">
        <f t="shared" si="154"/>
        <v>0</v>
      </c>
      <c r="U164" s="107">
        <f t="shared" si="154"/>
        <v>0</v>
      </c>
      <c r="V164" s="94" t="e">
        <f t="shared" si="132"/>
        <v>#DIV/0!</v>
      </c>
      <c r="W164" s="56" t="e">
        <f t="shared" si="133"/>
        <v>#DIV/0!</v>
      </c>
      <c r="X164" s="56" t="e">
        <f t="shared" si="134"/>
        <v>#DIV/0!</v>
      </c>
      <c r="Y164" s="56" t="e">
        <f t="shared" si="135"/>
        <v>#DIV/0!</v>
      </c>
      <c r="Z164" s="56" t="e">
        <f t="shared" si="136"/>
        <v>#DIV/0!</v>
      </c>
      <c r="AA164" s="56" t="e">
        <f t="shared" si="137"/>
        <v>#DIV/0!</v>
      </c>
      <c r="AB164" s="56" t="e">
        <f t="shared" si="138"/>
        <v>#DIV/0!</v>
      </c>
      <c r="AC164" s="56" t="e">
        <f t="shared" si="139"/>
        <v>#DIV/0!</v>
      </c>
      <c r="AD164" s="56" t="e">
        <f t="shared" si="140"/>
        <v>#DIV/0!</v>
      </c>
      <c r="AE164" s="56" t="e">
        <f t="shared" si="141"/>
        <v>#DIV/0!</v>
      </c>
      <c r="AF164" s="56" t="e">
        <f t="shared" si="142"/>
        <v>#DIV/0!</v>
      </c>
      <c r="AG164" s="56" t="e">
        <f t="shared" si="143"/>
        <v>#DIV/0!</v>
      </c>
      <c r="AH164" s="290" t="e">
        <f t="shared" si="144"/>
        <v>#DIV/0!</v>
      </c>
      <c r="AI164" s="582"/>
      <c r="AJ164" s="444">
        <f t="shared" si="128"/>
        <v>-1</v>
      </c>
      <c r="AK164" s="408"/>
    </row>
    <row r="165" spans="1:37" x14ac:dyDescent="0.25">
      <c r="A165" s="58">
        <f>'งบกำไรขาดทุน ปี 2025'!A165</f>
        <v>0</v>
      </c>
      <c r="B165" s="16" t="str">
        <f>'งบกำไรขาดทุน ปี 2025'!B165</f>
        <v>Asset Movement</v>
      </c>
      <c r="C165" s="215">
        <f>'งบกำไรขาดทุน ปี 2025'!O165</f>
        <v>0</v>
      </c>
      <c r="D165" s="188"/>
      <c r="E165" s="189"/>
      <c r="F165" s="225"/>
      <c r="G165" s="699"/>
      <c r="H165" s="580"/>
      <c r="I165" s="190"/>
      <c r="J165" s="181"/>
      <c r="K165" s="181"/>
      <c r="L165" s="181"/>
      <c r="M165" s="181"/>
      <c r="N165" s="236"/>
      <c r="O165" s="190"/>
      <c r="P165" s="181"/>
      <c r="Q165" s="181"/>
      <c r="R165" s="181"/>
      <c r="S165" s="181"/>
      <c r="T165" s="249"/>
      <c r="U165" s="182"/>
      <c r="V165" s="183"/>
      <c r="W165" s="184"/>
      <c r="X165" s="184"/>
      <c r="Y165" s="184"/>
      <c r="Z165" s="184"/>
      <c r="AA165" s="184"/>
      <c r="AB165" s="184"/>
      <c r="AC165" s="184"/>
      <c r="AD165" s="184"/>
      <c r="AE165" s="184"/>
      <c r="AF165" s="184"/>
      <c r="AG165" s="184"/>
      <c r="AH165" s="291"/>
      <c r="AI165" s="580"/>
      <c r="AJ165" s="444">
        <f t="shared" si="128"/>
        <v>-1</v>
      </c>
      <c r="AK165" s="408"/>
    </row>
    <row r="166" spans="1:37" x14ac:dyDescent="0.25">
      <c r="A166" s="58">
        <f>'งบกำไรขาดทุน ปี 2025'!A166</f>
        <v>61100003</v>
      </c>
      <c r="B166" s="16" t="str">
        <f>'งบกำไรขาดทุน ปี 2025'!B166</f>
        <v>กำไร(ขาดทุน)จากการขายทรัพย์สินถาวร</v>
      </c>
      <c r="C166" s="20">
        <f>'งบกำไรขาดทุน ปี 2025'!O166</f>
        <v>0</v>
      </c>
      <c r="D166" s="21">
        <f t="shared" si="129"/>
        <v>0</v>
      </c>
      <c r="E166" s="141">
        <f>D166*$E$5</f>
        <v>0</v>
      </c>
      <c r="F166" s="221" t="e">
        <f t="shared" si="130"/>
        <v>#DIV/0!</v>
      </c>
      <c r="G166" s="700"/>
      <c r="H166" s="582" t="s">
        <v>633</v>
      </c>
      <c r="I166" s="137">
        <f>'การลงระหว่างเดือน ปี 2026'!AO135</f>
        <v>0</v>
      </c>
      <c r="J166" s="105">
        <f>'การลงระหว่างเดือน ปี 2026'!AP135</f>
        <v>0</v>
      </c>
      <c r="K166" s="105">
        <f>'การลงระหว่างเดือน ปี 2026'!AQ135</f>
        <v>0</v>
      </c>
      <c r="L166" s="105">
        <f>'การลงระหว่างเดือน ปี 2026'!AR135</f>
        <v>0</v>
      </c>
      <c r="M166" s="105">
        <f>'การลงระหว่างเดือน ปี 2026'!AS135</f>
        <v>0</v>
      </c>
      <c r="N166" s="233">
        <f>'การลงระหว่างเดือน ปี 2026'!AT135</f>
        <v>0</v>
      </c>
      <c r="O166" s="137">
        <f>'การลงระหว่างเดือน ปี 2026'!AU135</f>
        <v>0</v>
      </c>
      <c r="P166" s="105">
        <f>'การลงระหว่างเดือน ปี 2026'!AV135</f>
        <v>0</v>
      </c>
      <c r="Q166" s="105">
        <f>'การลงระหว่างเดือน ปี 2026'!AW135</f>
        <v>0</v>
      </c>
      <c r="R166" s="105">
        <f>'การลงระหว่างเดือน ปี 2026'!AX135</f>
        <v>0</v>
      </c>
      <c r="S166" s="105">
        <f>'การลงระหว่างเดือน ปี 2026'!AY135</f>
        <v>0</v>
      </c>
      <c r="T166" s="246">
        <f>'การลงระหว่างเดือน ปี 2026'!AZ135</f>
        <v>0</v>
      </c>
      <c r="U166" s="154">
        <f t="shared" ref="U166:U185" si="155">SUM(I166:T166)</f>
        <v>0</v>
      </c>
      <c r="V166" s="91" t="e">
        <f t="shared" si="132"/>
        <v>#DIV/0!</v>
      </c>
      <c r="W166" s="55" t="e">
        <f t="shared" si="133"/>
        <v>#DIV/0!</v>
      </c>
      <c r="X166" s="55" t="e">
        <f t="shared" si="134"/>
        <v>#DIV/0!</v>
      </c>
      <c r="Y166" s="55" t="e">
        <f t="shared" si="135"/>
        <v>#DIV/0!</v>
      </c>
      <c r="Z166" s="55" t="e">
        <f t="shared" si="136"/>
        <v>#DIV/0!</v>
      </c>
      <c r="AA166" s="55" t="e">
        <f t="shared" si="137"/>
        <v>#DIV/0!</v>
      </c>
      <c r="AB166" s="55" t="e">
        <f t="shared" si="138"/>
        <v>#DIV/0!</v>
      </c>
      <c r="AC166" s="55" t="e">
        <f t="shared" si="139"/>
        <v>#DIV/0!</v>
      </c>
      <c r="AD166" s="55" t="e">
        <f t="shared" si="140"/>
        <v>#DIV/0!</v>
      </c>
      <c r="AE166" s="55" t="e">
        <f t="shared" si="141"/>
        <v>#DIV/0!</v>
      </c>
      <c r="AF166" s="55" t="e">
        <f t="shared" si="142"/>
        <v>#DIV/0!</v>
      </c>
      <c r="AG166" s="55" t="e">
        <f t="shared" si="143"/>
        <v>#DIV/0!</v>
      </c>
      <c r="AH166" s="288" t="e">
        <f t="shared" si="144"/>
        <v>#DIV/0!</v>
      </c>
      <c r="AI166" s="582" t="s">
        <v>633</v>
      </c>
      <c r="AJ166" s="444">
        <f t="shared" si="128"/>
        <v>-1</v>
      </c>
      <c r="AK166" s="408"/>
    </row>
    <row r="167" spans="1:37" x14ac:dyDescent="0.25">
      <c r="A167" s="58">
        <f>'งบกำไรขาดทุน ปี 2025'!A167</f>
        <v>61100007</v>
      </c>
      <c r="B167" s="16" t="str">
        <f>'งบกำไรขาดทุน ปี 2025'!B167</f>
        <v>ขาดทุนจากการตัดจำหน่ายทรัพย์สิน</v>
      </c>
      <c r="C167" s="121">
        <f>'งบกำไรขาดทุน ปี 2025'!O167</f>
        <v>0</v>
      </c>
      <c r="D167" s="136">
        <f t="shared" si="129"/>
        <v>0</v>
      </c>
      <c r="E167" s="145">
        <f>D167*$E$5</f>
        <v>0</v>
      </c>
      <c r="F167" s="96" t="e">
        <f t="shared" si="130"/>
        <v>#DIV/0!</v>
      </c>
      <c r="G167" s="96"/>
      <c r="H167" s="582" t="s">
        <v>633</v>
      </c>
      <c r="I167" s="138">
        <f>(($D167*$G167)+$D167)</f>
        <v>0</v>
      </c>
      <c r="J167" s="106" t="e">
        <f t="shared" ref="J167" si="156">($J$18*(F167+G167))</f>
        <v>#DIV/0!</v>
      </c>
      <c r="K167" s="106" t="e">
        <f t="shared" ref="K167" si="157">($K$18*(F167+G167))</f>
        <v>#DIV/0!</v>
      </c>
      <c r="L167" s="106" t="e">
        <f t="shared" ref="L167" si="158">($L$18*(F167+G167))</f>
        <v>#DIV/0!</v>
      </c>
      <c r="M167" s="106" t="e">
        <f t="shared" ref="M167" si="159">($M$18*(F167+G167))</f>
        <v>#DIV/0!</v>
      </c>
      <c r="N167" s="239" t="e">
        <f t="shared" ref="N167" si="160">($N$18*(F167+G167))</f>
        <v>#DIV/0!</v>
      </c>
      <c r="O167" s="138" t="e">
        <f t="shared" ref="O167" si="161">($O$18*(F167+G167))</f>
        <v>#DIV/0!</v>
      </c>
      <c r="P167" s="106" t="e">
        <f t="shared" ref="P167" si="162">($P$18*(F167+G167))</f>
        <v>#DIV/0!</v>
      </c>
      <c r="Q167" s="106" t="e">
        <f t="shared" ref="Q167" si="163">($Q$18*(F167+G167))</f>
        <v>#DIV/0!</v>
      </c>
      <c r="R167" s="106" t="e">
        <f t="shared" ref="R167" si="164">($R$18*(F167+G167))</f>
        <v>#DIV/0!</v>
      </c>
      <c r="S167" s="106" t="e">
        <f t="shared" ref="S167" si="165">($S$18*(F167+G167))</f>
        <v>#DIV/0!</v>
      </c>
      <c r="T167" s="252" t="e">
        <f t="shared" ref="T167" si="166">($T$18*(F167+G167))</f>
        <v>#DIV/0!</v>
      </c>
      <c r="U167" s="157" t="e">
        <f t="shared" si="155"/>
        <v>#DIV/0!</v>
      </c>
      <c r="V167" s="92" t="e">
        <f t="shared" si="132"/>
        <v>#DIV/0!</v>
      </c>
      <c r="W167" s="93" t="e">
        <f t="shared" si="133"/>
        <v>#DIV/0!</v>
      </c>
      <c r="X167" s="93" t="e">
        <f t="shared" si="134"/>
        <v>#DIV/0!</v>
      </c>
      <c r="Y167" s="93" t="e">
        <f t="shared" si="135"/>
        <v>#DIV/0!</v>
      </c>
      <c r="Z167" s="93" t="e">
        <f t="shared" si="136"/>
        <v>#DIV/0!</v>
      </c>
      <c r="AA167" s="93" t="e">
        <f t="shared" si="137"/>
        <v>#DIV/0!</v>
      </c>
      <c r="AB167" s="93" t="e">
        <f t="shared" si="138"/>
        <v>#DIV/0!</v>
      </c>
      <c r="AC167" s="93" t="e">
        <f t="shared" si="139"/>
        <v>#DIV/0!</v>
      </c>
      <c r="AD167" s="93" t="e">
        <f t="shared" si="140"/>
        <v>#DIV/0!</v>
      </c>
      <c r="AE167" s="93" t="e">
        <f t="shared" si="141"/>
        <v>#DIV/0!</v>
      </c>
      <c r="AF167" s="93" t="e">
        <f t="shared" si="142"/>
        <v>#DIV/0!</v>
      </c>
      <c r="AG167" s="93" t="e">
        <f t="shared" si="143"/>
        <v>#DIV/0!</v>
      </c>
      <c r="AH167" s="294" t="e">
        <f t="shared" si="144"/>
        <v>#DIV/0!</v>
      </c>
      <c r="AI167" s="582" t="s">
        <v>633</v>
      </c>
      <c r="AJ167" s="444">
        <f t="shared" si="128"/>
        <v>-1</v>
      </c>
      <c r="AK167" s="408"/>
    </row>
    <row r="168" spans="1:37" s="12" customFormat="1" x14ac:dyDescent="0.25">
      <c r="A168" s="161">
        <f>'งบกำไรขาดทุน ปี 2025'!A168</f>
        <v>0</v>
      </c>
      <c r="B168" s="15" t="str">
        <f>'งบกำไรขาดทุน ปี 2025'!B168</f>
        <v>รวม Asset Movement</v>
      </c>
      <c r="C168" s="26">
        <f>'งบกำไรขาดทุน ปี 2025'!O168</f>
        <v>0</v>
      </c>
      <c r="D168" s="27">
        <f t="shared" si="129"/>
        <v>0</v>
      </c>
      <c r="E168" s="146">
        <f>D168*$E$5</f>
        <v>0</v>
      </c>
      <c r="F168" s="224" t="e">
        <f t="shared" si="130"/>
        <v>#DIV/0!</v>
      </c>
      <c r="G168" s="224"/>
      <c r="H168" s="582"/>
      <c r="I168" s="139">
        <f t="shared" ref="I168:U168" si="167">SUM(I166:I167)</f>
        <v>0</v>
      </c>
      <c r="J168" s="107" t="e">
        <f t="shared" si="167"/>
        <v>#DIV/0!</v>
      </c>
      <c r="K168" s="107" t="e">
        <f t="shared" si="167"/>
        <v>#DIV/0!</v>
      </c>
      <c r="L168" s="107" t="e">
        <f t="shared" si="167"/>
        <v>#DIV/0!</v>
      </c>
      <c r="M168" s="107" t="e">
        <f t="shared" si="167"/>
        <v>#DIV/0!</v>
      </c>
      <c r="N168" s="235" t="e">
        <f t="shared" si="167"/>
        <v>#DIV/0!</v>
      </c>
      <c r="O168" s="139" t="e">
        <f t="shared" si="167"/>
        <v>#DIV/0!</v>
      </c>
      <c r="P168" s="107" t="e">
        <f t="shared" si="167"/>
        <v>#DIV/0!</v>
      </c>
      <c r="Q168" s="107" t="e">
        <f t="shared" si="167"/>
        <v>#DIV/0!</v>
      </c>
      <c r="R168" s="107" t="e">
        <f t="shared" si="167"/>
        <v>#DIV/0!</v>
      </c>
      <c r="S168" s="107" t="e">
        <f t="shared" si="167"/>
        <v>#DIV/0!</v>
      </c>
      <c r="T168" s="248" t="e">
        <f t="shared" si="167"/>
        <v>#DIV/0!</v>
      </c>
      <c r="U168" s="107" t="e">
        <f t="shared" si="167"/>
        <v>#DIV/0!</v>
      </c>
      <c r="V168" s="94" t="e">
        <f t="shared" si="132"/>
        <v>#DIV/0!</v>
      </c>
      <c r="W168" s="56" t="e">
        <f t="shared" si="133"/>
        <v>#DIV/0!</v>
      </c>
      <c r="X168" s="56" t="e">
        <f t="shared" si="134"/>
        <v>#DIV/0!</v>
      </c>
      <c r="Y168" s="56" t="e">
        <f t="shared" si="135"/>
        <v>#DIV/0!</v>
      </c>
      <c r="Z168" s="56" t="e">
        <f t="shared" si="136"/>
        <v>#DIV/0!</v>
      </c>
      <c r="AA168" s="56" t="e">
        <f t="shared" si="137"/>
        <v>#DIV/0!</v>
      </c>
      <c r="AB168" s="56" t="e">
        <f t="shared" si="138"/>
        <v>#DIV/0!</v>
      </c>
      <c r="AC168" s="56" t="e">
        <f t="shared" si="139"/>
        <v>#DIV/0!</v>
      </c>
      <c r="AD168" s="56" t="e">
        <f t="shared" si="140"/>
        <v>#DIV/0!</v>
      </c>
      <c r="AE168" s="56" t="e">
        <f t="shared" si="141"/>
        <v>#DIV/0!</v>
      </c>
      <c r="AF168" s="56" t="e">
        <f t="shared" si="142"/>
        <v>#DIV/0!</v>
      </c>
      <c r="AG168" s="56" t="e">
        <f t="shared" si="143"/>
        <v>#DIV/0!</v>
      </c>
      <c r="AH168" s="290" t="e">
        <f t="shared" si="144"/>
        <v>#DIV/0!</v>
      </c>
      <c r="AI168" s="582"/>
      <c r="AJ168" s="444">
        <f t="shared" si="128"/>
        <v>-1</v>
      </c>
      <c r="AK168" s="408"/>
    </row>
    <row r="169" spans="1:37" s="127" customFormat="1" x14ac:dyDescent="0.25">
      <c r="A169" s="263">
        <f>'งบกำไรขาดทุน ปี 2025'!A169</f>
        <v>0</v>
      </c>
      <c r="B169" s="150" t="str">
        <f>'งบกำไรขาดทุน ปี 2025'!B169</f>
        <v>กำไร (ขาดทุน)ก่อนหัก Back Office</v>
      </c>
      <c r="C169" s="217">
        <f>'งบกำไรขาดทุน ปี 2025'!O169</f>
        <v>0</v>
      </c>
      <c r="D169" s="193">
        <f t="shared" si="129"/>
        <v>0</v>
      </c>
      <c r="E169" s="194">
        <f>D169*$E$5</f>
        <v>0</v>
      </c>
      <c r="F169" s="227" t="e">
        <f t="shared" si="130"/>
        <v>#DIV/0!</v>
      </c>
      <c r="G169" s="227"/>
      <c r="H169" s="582"/>
      <c r="I169" s="195" t="e">
        <f>I148-I164-I168</f>
        <v>#DIV/0!</v>
      </c>
      <c r="J169" s="196" t="e">
        <f t="shared" ref="J169:T169" si="168">J148-J164-J168</f>
        <v>#DIV/0!</v>
      </c>
      <c r="K169" s="196" t="e">
        <f t="shared" si="168"/>
        <v>#DIV/0!</v>
      </c>
      <c r="L169" s="196" t="e">
        <f t="shared" si="168"/>
        <v>#DIV/0!</v>
      </c>
      <c r="M169" s="196" t="e">
        <f t="shared" si="168"/>
        <v>#DIV/0!</v>
      </c>
      <c r="N169" s="240" t="e">
        <f t="shared" si="168"/>
        <v>#DIV/0!</v>
      </c>
      <c r="O169" s="195" t="e">
        <f t="shared" si="168"/>
        <v>#DIV/0!</v>
      </c>
      <c r="P169" s="196" t="e">
        <f t="shared" si="168"/>
        <v>#DIV/0!</v>
      </c>
      <c r="Q169" s="196" t="e">
        <f t="shared" si="168"/>
        <v>#DIV/0!</v>
      </c>
      <c r="R169" s="196" t="e">
        <f t="shared" si="168"/>
        <v>#DIV/0!</v>
      </c>
      <c r="S169" s="196" t="e">
        <f t="shared" si="168"/>
        <v>#DIV/0!</v>
      </c>
      <c r="T169" s="253" t="e">
        <f t="shared" si="168"/>
        <v>#DIV/0!</v>
      </c>
      <c r="U169" s="196" t="e">
        <f>U148-U164-U168</f>
        <v>#DIV/0!</v>
      </c>
      <c r="V169" s="197" t="e">
        <f t="shared" si="132"/>
        <v>#DIV/0!</v>
      </c>
      <c r="W169" s="198" t="e">
        <f t="shared" si="133"/>
        <v>#DIV/0!</v>
      </c>
      <c r="X169" s="198" t="e">
        <f t="shared" si="134"/>
        <v>#DIV/0!</v>
      </c>
      <c r="Y169" s="198" t="e">
        <f t="shared" si="135"/>
        <v>#DIV/0!</v>
      </c>
      <c r="Z169" s="198" t="e">
        <f t="shared" si="136"/>
        <v>#DIV/0!</v>
      </c>
      <c r="AA169" s="198" t="e">
        <f t="shared" si="137"/>
        <v>#DIV/0!</v>
      </c>
      <c r="AB169" s="198" t="e">
        <f t="shared" si="138"/>
        <v>#DIV/0!</v>
      </c>
      <c r="AC169" s="198" t="e">
        <f t="shared" si="139"/>
        <v>#DIV/0!</v>
      </c>
      <c r="AD169" s="198" t="e">
        <f t="shared" si="140"/>
        <v>#DIV/0!</v>
      </c>
      <c r="AE169" s="198" t="e">
        <f t="shared" si="141"/>
        <v>#DIV/0!</v>
      </c>
      <c r="AF169" s="198" t="e">
        <f t="shared" si="142"/>
        <v>#DIV/0!</v>
      </c>
      <c r="AG169" s="198" t="e">
        <f t="shared" si="143"/>
        <v>#DIV/0!</v>
      </c>
      <c r="AH169" s="295" t="e">
        <f>U169/$U$18</f>
        <v>#DIV/0!</v>
      </c>
      <c r="AI169" s="582"/>
      <c r="AJ169" s="444">
        <f t="shared" si="128"/>
        <v>-1</v>
      </c>
      <c r="AK169" s="408"/>
    </row>
    <row r="170" spans="1:37" x14ac:dyDescent="0.25">
      <c r="A170" s="58">
        <f>'งบกำไรขาดทุน ปี 2025'!A170</f>
        <v>0</v>
      </c>
      <c r="B170" s="16" t="str">
        <f>'งบกำไรขาดทุน ปี 2025'!B170</f>
        <v>ค่าใช้จ่ายระหว่างกัน</v>
      </c>
      <c r="C170" s="20">
        <f>'งบกำไรขาดทุน ปี 2025'!O170</f>
        <v>0</v>
      </c>
      <c r="D170" s="21"/>
      <c r="E170" s="141"/>
      <c r="F170" s="221"/>
      <c r="G170" s="221"/>
      <c r="H170" s="580"/>
      <c r="I170" s="137"/>
      <c r="J170" s="105"/>
      <c r="K170" s="105"/>
      <c r="L170" s="105"/>
      <c r="M170" s="105"/>
      <c r="N170" s="233"/>
      <c r="O170" s="137"/>
      <c r="P170" s="105"/>
      <c r="Q170" s="105"/>
      <c r="R170" s="105"/>
      <c r="S170" s="105"/>
      <c r="T170" s="246"/>
      <c r="U170" s="154"/>
      <c r="V170" s="91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288"/>
      <c r="AI170" s="580"/>
      <c r="AJ170" s="444">
        <f t="shared" si="128"/>
        <v>-1</v>
      </c>
      <c r="AK170" s="408"/>
    </row>
    <row r="171" spans="1:37" x14ac:dyDescent="0.25">
      <c r="A171" s="58">
        <f>'งบกำไรขาดทุน ปี 2025'!A171</f>
        <v>61400001</v>
      </c>
      <c r="B171" s="16" t="str">
        <f>'งบกำไรขาดทุน ปี 2025'!B171</f>
        <v>ค่าใช้จ่ายระหว่างกัน Back Office</v>
      </c>
      <c r="C171" s="20">
        <f>'งบกำไรขาดทุน ปี 2025'!O171</f>
        <v>0</v>
      </c>
      <c r="D171" s="21">
        <f t="shared" si="129"/>
        <v>0</v>
      </c>
      <c r="E171" s="141">
        <f>D171*$E$5</f>
        <v>0</v>
      </c>
      <c r="F171" s="221" t="e">
        <f>E171/$E$18</f>
        <v>#DIV/0!</v>
      </c>
      <c r="G171" s="696">
        <v>0</v>
      </c>
      <c r="H171" s="582" t="s">
        <v>632</v>
      </c>
      <c r="I171" s="411">
        <f t="shared" ref="I171:T172" si="169">(($D171*$G171)+$D171)</f>
        <v>0</v>
      </c>
      <c r="J171" s="412">
        <f t="shared" si="169"/>
        <v>0</v>
      </c>
      <c r="K171" s="412">
        <f t="shared" si="169"/>
        <v>0</v>
      </c>
      <c r="L171" s="412">
        <f t="shared" si="169"/>
        <v>0</v>
      </c>
      <c r="M171" s="412">
        <f t="shared" si="169"/>
        <v>0</v>
      </c>
      <c r="N171" s="413">
        <f t="shared" si="169"/>
        <v>0</v>
      </c>
      <c r="O171" s="411">
        <f t="shared" si="169"/>
        <v>0</v>
      </c>
      <c r="P171" s="412">
        <f t="shared" si="169"/>
        <v>0</v>
      </c>
      <c r="Q171" s="412">
        <f t="shared" si="169"/>
        <v>0</v>
      </c>
      <c r="R171" s="412">
        <f t="shared" si="169"/>
        <v>0</v>
      </c>
      <c r="S171" s="412">
        <f t="shared" si="169"/>
        <v>0</v>
      </c>
      <c r="T171" s="414">
        <f t="shared" si="169"/>
        <v>0</v>
      </c>
      <c r="U171" s="154">
        <f t="shared" si="155"/>
        <v>0</v>
      </c>
      <c r="V171" s="91" t="e">
        <f t="shared" si="132"/>
        <v>#DIV/0!</v>
      </c>
      <c r="W171" s="55" t="e">
        <f t="shared" si="133"/>
        <v>#DIV/0!</v>
      </c>
      <c r="X171" s="55" t="e">
        <f t="shared" si="134"/>
        <v>#DIV/0!</v>
      </c>
      <c r="Y171" s="55" t="e">
        <f t="shared" si="135"/>
        <v>#DIV/0!</v>
      </c>
      <c r="Z171" s="55" t="e">
        <f t="shared" si="136"/>
        <v>#DIV/0!</v>
      </c>
      <c r="AA171" s="55" t="e">
        <f t="shared" si="137"/>
        <v>#DIV/0!</v>
      </c>
      <c r="AB171" s="55" t="e">
        <f t="shared" si="138"/>
        <v>#DIV/0!</v>
      </c>
      <c r="AC171" s="55" t="e">
        <f t="shared" si="139"/>
        <v>#DIV/0!</v>
      </c>
      <c r="AD171" s="55" t="e">
        <f t="shared" si="140"/>
        <v>#DIV/0!</v>
      </c>
      <c r="AE171" s="55" t="e">
        <f t="shared" si="141"/>
        <v>#DIV/0!</v>
      </c>
      <c r="AF171" s="55" t="e">
        <f t="shared" si="142"/>
        <v>#DIV/0!</v>
      </c>
      <c r="AG171" s="55" t="e">
        <f t="shared" si="143"/>
        <v>#DIV/0!</v>
      </c>
      <c r="AH171" s="288" t="e">
        <f t="shared" si="144"/>
        <v>#DIV/0!</v>
      </c>
      <c r="AI171" s="582" t="s">
        <v>632</v>
      </c>
      <c r="AJ171" s="444">
        <f t="shared" si="128"/>
        <v>-1</v>
      </c>
      <c r="AK171" s="408"/>
    </row>
    <row r="172" spans="1:37" x14ac:dyDescent="0.25">
      <c r="A172" s="58">
        <f>'งบกำไรขาดทุน ปี 2025'!A172</f>
        <v>61400002</v>
      </c>
      <c r="B172" s="16" t="str">
        <f>'งบกำไรขาดทุน ปี 2025'!B172</f>
        <v>ค่าใช้จ่ายระหว่างกัน Admin</v>
      </c>
      <c r="C172" s="20">
        <f>'งบกำไรขาดทุน ปี 2025'!O172</f>
        <v>0</v>
      </c>
      <c r="D172" s="21">
        <f t="shared" si="129"/>
        <v>0</v>
      </c>
      <c r="E172" s="141">
        <f>D172*$E$5</f>
        <v>0</v>
      </c>
      <c r="F172" s="221" t="e">
        <f t="shared" si="130"/>
        <v>#DIV/0!</v>
      </c>
      <c r="G172" s="696">
        <v>0</v>
      </c>
      <c r="H172" s="582" t="s">
        <v>632</v>
      </c>
      <c r="I172" s="411">
        <f>(($D172*$G172)+$D172)</f>
        <v>0</v>
      </c>
      <c r="J172" s="412">
        <f t="shared" si="169"/>
        <v>0</v>
      </c>
      <c r="K172" s="412">
        <f t="shared" si="169"/>
        <v>0</v>
      </c>
      <c r="L172" s="412">
        <f t="shared" si="169"/>
        <v>0</v>
      </c>
      <c r="M172" s="412">
        <f t="shared" si="169"/>
        <v>0</v>
      </c>
      <c r="N172" s="413">
        <f t="shared" si="169"/>
        <v>0</v>
      </c>
      <c r="O172" s="411">
        <f t="shared" si="169"/>
        <v>0</v>
      </c>
      <c r="P172" s="412">
        <f t="shared" si="169"/>
        <v>0</v>
      </c>
      <c r="Q172" s="412">
        <f t="shared" si="169"/>
        <v>0</v>
      </c>
      <c r="R172" s="412">
        <f t="shared" si="169"/>
        <v>0</v>
      </c>
      <c r="S172" s="412">
        <f t="shared" si="169"/>
        <v>0</v>
      </c>
      <c r="T172" s="414">
        <f t="shared" si="169"/>
        <v>0</v>
      </c>
      <c r="U172" s="154">
        <f t="shared" si="155"/>
        <v>0</v>
      </c>
      <c r="V172" s="91" t="e">
        <f t="shared" si="132"/>
        <v>#DIV/0!</v>
      </c>
      <c r="W172" s="55" t="e">
        <f t="shared" si="133"/>
        <v>#DIV/0!</v>
      </c>
      <c r="X172" s="55" t="e">
        <f t="shared" si="134"/>
        <v>#DIV/0!</v>
      </c>
      <c r="Y172" s="55" t="e">
        <f t="shared" si="135"/>
        <v>#DIV/0!</v>
      </c>
      <c r="Z172" s="55" t="e">
        <f t="shared" si="136"/>
        <v>#DIV/0!</v>
      </c>
      <c r="AA172" s="55" t="e">
        <f t="shared" si="137"/>
        <v>#DIV/0!</v>
      </c>
      <c r="AB172" s="55" t="e">
        <f t="shared" si="138"/>
        <v>#DIV/0!</v>
      </c>
      <c r="AC172" s="55" t="e">
        <f t="shared" si="139"/>
        <v>#DIV/0!</v>
      </c>
      <c r="AD172" s="55" t="e">
        <f t="shared" si="140"/>
        <v>#DIV/0!</v>
      </c>
      <c r="AE172" s="55" t="e">
        <f t="shared" si="141"/>
        <v>#DIV/0!</v>
      </c>
      <c r="AF172" s="55" t="e">
        <f t="shared" si="142"/>
        <v>#DIV/0!</v>
      </c>
      <c r="AG172" s="55" t="e">
        <f t="shared" si="143"/>
        <v>#DIV/0!</v>
      </c>
      <c r="AH172" s="288" t="e">
        <f t="shared" si="144"/>
        <v>#DIV/0!</v>
      </c>
      <c r="AI172" s="582" t="s">
        <v>632</v>
      </c>
      <c r="AJ172" s="444">
        <f t="shared" si="128"/>
        <v>-1</v>
      </c>
      <c r="AK172" s="408"/>
    </row>
    <row r="173" spans="1:37" s="12" customFormat="1" x14ac:dyDescent="0.25">
      <c r="A173" s="161">
        <f>'งบกำไรขาดทุน ปี 2025'!A173</f>
        <v>0</v>
      </c>
      <c r="B173" s="15" t="str">
        <f>'งบกำไรขาดทุน ปี 2025'!B173</f>
        <v>รวมค่าใช้จ่ายระหว่างกัน</v>
      </c>
      <c r="C173" s="216">
        <f>'งบกำไรขาดทุน ปี 2025'!O173</f>
        <v>0</v>
      </c>
      <c r="D173" s="191">
        <f t="shared" si="129"/>
        <v>0</v>
      </c>
      <c r="E173" s="192">
        <f>D173*$E$5</f>
        <v>0</v>
      </c>
      <c r="F173" s="226" t="e">
        <f t="shared" si="130"/>
        <v>#DIV/0!</v>
      </c>
      <c r="G173" s="226"/>
      <c r="H173" s="582"/>
      <c r="I173" s="415">
        <f>SUM(I171:I172)</f>
        <v>0</v>
      </c>
      <c r="J173" s="416">
        <f t="shared" ref="J173:T173" si="170">SUM(J171:J172)</f>
        <v>0</v>
      </c>
      <c r="K173" s="416">
        <f t="shared" si="170"/>
        <v>0</v>
      </c>
      <c r="L173" s="416">
        <f t="shared" si="170"/>
        <v>0</v>
      </c>
      <c r="M173" s="416">
        <f t="shared" si="170"/>
        <v>0</v>
      </c>
      <c r="N173" s="417">
        <f t="shared" si="170"/>
        <v>0</v>
      </c>
      <c r="O173" s="415">
        <f t="shared" si="170"/>
        <v>0</v>
      </c>
      <c r="P173" s="416">
        <f t="shared" si="170"/>
        <v>0</v>
      </c>
      <c r="Q173" s="416">
        <f t="shared" si="170"/>
        <v>0</v>
      </c>
      <c r="R173" s="416">
        <f t="shared" si="170"/>
        <v>0</v>
      </c>
      <c r="S173" s="416">
        <f t="shared" si="170"/>
        <v>0</v>
      </c>
      <c r="T173" s="418">
        <f t="shared" si="170"/>
        <v>0</v>
      </c>
      <c r="U173" s="177">
        <f>SUM(U171:U172)</f>
        <v>0</v>
      </c>
      <c r="V173" s="178" t="e">
        <f t="shared" si="132"/>
        <v>#DIV/0!</v>
      </c>
      <c r="W173" s="179" t="e">
        <f t="shared" si="133"/>
        <v>#DIV/0!</v>
      </c>
      <c r="X173" s="179" t="e">
        <f t="shared" si="134"/>
        <v>#DIV/0!</v>
      </c>
      <c r="Y173" s="179" t="e">
        <f t="shared" si="135"/>
        <v>#DIV/0!</v>
      </c>
      <c r="Z173" s="179" t="e">
        <f t="shared" si="136"/>
        <v>#DIV/0!</v>
      </c>
      <c r="AA173" s="179" t="e">
        <f t="shared" si="137"/>
        <v>#DIV/0!</v>
      </c>
      <c r="AB173" s="179" t="e">
        <f t="shared" si="138"/>
        <v>#DIV/0!</v>
      </c>
      <c r="AC173" s="179" t="e">
        <f t="shared" si="139"/>
        <v>#DIV/0!</v>
      </c>
      <c r="AD173" s="179" t="e">
        <f t="shared" si="140"/>
        <v>#DIV/0!</v>
      </c>
      <c r="AE173" s="179" t="e">
        <f t="shared" si="141"/>
        <v>#DIV/0!</v>
      </c>
      <c r="AF173" s="179" t="e">
        <f t="shared" si="142"/>
        <v>#DIV/0!</v>
      </c>
      <c r="AG173" s="179" t="e">
        <f t="shared" si="143"/>
        <v>#DIV/0!</v>
      </c>
      <c r="AH173" s="289" t="e">
        <f t="shared" si="144"/>
        <v>#DIV/0!</v>
      </c>
      <c r="AI173" s="582"/>
      <c r="AJ173" s="444">
        <f t="shared" si="128"/>
        <v>-1</v>
      </c>
      <c r="AK173" s="408"/>
    </row>
    <row r="174" spans="1:37" s="127" customFormat="1" x14ac:dyDescent="0.25">
      <c r="A174" s="263">
        <f>'งบกำไรขาดทุน ปี 2025'!A174</f>
        <v>0</v>
      </c>
      <c r="B174" s="150" t="str">
        <f>'งบกำไรขาดทุน ปี 2025'!B174</f>
        <v>กำไร (ขาดทุน)ก่อนดอกเบี้ยและภาษี</v>
      </c>
      <c r="C174" s="151">
        <f>'งบกำไรขาดทุน ปี 2025'!O174</f>
        <v>0</v>
      </c>
      <c r="D174" s="152">
        <f t="shared" si="129"/>
        <v>0</v>
      </c>
      <c r="E174" s="131">
        <f>D174*$E$5</f>
        <v>0</v>
      </c>
      <c r="F174" s="228" t="e">
        <f t="shared" si="130"/>
        <v>#DIV/0!</v>
      </c>
      <c r="G174" s="228"/>
      <c r="H174" s="582"/>
      <c r="I174" s="153" t="e">
        <f>I169-I173</f>
        <v>#DIV/0!</v>
      </c>
      <c r="J174" s="154" t="e">
        <f t="shared" ref="J174:U174" si="171">J169-J173</f>
        <v>#DIV/0!</v>
      </c>
      <c r="K174" s="154" t="e">
        <f t="shared" si="171"/>
        <v>#DIV/0!</v>
      </c>
      <c r="L174" s="154" t="e">
        <f t="shared" si="171"/>
        <v>#DIV/0!</v>
      </c>
      <c r="M174" s="154" t="e">
        <f t="shared" si="171"/>
        <v>#DIV/0!</v>
      </c>
      <c r="N174" s="241" t="e">
        <f t="shared" si="171"/>
        <v>#DIV/0!</v>
      </c>
      <c r="O174" s="153" t="e">
        <f t="shared" si="171"/>
        <v>#DIV/0!</v>
      </c>
      <c r="P174" s="154" t="e">
        <f t="shared" si="171"/>
        <v>#DIV/0!</v>
      </c>
      <c r="Q174" s="154" t="e">
        <f t="shared" si="171"/>
        <v>#DIV/0!</v>
      </c>
      <c r="R174" s="154" t="e">
        <f t="shared" si="171"/>
        <v>#DIV/0!</v>
      </c>
      <c r="S174" s="154" t="e">
        <f t="shared" si="171"/>
        <v>#DIV/0!</v>
      </c>
      <c r="T174" s="254" t="e">
        <f t="shared" si="171"/>
        <v>#DIV/0!</v>
      </c>
      <c r="U174" s="154" t="e">
        <f t="shared" si="171"/>
        <v>#DIV/0!</v>
      </c>
      <c r="V174" s="155" t="e">
        <f t="shared" si="132"/>
        <v>#DIV/0!</v>
      </c>
      <c r="W174" s="156" t="e">
        <f t="shared" si="133"/>
        <v>#DIV/0!</v>
      </c>
      <c r="X174" s="156" t="e">
        <f t="shared" si="134"/>
        <v>#DIV/0!</v>
      </c>
      <c r="Y174" s="156" t="e">
        <f t="shared" si="135"/>
        <v>#DIV/0!</v>
      </c>
      <c r="Z174" s="156" t="e">
        <f t="shared" si="136"/>
        <v>#DIV/0!</v>
      </c>
      <c r="AA174" s="156" t="e">
        <f t="shared" si="137"/>
        <v>#DIV/0!</v>
      </c>
      <c r="AB174" s="156" t="e">
        <f t="shared" si="138"/>
        <v>#DIV/0!</v>
      </c>
      <c r="AC174" s="156" t="e">
        <f t="shared" si="139"/>
        <v>#DIV/0!</v>
      </c>
      <c r="AD174" s="156" t="e">
        <f t="shared" si="140"/>
        <v>#DIV/0!</v>
      </c>
      <c r="AE174" s="156" t="e">
        <f t="shared" si="141"/>
        <v>#DIV/0!</v>
      </c>
      <c r="AF174" s="156" t="e">
        <f t="shared" si="142"/>
        <v>#DIV/0!</v>
      </c>
      <c r="AG174" s="156" t="e">
        <f t="shared" si="143"/>
        <v>#DIV/0!</v>
      </c>
      <c r="AH174" s="288" t="e">
        <f t="shared" si="144"/>
        <v>#DIV/0!</v>
      </c>
      <c r="AI174" s="582"/>
      <c r="AJ174" s="444">
        <f t="shared" si="128"/>
        <v>-1</v>
      </c>
      <c r="AK174" s="408"/>
    </row>
    <row r="175" spans="1:37" x14ac:dyDescent="0.25">
      <c r="A175" s="58">
        <f>'งบกำไรขาดทุน ปี 2025'!A175</f>
        <v>42000005</v>
      </c>
      <c r="B175" s="16" t="str">
        <f>'งบกำไรขาดทุน ปี 2025'!B175</f>
        <v>รายได้ค่าเช่า</v>
      </c>
      <c r="C175" s="20">
        <f>'งบกำไรขาดทุน ปี 2025'!O175</f>
        <v>0</v>
      </c>
      <c r="D175" s="21">
        <f t="shared" si="129"/>
        <v>0</v>
      </c>
      <c r="E175" s="141">
        <f>D175*$E$5</f>
        <v>0</v>
      </c>
      <c r="F175" s="221" t="e">
        <f t="shared" si="130"/>
        <v>#DIV/0!</v>
      </c>
      <c r="G175" s="221"/>
      <c r="I175" s="137">
        <f t="shared" ref="I175:T175" si="172">(($D175*$G175)+$D175)</f>
        <v>0</v>
      </c>
      <c r="J175" s="105">
        <f t="shared" si="172"/>
        <v>0</v>
      </c>
      <c r="K175" s="105">
        <f t="shared" si="172"/>
        <v>0</v>
      </c>
      <c r="L175" s="105">
        <f t="shared" si="172"/>
        <v>0</v>
      </c>
      <c r="M175" s="105">
        <f t="shared" si="172"/>
        <v>0</v>
      </c>
      <c r="N175" s="233">
        <f t="shared" si="172"/>
        <v>0</v>
      </c>
      <c r="O175" s="137">
        <f t="shared" si="172"/>
        <v>0</v>
      </c>
      <c r="P175" s="105">
        <f t="shared" si="172"/>
        <v>0</v>
      </c>
      <c r="Q175" s="105">
        <f t="shared" si="172"/>
        <v>0</v>
      </c>
      <c r="R175" s="105">
        <f t="shared" si="172"/>
        <v>0</v>
      </c>
      <c r="S175" s="105">
        <f t="shared" si="172"/>
        <v>0</v>
      </c>
      <c r="T175" s="246">
        <f t="shared" si="172"/>
        <v>0</v>
      </c>
      <c r="U175" s="154">
        <f t="shared" si="155"/>
        <v>0</v>
      </c>
      <c r="V175" s="91" t="e">
        <f t="shared" si="132"/>
        <v>#DIV/0!</v>
      </c>
      <c r="W175" s="55" t="e">
        <f t="shared" si="133"/>
        <v>#DIV/0!</v>
      </c>
      <c r="X175" s="55" t="e">
        <f t="shared" si="134"/>
        <v>#DIV/0!</v>
      </c>
      <c r="Y175" s="55" t="e">
        <f t="shared" si="135"/>
        <v>#DIV/0!</v>
      </c>
      <c r="Z175" s="55" t="e">
        <f t="shared" si="136"/>
        <v>#DIV/0!</v>
      </c>
      <c r="AA175" s="55" t="e">
        <f t="shared" si="137"/>
        <v>#DIV/0!</v>
      </c>
      <c r="AB175" s="55" t="e">
        <f t="shared" si="138"/>
        <v>#DIV/0!</v>
      </c>
      <c r="AC175" s="55" t="e">
        <f t="shared" si="139"/>
        <v>#DIV/0!</v>
      </c>
      <c r="AD175" s="55" t="e">
        <f t="shared" si="140"/>
        <v>#DIV/0!</v>
      </c>
      <c r="AE175" s="55" t="e">
        <f t="shared" si="141"/>
        <v>#DIV/0!</v>
      </c>
      <c r="AF175" s="55" t="e">
        <f t="shared" si="142"/>
        <v>#DIV/0!</v>
      </c>
      <c r="AG175" s="55" t="e">
        <f t="shared" si="143"/>
        <v>#DIV/0!</v>
      </c>
      <c r="AH175" s="288" t="e">
        <f t="shared" si="144"/>
        <v>#DIV/0!</v>
      </c>
      <c r="AJ175" s="444">
        <f t="shared" si="128"/>
        <v>-1</v>
      </c>
      <c r="AK175" s="408"/>
    </row>
    <row r="176" spans="1:37" x14ac:dyDescent="0.25">
      <c r="A176" s="58">
        <f>'งบกำไรขาดทุน ปี 2025'!A176</f>
        <v>0</v>
      </c>
      <c r="B176" s="16" t="str">
        <f>'งบกำไรขาดทุน ปี 2025'!B176</f>
        <v>ดอกเบี้ย</v>
      </c>
      <c r="C176" s="20">
        <f>'งบกำไรขาดทุน ปี 2025'!O176</f>
        <v>0</v>
      </c>
      <c r="D176" s="21"/>
      <c r="E176" s="141"/>
      <c r="F176" s="221"/>
      <c r="G176" s="221"/>
      <c r="I176" s="137"/>
      <c r="J176" s="105"/>
      <c r="K176" s="105"/>
      <c r="L176" s="105"/>
      <c r="M176" s="105"/>
      <c r="N176" s="233"/>
      <c r="O176" s="137"/>
      <c r="P176" s="105"/>
      <c r="Q176" s="105"/>
      <c r="R176" s="105"/>
      <c r="S176" s="105"/>
      <c r="T176" s="246"/>
      <c r="U176" s="154"/>
      <c r="V176" s="91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288"/>
      <c r="AJ176" s="444">
        <f t="shared" si="128"/>
        <v>-1</v>
      </c>
      <c r="AK176" s="408"/>
    </row>
    <row r="177" spans="1:37" x14ac:dyDescent="0.25">
      <c r="A177" s="58">
        <f>'งบกำไรขาดทุน ปี 2025'!A177</f>
        <v>61500002</v>
      </c>
      <c r="B177" s="16" t="str">
        <f>'งบกำไรขาดทุน ปี 2025'!B177</f>
        <v>ดอกเบี้ยเงินกู้ระยะสั้น</v>
      </c>
      <c r="C177" s="20">
        <f>'งบกำไรขาดทุน ปี 2025'!O177</f>
        <v>0</v>
      </c>
      <c r="D177" s="21">
        <f t="shared" si="129"/>
        <v>0</v>
      </c>
      <c r="E177" s="141">
        <f t="shared" ref="E177:E186" si="173">D177*$E$5</f>
        <v>0</v>
      </c>
      <c r="F177" s="221" t="e">
        <f t="shared" si="130"/>
        <v>#DIV/0!</v>
      </c>
      <c r="G177" s="221"/>
      <c r="H177" s="582" t="s">
        <v>635</v>
      </c>
      <c r="I177" s="137">
        <f t="shared" ref="I177:T182" si="174">(($D177*$G177)+$D177)</f>
        <v>0</v>
      </c>
      <c r="J177" s="105">
        <f t="shared" si="174"/>
        <v>0</v>
      </c>
      <c r="K177" s="105">
        <f t="shared" si="174"/>
        <v>0</v>
      </c>
      <c r="L177" s="105">
        <f t="shared" si="174"/>
        <v>0</v>
      </c>
      <c r="M177" s="105">
        <f t="shared" si="174"/>
        <v>0</v>
      </c>
      <c r="N177" s="233">
        <f t="shared" si="174"/>
        <v>0</v>
      </c>
      <c r="O177" s="137">
        <f t="shared" si="174"/>
        <v>0</v>
      </c>
      <c r="P177" s="105">
        <f t="shared" si="174"/>
        <v>0</v>
      </c>
      <c r="Q177" s="105">
        <f t="shared" si="174"/>
        <v>0</v>
      </c>
      <c r="R177" s="105">
        <f t="shared" si="174"/>
        <v>0</v>
      </c>
      <c r="S177" s="105">
        <f t="shared" si="174"/>
        <v>0</v>
      </c>
      <c r="T177" s="246">
        <f t="shared" si="174"/>
        <v>0</v>
      </c>
      <c r="U177" s="154">
        <f t="shared" si="155"/>
        <v>0</v>
      </c>
      <c r="V177" s="91" t="e">
        <f t="shared" si="132"/>
        <v>#DIV/0!</v>
      </c>
      <c r="W177" s="55" t="e">
        <f t="shared" si="133"/>
        <v>#DIV/0!</v>
      </c>
      <c r="X177" s="55" t="e">
        <f t="shared" si="134"/>
        <v>#DIV/0!</v>
      </c>
      <c r="Y177" s="55" t="e">
        <f t="shared" si="135"/>
        <v>#DIV/0!</v>
      </c>
      <c r="Z177" s="55" t="e">
        <f t="shared" si="136"/>
        <v>#DIV/0!</v>
      </c>
      <c r="AA177" s="55" t="e">
        <f t="shared" si="137"/>
        <v>#DIV/0!</v>
      </c>
      <c r="AB177" s="55" t="e">
        <f t="shared" si="138"/>
        <v>#DIV/0!</v>
      </c>
      <c r="AC177" s="55" t="e">
        <f t="shared" si="139"/>
        <v>#DIV/0!</v>
      </c>
      <c r="AD177" s="55" t="e">
        <f t="shared" si="140"/>
        <v>#DIV/0!</v>
      </c>
      <c r="AE177" s="55" t="e">
        <f t="shared" si="141"/>
        <v>#DIV/0!</v>
      </c>
      <c r="AF177" s="55" t="e">
        <f t="shared" si="142"/>
        <v>#DIV/0!</v>
      </c>
      <c r="AG177" s="55" t="e">
        <f t="shared" si="143"/>
        <v>#DIV/0!</v>
      </c>
      <c r="AH177" s="288" t="e">
        <f t="shared" si="144"/>
        <v>#DIV/0!</v>
      </c>
      <c r="AI177" s="582" t="s">
        <v>635</v>
      </c>
      <c r="AJ177" s="444">
        <f t="shared" si="128"/>
        <v>-1</v>
      </c>
      <c r="AK177" s="408"/>
    </row>
    <row r="178" spans="1:37" x14ac:dyDescent="0.25">
      <c r="A178" s="58">
        <f>'งบกำไรขาดทุน ปี 2025'!A178</f>
        <v>61500003</v>
      </c>
      <c r="B178" s="16" t="str">
        <f>'งบกำไรขาดทุน ปี 2025'!B178</f>
        <v>ดอกเบี้ยเงินกู้ระยะยาว</v>
      </c>
      <c r="C178" s="20">
        <f>'งบกำไรขาดทุน ปี 2025'!O178</f>
        <v>0</v>
      </c>
      <c r="D178" s="21">
        <f t="shared" si="129"/>
        <v>0</v>
      </c>
      <c r="E178" s="141">
        <f t="shared" si="173"/>
        <v>0</v>
      </c>
      <c r="F178" s="221" t="e">
        <f t="shared" si="130"/>
        <v>#DIV/0!</v>
      </c>
      <c r="G178" s="221"/>
      <c r="H178" s="582" t="s">
        <v>635</v>
      </c>
      <c r="I178" s="137">
        <f t="shared" si="174"/>
        <v>0</v>
      </c>
      <c r="J178" s="105">
        <f t="shared" si="174"/>
        <v>0</v>
      </c>
      <c r="K178" s="105">
        <f t="shared" si="174"/>
        <v>0</v>
      </c>
      <c r="L178" s="105">
        <f t="shared" si="174"/>
        <v>0</v>
      </c>
      <c r="M178" s="105">
        <f t="shared" si="174"/>
        <v>0</v>
      </c>
      <c r="N178" s="233">
        <f t="shared" si="174"/>
        <v>0</v>
      </c>
      <c r="O178" s="137">
        <f t="shared" si="174"/>
        <v>0</v>
      </c>
      <c r="P178" s="105">
        <f t="shared" si="174"/>
        <v>0</v>
      </c>
      <c r="Q178" s="105">
        <f t="shared" si="174"/>
        <v>0</v>
      </c>
      <c r="R178" s="105">
        <f t="shared" si="174"/>
        <v>0</v>
      </c>
      <c r="S178" s="105">
        <f t="shared" si="174"/>
        <v>0</v>
      </c>
      <c r="T178" s="246">
        <f t="shared" si="174"/>
        <v>0</v>
      </c>
      <c r="U178" s="154">
        <f t="shared" si="155"/>
        <v>0</v>
      </c>
      <c r="V178" s="91" t="e">
        <f t="shared" si="132"/>
        <v>#DIV/0!</v>
      </c>
      <c r="W178" s="55" t="e">
        <f t="shared" si="133"/>
        <v>#DIV/0!</v>
      </c>
      <c r="X178" s="55" t="e">
        <f t="shared" si="134"/>
        <v>#DIV/0!</v>
      </c>
      <c r="Y178" s="55" t="e">
        <f t="shared" si="135"/>
        <v>#DIV/0!</v>
      </c>
      <c r="Z178" s="55" t="e">
        <f t="shared" si="136"/>
        <v>#DIV/0!</v>
      </c>
      <c r="AA178" s="55" t="e">
        <f t="shared" si="137"/>
        <v>#DIV/0!</v>
      </c>
      <c r="AB178" s="55" t="e">
        <f t="shared" si="138"/>
        <v>#DIV/0!</v>
      </c>
      <c r="AC178" s="55" t="e">
        <f t="shared" si="139"/>
        <v>#DIV/0!</v>
      </c>
      <c r="AD178" s="55" t="e">
        <f t="shared" si="140"/>
        <v>#DIV/0!</v>
      </c>
      <c r="AE178" s="55" t="e">
        <f t="shared" si="141"/>
        <v>#DIV/0!</v>
      </c>
      <c r="AF178" s="55" t="e">
        <f t="shared" si="142"/>
        <v>#DIV/0!</v>
      </c>
      <c r="AG178" s="55" t="e">
        <f t="shared" si="143"/>
        <v>#DIV/0!</v>
      </c>
      <c r="AH178" s="288" t="e">
        <f t="shared" si="144"/>
        <v>#DIV/0!</v>
      </c>
      <c r="AI178" s="582" t="s">
        <v>635</v>
      </c>
      <c r="AJ178" s="444">
        <f t="shared" si="128"/>
        <v>-1</v>
      </c>
      <c r="AK178" s="408"/>
    </row>
    <row r="179" spans="1:37" x14ac:dyDescent="0.25">
      <c r="A179" s="58">
        <f>'งบกำไรขาดทุน ปี 2025'!A179</f>
        <v>61500004</v>
      </c>
      <c r="B179" s="16" t="str">
        <f>'งบกำไรขาดทุน ปี 2025'!B179</f>
        <v>ดอกเบี้ยจ่าย-บริษัทในเครือ</v>
      </c>
      <c r="C179" s="20">
        <f>'งบกำไรขาดทุน ปี 2025'!O179</f>
        <v>0</v>
      </c>
      <c r="D179" s="21">
        <f t="shared" si="129"/>
        <v>0</v>
      </c>
      <c r="E179" s="141">
        <f t="shared" si="173"/>
        <v>0</v>
      </c>
      <c r="F179" s="221" t="e">
        <f t="shared" si="130"/>
        <v>#DIV/0!</v>
      </c>
      <c r="G179" s="221"/>
      <c r="H179" s="582" t="s">
        <v>635</v>
      </c>
      <c r="I179" s="137">
        <f t="shared" si="174"/>
        <v>0</v>
      </c>
      <c r="J179" s="105">
        <f t="shared" si="174"/>
        <v>0</v>
      </c>
      <c r="K179" s="105">
        <f t="shared" si="174"/>
        <v>0</v>
      </c>
      <c r="L179" s="105">
        <f t="shared" si="174"/>
        <v>0</v>
      </c>
      <c r="M179" s="105">
        <f t="shared" si="174"/>
        <v>0</v>
      </c>
      <c r="N179" s="233">
        <f t="shared" si="174"/>
        <v>0</v>
      </c>
      <c r="O179" s="137">
        <f t="shared" si="174"/>
        <v>0</v>
      </c>
      <c r="P179" s="105">
        <f t="shared" si="174"/>
        <v>0</v>
      </c>
      <c r="Q179" s="105">
        <f t="shared" si="174"/>
        <v>0</v>
      </c>
      <c r="R179" s="105">
        <f t="shared" si="174"/>
        <v>0</v>
      </c>
      <c r="S179" s="105">
        <f t="shared" si="174"/>
        <v>0</v>
      </c>
      <c r="T179" s="246">
        <f t="shared" si="174"/>
        <v>0</v>
      </c>
      <c r="U179" s="154">
        <f t="shared" si="155"/>
        <v>0</v>
      </c>
      <c r="V179" s="91" t="e">
        <f t="shared" si="132"/>
        <v>#DIV/0!</v>
      </c>
      <c r="W179" s="55" t="e">
        <f t="shared" si="133"/>
        <v>#DIV/0!</v>
      </c>
      <c r="X179" s="55" t="e">
        <f t="shared" si="134"/>
        <v>#DIV/0!</v>
      </c>
      <c r="Y179" s="55" t="e">
        <f t="shared" si="135"/>
        <v>#DIV/0!</v>
      </c>
      <c r="Z179" s="55" t="e">
        <f t="shared" si="136"/>
        <v>#DIV/0!</v>
      </c>
      <c r="AA179" s="55" t="e">
        <f t="shared" si="137"/>
        <v>#DIV/0!</v>
      </c>
      <c r="AB179" s="55" t="e">
        <f t="shared" si="138"/>
        <v>#DIV/0!</v>
      </c>
      <c r="AC179" s="55" t="e">
        <f t="shared" si="139"/>
        <v>#DIV/0!</v>
      </c>
      <c r="AD179" s="55" t="e">
        <f t="shared" si="140"/>
        <v>#DIV/0!</v>
      </c>
      <c r="AE179" s="55" t="e">
        <f t="shared" si="141"/>
        <v>#DIV/0!</v>
      </c>
      <c r="AF179" s="55" t="e">
        <f t="shared" si="142"/>
        <v>#DIV/0!</v>
      </c>
      <c r="AG179" s="55" t="e">
        <f t="shared" si="143"/>
        <v>#DIV/0!</v>
      </c>
      <c r="AH179" s="288" t="e">
        <f t="shared" si="144"/>
        <v>#DIV/0!</v>
      </c>
      <c r="AI179" s="582" t="s">
        <v>635</v>
      </c>
      <c r="AJ179" s="444">
        <f t="shared" si="128"/>
        <v>-1</v>
      </c>
      <c r="AK179" s="408"/>
    </row>
    <row r="180" spans="1:37" x14ac:dyDescent="0.25">
      <c r="A180" s="58">
        <f>'งบกำไรขาดทุน ปี 2025'!A180</f>
        <v>61500005</v>
      </c>
      <c r="B180" s="16" t="str">
        <f>'งบกำไรขาดทุน ปี 2025'!B180</f>
        <v>ดอกเบี้ยเช่าซื้อ</v>
      </c>
      <c r="C180" s="20">
        <f>'งบกำไรขาดทุน ปี 2025'!O180</f>
        <v>0</v>
      </c>
      <c r="D180" s="21">
        <f t="shared" si="129"/>
        <v>0</v>
      </c>
      <c r="E180" s="141">
        <f t="shared" si="173"/>
        <v>0</v>
      </c>
      <c r="F180" s="221" t="e">
        <f t="shared" si="130"/>
        <v>#DIV/0!</v>
      </c>
      <c r="G180" s="221"/>
      <c r="H180" s="582" t="s">
        <v>635</v>
      </c>
      <c r="I180" s="137">
        <f t="shared" si="174"/>
        <v>0</v>
      </c>
      <c r="J180" s="105">
        <f t="shared" si="174"/>
        <v>0</v>
      </c>
      <c r="K180" s="105">
        <f t="shared" si="174"/>
        <v>0</v>
      </c>
      <c r="L180" s="105">
        <f t="shared" si="174"/>
        <v>0</v>
      </c>
      <c r="M180" s="105">
        <f t="shared" si="174"/>
        <v>0</v>
      </c>
      <c r="N180" s="233">
        <f t="shared" si="174"/>
        <v>0</v>
      </c>
      <c r="O180" s="137">
        <f t="shared" si="174"/>
        <v>0</v>
      </c>
      <c r="P180" s="105">
        <f t="shared" si="174"/>
        <v>0</v>
      </c>
      <c r="Q180" s="105">
        <f t="shared" si="174"/>
        <v>0</v>
      </c>
      <c r="R180" s="105">
        <f t="shared" si="174"/>
        <v>0</v>
      </c>
      <c r="S180" s="105">
        <f t="shared" si="174"/>
        <v>0</v>
      </c>
      <c r="T180" s="246">
        <f t="shared" si="174"/>
        <v>0</v>
      </c>
      <c r="U180" s="154">
        <f t="shared" si="155"/>
        <v>0</v>
      </c>
      <c r="V180" s="91" t="e">
        <f t="shared" si="132"/>
        <v>#DIV/0!</v>
      </c>
      <c r="W180" s="55" t="e">
        <f t="shared" si="133"/>
        <v>#DIV/0!</v>
      </c>
      <c r="X180" s="55" t="e">
        <f t="shared" si="134"/>
        <v>#DIV/0!</v>
      </c>
      <c r="Y180" s="55" t="e">
        <f t="shared" si="135"/>
        <v>#DIV/0!</v>
      </c>
      <c r="Z180" s="55" t="e">
        <f t="shared" si="136"/>
        <v>#DIV/0!</v>
      </c>
      <c r="AA180" s="55" t="e">
        <f t="shared" si="137"/>
        <v>#DIV/0!</v>
      </c>
      <c r="AB180" s="55" t="e">
        <f t="shared" si="138"/>
        <v>#DIV/0!</v>
      </c>
      <c r="AC180" s="55" t="e">
        <f t="shared" si="139"/>
        <v>#DIV/0!</v>
      </c>
      <c r="AD180" s="55" t="e">
        <f t="shared" si="140"/>
        <v>#DIV/0!</v>
      </c>
      <c r="AE180" s="55" t="e">
        <f t="shared" si="141"/>
        <v>#DIV/0!</v>
      </c>
      <c r="AF180" s="55" t="e">
        <f t="shared" si="142"/>
        <v>#DIV/0!</v>
      </c>
      <c r="AG180" s="55" t="e">
        <f t="shared" si="143"/>
        <v>#DIV/0!</v>
      </c>
      <c r="AH180" s="288" t="e">
        <f t="shared" si="144"/>
        <v>#DIV/0!</v>
      </c>
      <c r="AI180" s="582" t="s">
        <v>635</v>
      </c>
      <c r="AJ180" s="444">
        <f t="shared" si="128"/>
        <v>-1</v>
      </c>
      <c r="AK180" s="408"/>
    </row>
    <row r="181" spans="1:37" x14ac:dyDescent="0.25">
      <c r="A181" s="58">
        <f>'งบกำไรขาดทุน ปี 2025'!A181</f>
        <v>61500007</v>
      </c>
      <c r="B181" s="16" t="str">
        <f>'งบกำไรขาดทุน ปี 2025'!B181</f>
        <v>ดอกเบี้ยจ่าย-สินทรัพย์สิทธิการใช้</v>
      </c>
      <c r="C181" s="20">
        <f>'งบกำไรขาดทุน ปี 2025'!O181</f>
        <v>0</v>
      </c>
      <c r="D181" s="21">
        <f t="shared" si="129"/>
        <v>0</v>
      </c>
      <c r="E181" s="141">
        <f t="shared" si="173"/>
        <v>0</v>
      </c>
      <c r="F181" s="221" t="e">
        <f t="shared" si="130"/>
        <v>#DIV/0!</v>
      </c>
      <c r="G181" s="221"/>
      <c r="H181" s="582" t="s">
        <v>635</v>
      </c>
      <c r="I181" s="137">
        <f t="shared" si="174"/>
        <v>0</v>
      </c>
      <c r="J181" s="105">
        <f t="shared" si="174"/>
        <v>0</v>
      </c>
      <c r="K181" s="105">
        <f t="shared" si="174"/>
        <v>0</v>
      </c>
      <c r="L181" s="105">
        <f t="shared" si="174"/>
        <v>0</v>
      </c>
      <c r="M181" s="105">
        <f t="shared" si="174"/>
        <v>0</v>
      </c>
      <c r="N181" s="233">
        <f t="shared" si="174"/>
        <v>0</v>
      </c>
      <c r="O181" s="137">
        <f t="shared" si="174"/>
        <v>0</v>
      </c>
      <c r="P181" s="105">
        <f t="shared" si="174"/>
        <v>0</v>
      </c>
      <c r="Q181" s="105">
        <f t="shared" si="174"/>
        <v>0</v>
      </c>
      <c r="R181" s="105">
        <f t="shared" si="174"/>
        <v>0</v>
      </c>
      <c r="S181" s="105">
        <f t="shared" si="174"/>
        <v>0</v>
      </c>
      <c r="T181" s="246">
        <f t="shared" si="174"/>
        <v>0</v>
      </c>
      <c r="U181" s="154">
        <f t="shared" si="155"/>
        <v>0</v>
      </c>
      <c r="V181" s="91" t="e">
        <f t="shared" si="132"/>
        <v>#DIV/0!</v>
      </c>
      <c r="W181" s="55" t="e">
        <f t="shared" si="133"/>
        <v>#DIV/0!</v>
      </c>
      <c r="X181" s="55" t="e">
        <f t="shared" si="134"/>
        <v>#DIV/0!</v>
      </c>
      <c r="Y181" s="55" t="e">
        <f t="shared" si="135"/>
        <v>#DIV/0!</v>
      </c>
      <c r="Z181" s="55" t="e">
        <f t="shared" si="136"/>
        <v>#DIV/0!</v>
      </c>
      <c r="AA181" s="55" t="e">
        <f t="shared" si="137"/>
        <v>#DIV/0!</v>
      </c>
      <c r="AB181" s="55" t="e">
        <f t="shared" si="138"/>
        <v>#DIV/0!</v>
      </c>
      <c r="AC181" s="55" t="e">
        <f t="shared" si="139"/>
        <v>#DIV/0!</v>
      </c>
      <c r="AD181" s="55" t="e">
        <f t="shared" si="140"/>
        <v>#DIV/0!</v>
      </c>
      <c r="AE181" s="55" t="e">
        <f t="shared" si="141"/>
        <v>#DIV/0!</v>
      </c>
      <c r="AF181" s="55" t="e">
        <f t="shared" si="142"/>
        <v>#DIV/0!</v>
      </c>
      <c r="AG181" s="55" t="e">
        <f t="shared" si="143"/>
        <v>#DIV/0!</v>
      </c>
      <c r="AH181" s="288" t="e">
        <f t="shared" si="144"/>
        <v>#DIV/0!</v>
      </c>
      <c r="AI181" s="582" t="s">
        <v>635</v>
      </c>
      <c r="AJ181" s="444">
        <f t="shared" si="128"/>
        <v>-1</v>
      </c>
      <c r="AK181" s="408"/>
    </row>
    <row r="182" spans="1:37" x14ac:dyDescent="0.25">
      <c r="A182" s="58">
        <f>'งบกำไรขาดทุน ปี 2025'!A182</f>
        <v>61500008</v>
      </c>
      <c r="B182" s="16" t="str">
        <f>'งบกำไรขาดทุน ปี 2025'!B182</f>
        <v>ดอกเบี้ยจ่าย-สินทรัพย์สิทธิการใช้-IP</v>
      </c>
      <c r="C182" s="20">
        <f>'งบกำไรขาดทุน ปี 2025'!O182</f>
        <v>0</v>
      </c>
      <c r="D182" s="21">
        <f t="shared" si="129"/>
        <v>0</v>
      </c>
      <c r="E182" s="141">
        <f t="shared" si="173"/>
        <v>0</v>
      </c>
      <c r="F182" s="221" t="e">
        <f t="shared" si="130"/>
        <v>#DIV/0!</v>
      </c>
      <c r="G182" s="221"/>
      <c r="H182" s="582" t="s">
        <v>635</v>
      </c>
      <c r="I182" s="137">
        <f t="shared" si="174"/>
        <v>0</v>
      </c>
      <c r="J182" s="105">
        <f t="shared" si="174"/>
        <v>0</v>
      </c>
      <c r="K182" s="105">
        <f t="shared" si="174"/>
        <v>0</v>
      </c>
      <c r="L182" s="105">
        <f t="shared" si="174"/>
        <v>0</v>
      </c>
      <c r="M182" s="105">
        <f t="shared" si="174"/>
        <v>0</v>
      </c>
      <c r="N182" s="233">
        <f t="shared" si="174"/>
        <v>0</v>
      </c>
      <c r="O182" s="137">
        <f t="shared" si="174"/>
        <v>0</v>
      </c>
      <c r="P182" s="105">
        <f t="shared" si="174"/>
        <v>0</v>
      </c>
      <c r="Q182" s="105">
        <f t="shared" si="174"/>
        <v>0</v>
      </c>
      <c r="R182" s="105">
        <f t="shared" si="174"/>
        <v>0</v>
      </c>
      <c r="S182" s="105">
        <f t="shared" si="174"/>
        <v>0</v>
      </c>
      <c r="T182" s="246">
        <f t="shared" si="174"/>
        <v>0</v>
      </c>
      <c r="U182" s="154">
        <f t="shared" si="155"/>
        <v>0</v>
      </c>
      <c r="V182" s="91" t="e">
        <f t="shared" si="132"/>
        <v>#DIV/0!</v>
      </c>
      <c r="W182" s="55" t="e">
        <f t="shared" si="133"/>
        <v>#DIV/0!</v>
      </c>
      <c r="X182" s="55" t="e">
        <f t="shared" si="134"/>
        <v>#DIV/0!</v>
      </c>
      <c r="Y182" s="55" t="e">
        <f t="shared" si="135"/>
        <v>#DIV/0!</v>
      </c>
      <c r="Z182" s="55" t="e">
        <f t="shared" si="136"/>
        <v>#DIV/0!</v>
      </c>
      <c r="AA182" s="55" t="e">
        <f t="shared" si="137"/>
        <v>#DIV/0!</v>
      </c>
      <c r="AB182" s="55" t="e">
        <f t="shared" si="138"/>
        <v>#DIV/0!</v>
      </c>
      <c r="AC182" s="55" t="e">
        <f t="shared" si="139"/>
        <v>#DIV/0!</v>
      </c>
      <c r="AD182" s="55" t="e">
        <f t="shared" si="140"/>
        <v>#DIV/0!</v>
      </c>
      <c r="AE182" s="55" t="e">
        <f t="shared" si="141"/>
        <v>#DIV/0!</v>
      </c>
      <c r="AF182" s="55" t="e">
        <f t="shared" si="142"/>
        <v>#DIV/0!</v>
      </c>
      <c r="AG182" s="55" t="e">
        <f t="shared" si="143"/>
        <v>#DIV/0!</v>
      </c>
      <c r="AH182" s="288" t="e">
        <f t="shared" si="144"/>
        <v>#DIV/0!</v>
      </c>
      <c r="AI182" s="582" t="s">
        <v>635</v>
      </c>
      <c r="AJ182" s="444">
        <f t="shared" si="128"/>
        <v>-1</v>
      </c>
      <c r="AK182" s="408"/>
    </row>
    <row r="183" spans="1:37" s="12" customFormat="1" x14ac:dyDescent="0.25">
      <c r="A183" s="161">
        <f>'งบกำไรขาดทุน ปี 2025'!A183</f>
        <v>0</v>
      </c>
      <c r="B183" s="15" t="str">
        <f>'งบกำไรขาดทุน ปี 2025'!B183</f>
        <v>รวมดอกเบี้ยธนาคาร</v>
      </c>
      <c r="C183" s="218">
        <f>'งบกำไรขาดทุน ปี 2025'!O183</f>
        <v>0</v>
      </c>
      <c r="D183" s="202">
        <f t="shared" si="129"/>
        <v>0</v>
      </c>
      <c r="E183" s="203">
        <f t="shared" si="173"/>
        <v>0</v>
      </c>
      <c r="F183" s="229" t="e">
        <f t="shared" si="130"/>
        <v>#DIV/0!</v>
      </c>
      <c r="G183" s="229"/>
      <c r="H183" s="582"/>
      <c r="I183" s="204">
        <f>SUM(I177:I182)</f>
        <v>0</v>
      </c>
      <c r="J183" s="205">
        <f t="shared" ref="J183:T183" si="175">SUM(J177:J182)</f>
        <v>0</v>
      </c>
      <c r="K183" s="205">
        <f t="shared" si="175"/>
        <v>0</v>
      </c>
      <c r="L183" s="205">
        <f t="shared" si="175"/>
        <v>0</v>
      </c>
      <c r="M183" s="205">
        <f t="shared" si="175"/>
        <v>0</v>
      </c>
      <c r="N183" s="242">
        <f t="shared" si="175"/>
        <v>0</v>
      </c>
      <c r="O183" s="204">
        <f t="shared" si="175"/>
        <v>0</v>
      </c>
      <c r="P183" s="205">
        <f t="shared" si="175"/>
        <v>0</v>
      </c>
      <c r="Q183" s="205">
        <f t="shared" si="175"/>
        <v>0</v>
      </c>
      <c r="R183" s="205">
        <f t="shared" si="175"/>
        <v>0</v>
      </c>
      <c r="S183" s="205">
        <f t="shared" si="175"/>
        <v>0</v>
      </c>
      <c r="T183" s="255">
        <f t="shared" si="175"/>
        <v>0</v>
      </c>
      <c r="U183" s="205">
        <f>SUM(U176:U182)</f>
        <v>0</v>
      </c>
      <c r="V183" s="206" t="e">
        <f t="shared" si="132"/>
        <v>#DIV/0!</v>
      </c>
      <c r="W183" s="207" t="e">
        <f t="shared" si="133"/>
        <v>#DIV/0!</v>
      </c>
      <c r="X183" s="207" t="e">
        <f t="shared" si="134"/>
        <v>#DIV/0!</v>
      </c>
      <c r="Y183" s="207" t="e">
        <f t="shared" si="135"/>
        <v>#DIV/0!</v>
      </c>
      <c r="Z183" s="207" t="e">
        <f t="shared" si="136"/>
        <v>#DIV/0!</v>
      </c>
      <c r="AA183" s="207" t="e">
        <f t="shared" si="137"/>
        <v>#DIV/0!</v>
      </c>
      <c r="AB183" s="207" t="e">
        <f t="shared" si="138"/>
        <v>#DIV/0!</v>
      </c>
      <c r="AC183" s="207" t="e">
        <f t="shared" si="139"/>
        <v>#DIV/0!</v>
      </c>
      <c r="AD183" s="207" t="e">
        <f t="shared" si="140"/>
        <v>#DIV/0!</v>
      </c>
      <c r="AE183" s="207" t="e">
        <f t="shared" si="141"/>
        <v>#DIV/0!</v>
      </c>
      <c r="AF183" s="207" t="e">
        <f t="shared" si="142"/>
        <v>#DIV/0!</v>
      </c>
      <c r="AG183" s="207" t="e">
        <f t="shared" si="143"/>
        <v>#DIV/0!</v>
      </c>
      <c r="AH183" s="296" t="e">
        <f t="shared" si="144"/>
        <v>#DIV/0!</v>
      </c>
      <c r="AI183" s="582"/>
      <c r="AJ183" s="444">
        <f t="shared" si="128"/>
        <v>-1</v>
      </c>
      <c r="AK183" s="408"/>
    </row>
    <row r="184" spans="1:37" s="3" customFormat="1" x14ac:dyDescent="0.25">
      <c r="A184" s="278">
        <f>'งบกำไรขาดทุน ปี 2025'!A184</f>
        <v>0</v>
      </c>
      <c r="B184" s="16" t="str">
        <f>'งบกำไรขาดทุน ปี 2025'!B184</f>
        <v>กำไร (ขาดทุน) ก่อนภาษี</v>
      </c>
      <c r="C184" s="28">
        <f>'งบกำไรขาดทุน ปี 2025'!O184</f>
        <v>0</v>
      </c>
      <c r="D184" s="29">
        <f t="shared" si="129"/>
        <v>0</v>
      </c>
      <c r="E184" s="147">
        <f t="shared" si="173"/>
        <v>0</v>
      </c>
      <c r="F184" s="221" t="e">
        <f t="shared" si="130"/>
        <v>#DIV/0!</v>
      </c>
      <c r="G184" s="221"/>
      <c r="H184" s="582"/>
      <c r="I184" s="140" t="e">
        <f>I174+I175-I183</f>
        <v>#DIV/0!</v>
      </c>
      <c r="J184" s="108" t="e">
        <f t="shared" ref="J184:U184" si="176">J174+J175-J183</f>
        <v>#DIV/0!</v>
      </c>
      <c r="K184" s="108" t="e">
        <f t="shared" si="176"/>
        <v>#DIV/0!</v>
      </c>
      <c r="L184" s="108" t="e">
        <f t="shared" si="176"/>
        <v>#DIV/0!</v>
      </c>
      <c r="M184" s="108" t="e">
        <f t="shared" si="176"/>
        <v>#DIV/0!</v>
      </c>
      <c r="N184" s="237" t="e">
        <f t="shared" si="176"/>
        <v>#DIV/0!</v>
      </c>
      <c r="O184" s="140" t="e">
        <f t="shared" si="176"/>
        <v>#DIV/0!</v>
      </c>
      <c r="P184" s="108" t="e">
        <f t="shared" si="176"/>
        <v>#DIV/0!</v>
      </c>
      <c r="Q184" s="108" t="e">
        <f t="shared" si="176"/>
        <v>#DIV/0!</v>
      </c>
      <c r="R184" s="108" t="e">
        <f t="shared" si="176"/>
        <v>#DIV/0!</v>
      </c>
      <c r="S184" s="108" t="e">
        <f t="shared" si="176"/>
        <v>#DIV/0!</v>
      </c>
      <c r="T184" s="250" t="e">
        <f t="shared" si="176"/>
        <v>#DIV/0!</v>
      </c>
      <c r="U184" s="154" t="e">
        <f t="shared" si="176"/>
        <v>#DIV/0!</v>
      </c>
      <c r="V184" s="95" t="e">
        <f t="shared" si="132"/>
        <v>#DIV/0!</v>
      </c>
      <c r="W184" s="57" t="e">
        <f t="shared" si="133"/>
        <v>#DIV/0!</v>
      </c>
      <c r="X184" s="57" t="e">
        <f t="shared" si="134"/>
        <v>#DIV/0!</v>
      </c>
      <c r="Y184" s="57" t="e">
        <f t="shared" si="135"/>
        <v>#DIV/0!</v>
      </c>
      <c r="Z184" s="57" t="e">
        <f t="shared" si="136"/>
        <v>#DIV/0!</v>
      </c>
      <c r="AA184" s="57" t="e">
        <f t="shared" si="137"/>
        <v>#DIV/0!</v>
      </c>
      <c r="AB184" s="57" t="e">
        <f t="shared" si="138"/>
        <v>#DIV/0!</v>
      </c>
      <c r="AC184" s="57" t="e">
        <f t="shared" si="139"/>
        <v>#DIV/0!</v>
      </c>
      <c r="AD184" s="57" t="e">
        <f t="shared" si="140"/>
        <v>#DIV/0!</v>
      </c>
      <c r="AE184" s="57" t="e">
        <f t="shared" si="141"/>
        <v>#DIV/0!</v>
      </c>
      <c r="AF184" s="57" t="e">
        <f t="shared" si="142"/>
        <v>#DIV/0!</v>
      </c>
      <c r="AG184" s="57" t="e">
        <f t="shared" si="143"/>
        <v>#DIV/0!</v>
      </c>
      <c r="AH184" s="288" t="e">
        <f t="shared" si="144"/>
        <v>#DIV/0!</v>
      </c>
      <c r="AI184" s="582"/>
      <c r="AJ184" s="444">
        <f t="shared" si="128"/>
        <v>-1</v>
      </c>
      <c r="AK184" s="408"/>
    </row>
    <row r="185" spans="1:37" s="3" customFormat="1" x14ac:dyDescent="0.25">
      <c r="A185" s="278">
        <f>'งบกำไรขาดทุน ปี 2025'!A185</f>
        <v>61700001</v>
      </c>
      <c r="B185" s="16" t="str">
        <f>'งบกำไรขาดทุน ปี 2025'!B185</f>
        <v>ภาษีเงินได้นิติบุคคล</v>
      </c>
      <c r="C185" s="219">
        <f>'งบกำไรขาดทุน ปี 2025'!O185</f>
        <v>0</v>
      </c>
      <c r="D185" s="209">
        <f t="shared" si="129"/>
        <v>0</v>
      </c>
      <c r="E185" s="210">
        <f t="shared" si="173"/>
        <v>0</v>
      </c>
      <c r="F185" s="96" t="e">
        <f t="shared" si="130"/>
        <v>#DIV/0!</v>
      </c>
      <c r="G185" s="96"/>
      <c r="H185" s="582" t="s">
        <v>636</v>
      </c>
      <c r="I185" s="211" t="e">
        <f>I184*20%</f>
        <v>#DIV/0!</v>
      </c>
      <c r="J185" s="212" t="e">
        <f t="shared" ref="J185:N185" si="177">J184*20%</f>
        <v>#DIV/0!</v>
      </c>
      <c r="K185" s="212" t="e">
        <f t="shared" si="177"/>
        <v>#DIV/0!</v>
      </c>
      <c r="L185" s="212" t="e">
        <f t="shared" si="177"/>
        <v>#DIV/0!</v>
      </c>
      <c r="M185" s="212" t="e">
        <f t="shared" si="177"/>
        <v>#DIV/0!</v>
      </c>
      <c r="N185" s="243" t="e">
        <f t="shared" si="177"/>
        <v>#DIV/0!</v>
      </c>
      <c r="O185" s="211" t="e">
        <f>O184*20%</f>
        <v>#DIV/0!</v>
      </c>
      <c r="P185" s="212" t="e">
        <f t="shared" ref="P185:T185" si="178">P184*20%</f>
        <v>#DIV/0!</v>
      </c>
      <c r="Q185" s="212" t="e">
        <f t="shared" si="178"/>
        <v>#DIV/0!</v>
      </c>
      <c r="R185" s="212" t="e">
        <f t="shared" si="178"/>
        <v>#DIV/0!</v>
      </c>
      <c r="S185" s="212" t="e">
        <f t="shared" si="178"/>
        <v>#DIV/0!</v>
      </c>
      <c r="T185" s="256" t="e">
        <f t="shared" si="178"/>
        <v>#DIV/0!</v>
      </c>
      <c r="U185" s="212" t="e">
        <f t="shared" si="155"/>
        <v>#DIV/0!</v>
      </c>
      <c r="V185" s="213" t="e">
        <f t="shared" si="132"/>
        <v>#DIV/0!</v>
      </c>
      <c r="W185" s="214" t="e">
        <f t="shared" si="133"/>
        <v>#DIV/0!</v>
      </c>
      <c r="X185" s="214" t="e">
        <f t="shared" si="134"/>
        <v>#DIV/0!</v>
      </c>
      <c r="Y185" s="214" t="e">
        <f t="shared" si="135"/>
        <v>#DIV/0!</v>
      </c>
      <c r="Z185" s="214" t="e">
        <f t="shared" si="136"/>
        <v>#DIV/0!</v>
      </c>
      <c r="AA185" s="214" t="e">
        <f t="shared" si="137"/>
        <v>#DIV/0!</v>
      </c>
      <c r="AB185" s="214" t="e">
        <f t="shared" si="138"/>
        <v>#DIV/0!</v>
      </c>
      <c r="AC185" s="214" t="e">
        <f t="shared" si="139"/>
        <v>#DIV/0!</v>
      </c>
      <c r="AD185" s="214" t="e">
        <f t="shared" si="140"/>
        <v>#DIV/0!</v>
      </c>
      <c r="AE185" s="214" t="e">
        <f t="shared" si="141"/>
        <v>#DIV/0!</v>
      </c>
      <c r="AF185" s="214" t="e">
        <f t="shared" si="142"/>
        <v>#DIV/0!</v>
      </c>
      <c r="AG185" s="214" t="e">
        <f t="shared" si="143"/>
        <v>#DIV/0!</v>
      </c>
      <c r="AH185" s="297" t="e">
        <f t="shared" si="144"/>
        <v>#DIV/0!</v>
      </c>
      <c r="AI185" s="582" t="s">
        <v>636</v>
      </c>
      <c r="AJ185" s="444">
        <f t="shared" si="128"/>
        <v>-1</v>
      </c>
      <c r="AK185" s="408"/>
    </row>
    <row r="186" spans="1:37" s="51" customFormat="1" ht="12" thickBot="1" x14ac:dyDescent="0.3">
      <c r="A186" s="279">
        <f>'งบกำไรขาดทุน ปี 2025'!A186</f>
        <v>0</v>
      </c>
      <c r="B186" s="122" t="str">
        <f>'งบกำไรขาดทุน ปี 2025'!B186</f>
        <v>กำไร (ขาดทุน) สุทธิ</v>
      </c>
      <c r="C186" s="199">
        <f>'งบกำไรขาดทุน ปี 2025'!O186</f>
        <v>0</v>
      </c>
      <c r="D186" s="200">
        <f t="shared" si="129"/>
        <v>0</v>
      </c>
      <c r="E186" s="201">
        <f t="shared" si="173"/>
        <v>0</v>
      </c>
      <c r="F186" s="230" t="e">
        <f>E186/$E$18</f>
        <v>#DIV/0!</v>
      </c>
      <c r="G186" s="230"/>
      <c r="H186" s="582"/>
      <c r="I186" s="172" t="e">
        <f>I184-I185</f>
        <v>#DIV/0!</v>
      </c>
      <c r="J186" s="173" t="e">
        <f t="shared" ref="J186:T186" si="179">J184-J185</f>
        <v>#DIV/0!</v>
      </c>
      <c r="K186" s="173" t="e">
        <f t="shared" si="179"/>
        <v>#DIV/0!</v>
      </c>
      <c r="L186" s="173" t="e">
        <f t="shared" si="179"/>
        <v>#DIV/0!</v>
      </c>
      <c r="M186" s="173" t="e">
        <f t="shared" si="179"/>
        <v>#DIV/0!</v>
      </c>
      <c r="N186" s="244" t="e">
        <f t="shared" si="179"/>
        <v>#DIV/0!</v>
      </c>
      <c r="O186" s="172" t="e">
        <f t="shared" si="179"/>
        <v>#DIV/0!</v>
      </c>
      <c r="P186" s="173" t="e">
        <f t="shared" si="179"/>
        <v>#DIV/0!</v>
      </c>
      <c r="Q186" s="173" t="e">
        <f t="shared" si="179"/>
        <v>#DIV/0!</v>
      </c>
      <c r="R186" s="173" t="e">
        <f t="shared" si="179"/>
        <v>#DIV/0!</v>
      </c>
      <c r="S186" s="173" t="e">
        <f t="shared" si="179"/>
        <v>#DIV/0!</v>
      </c>
      <c r="T186" s="257" t="e">
        <f t="shared" si="179"/>
        <v>#DIV/0!</v>
      </c>
      <c r="U186" s="173" t="e">
        <f>U184-U185</f>
        <v>#DIV/0!</v>
      </c>
      <c r="V186" s="176" t="e">
        <f t="shared" si="132"/>
        <v>#DIV/0!</v>
      </c>
      <c r="W186" s="174" t="e">
        <f t="shared" si="133"/>
        <v>#DIV/0!</v>
      </c>
      <c r="X186" s="174" t="e">
        <f t="shared" si="134"/>
        <v>#DIV/0!</v>
      </c>
      <c r="Y186" s="174" t="e">
        <f t="shared" si="135"/>
        <v>#DIV/0!</v>
      </c>
      <c r="Z186" s="174" t="e">
        <f t="shared" si="136"/>
        <v>#DIV/0!</v>
      </c>
      <c r="AA186" s="174" t="e">
        <f t="shared" si="137"/>
        <v>#DIV/0!</v>
      </c>
      <c r="AB186" s="174" t="e">
        <f t="shared" si="138"/>
        <v>#DIV/0!</v>
      </c>
      <c r="AC186" s="174" t="e">
        <f t="shared" si="139"/>
        <v>#DIV/0!</v>
      </c>
      <c r="AD186" s="174" t="e">
        <f t="shared" si="140"/>
        <v>#DIV/0!</v>
      </c>
      <c r="AE186" s="174" t="e">
        <f t="shared" si="141"/>
        <v>#DIV/0!</v>
      </c>
      <c r="AF186" s="174" t="e">
        <f t="shared" si="142"/>
        <v>#DIV/0!</v>
      </c>
      <c r="AG186" s="174" t="e">
        <f t="shared" si="143"/>
        <v>#DIV/0!</v>
      </c>
      <c r="AH186" s="298" t="e">
        <f t="shared" si="144"/>
        <v>#DIV/0!</v>
      </c>
      <c r="AI186" s="582"/>
      <c r="AJ186" s="444">
        <f>IFERROR(U186/E186,0)-1</f>
        <v>-1</v>
      </c>
      <c r="AK186" s="408"/>
    </row>
    <row r="187" spans="1:37" x14ac:dyDescent="0.25">
      <c r="B187" s="9"/>
      <c r="C187" s="9"/>
      <c r="D187" s="9"/>
      <c r="E187" s="9"/>
      <c r="F187" s="9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10" t="e">
        <f>U186/U18</f>
        <v>#DIV/0!</v>
      </c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299"/>
      <c r="AK187" s="408"/>
    </row>
    <row r="188" spans="1:37" x14ac:dyDescent="0.25">
      <c r="B188" s="9"/>
      <c r="C188" s="9"/>
      <c r="D188" s="9"/>
      <c r="E188" s="9"/>
      <c r="F188" s="9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299"/>
      <c r="AK188" s="408"/>
    </row>
    <row r="189" spans="1:37" x14ac:dyDescent="0.25">
      <c r="AK189" s="408"/>
    </row>
    <row r="190" spans="1:37" x14ac:dyDescent="0.25">
      <c r="AK190" s="408"/>
    </row>
    <row r="191" spans="1:37" x14ac:dyDescent="0.25">
      <c r="AK191" s="408"/>
    </row>
    <row r="192" spans="1:37" x14ac:dyDescent="0.25">
      <c r="AK192" s="408"/>
    </row>
    <row r="193" spans="8:37" x14ac:dyDescent="0.25">
      <c r="AK193" s="408"/>
    </row>
    <row r="194" spans="8:37" x14ac:dyDescent="0.25">
      <c r="AK194" s="408"/>
    </row>
    <row r="196" spans="8:37" x14ac:dyDescent="0.25">
      <c r="H196" s="585"/>
      <c r="AI196" s="585"/>
    </row>
    <row r="197" spans="8:37" x14ac:dyDescent="0.25">
      <c r="H197" s="585"/>
      <c r="AI197" s="585"/>
    </row>
    <row r="198" spans="8:37" x14ac:dyDescent="0.25">
      <c r="H198" s="585"/>
      <c r="AI198" s="585"/>
    </row>
    <row r="199" spans="8:37" x14ac:dyDescent="0.25">
      <c r="H199" s="585"/>
      <c r="AI199" s="585"/>
    </row>
    <row r="200" spans="8:37" x14ac:dyDescent="0.25">
      <c r="H200" s="585"/>
      <c r="AI200" s="585"/>
    </row>
    <row r="201" spans="8:37" x14ac:dyDescent="0.25">
      <c r="H201" s="585"/>
      <c r="AI201" s="585"/>
    </row>
    <row r="202" spans="8:37" x14ac:dyDescent="0.25">
      <c r="H202" s="585"/>
      <c r="AI202" s="585"/>
    </row>
    <row r="203" spans="8:37" x14ac:dyDescent="0.25">
      <c r="H203" s="585"/>
      <c r="AI203" s="585"/>
    </row>
    <row r="204" spans="8:37" x14ac:dyDescent="0.25">
      <c r="H204" s="585"/>
      <c r="AI204" s="585"/>
    </row>
    <row r="205" spans="8:37" x14ac:dyDescent="0.25">
      <c r="H205" s="585"/>
      <c r="AI205" s="585"/>
    </row>
    <row r="206" spans="8:37" x14ac:dyDescent="0.25">
      <c r="H206" s="585"/>
      <c r="AI206" s="585"/>
    </row>
    <row r="207" spans="8:37" x14ac:dyDescent="0.25">
      <c r="H207" s="585"/>
      <c r="AI207" s="585"/>
    </row>
    <row r="208" spans="8:37" x14ac:dyDescent="0.25">
      <c r="H208" s="585"/>
      <c r="AI208" s="585"/>
    </row>
    <row r="209" spans="8:35" x14ac:dyDescent="0.25">
      <c r="H209" s="585"/>
      <c r="AI209" s="585"/>
    </row>
    <row r="210" spans="8:35" x14ac:dyDescent="0.25">
      <c r="H210" s="585"/>
      <c r="AI210" s="585"/>
    </row>
    <row r="211" spans="8:35" x14ac:dyDescent="0.25">
      <c r="H211" s="585"/>
      <c r="AI211" s="585"/>
    </row>
    <row r="212" spans="8:35" x14ac:dyDescent="0.25">
      <c r="H212" s="585"/>
      <c r="AI212" s="585"/>
    </row>
    <row r="213" spans="8:35" x14ac:dyDescent="0.25">
      <c r="H213" s="585"/>
      <c r="AI213" s="585"/>
    </row>
    <row r="214" spans="8:35" x14ac:dyDescent="0.25">
      <c r="H214" s="585"/>
      <c r="AI214" s="585"/>
    </row>
    <row r="215" spans="8:35" x14ac:dyDescent="0.25">
      <c r="H215" s="585"/>
      <c r="AI215" s="585"/>
    </row>
    <row r="216" spans="8:35" x14ac:dyDescent="0.25">
      <c r="H216" s="585"/>
      <c r="AI216" s="585"/>
    </row>
    <row r="217" spans="8:35" x14ac:dyDescent="0.25">
      <c r="H217" s="585"/>
      <c r="AI217" s="585"/>
    </row>
    <row r="218" spans="8:35" x14ac:dyDescent="0.25">
      <c r="H218" s="585"/>
      <c r="AI218" s="585"/>
    </row>
    <row r="219" spans="8:35" x14ac:dyDescent="0.25">
      <c r="H219" s="585"/>
      <c r="AI219" s="585"/>
    </row>
    <row r="220" spans="8:35" x14ac:dyDescent="0.25">
      <c r="H220" s="585"/>
      <c r="AI220" s="585"/>
    </row>
    <row r="221" spans="8:35" x14ac:dyDescent="0.25">
      <c r="H221" s="585"/>
      <c r="AI221" s="585"/>
    </row>
    <row r="222" spans="8:35" x14ac:dyDescent="0.25">
      <c r="H222" s="585"/>
      <c r="AI222" s="585"/>
    </row>
    <row r="223" spans="8:35" x14ac:dyDescent="0.25">
      <c r="H223" s="585"/>
      <c r="AI223" s="585"/>
    </row>
    <row r="224" spans="8:35" x14ac:dyDescent="0.25">
      <c r="H224" s="585"/>
      <c r="AI224" s="585"/>
    </row>
    <row r="225" spans="8:35" x14ac:dyDescent="0.25">
      <c r="H225" s="585"/>
      <c r="AI225" s="585"/>
    </row>
    <row r="226" spans="8:35" x14ac:dyDescent="0.25">
      <c r="H226" s="585"/>
      <c r="AI226" s="585"/>
    </row>
    <row r="227" spans="8:35" x14ac:dyDescent="0.25">
      <c r="H227" s="585"/>
      <c r="AI227" s="585"/>
    </row>
    <row r="228" spans="8:35" x14ac:dyDescent="0.25">
      <c r="H228" s="585"/>
      <c r="AI228" s="585"/>
    </row>
    <row r="229" spans="8:35" x14ac:dyDescent="0.25">
      <c r="H229" s="585"/>
      <c r="AI229" s="585"/>
    </row>
    <row r="230" spans="8:35" x14ac:dyDescent="0.25">
      <c r="H230" s="585"/>
      <c r="AI230" s="585"/>
    </row>
    <row r="231" spans="8:35" x14ac:dyDescent="0.25">
      <c r="H231" s="585"/>
      <c r="AI231" s="585"/>
    </row>
    <row r="232" spans="8:35" x14ac:dyDescent="0.25">
      <c r="H232" s="585"/>
      <c r="AI232" s="585"/>
    </row>
    <row r="233" spans="8:35" x14ac:dyDescent="0.25">
      <c r="H233" s="585"/>
      <c r="AI233" s="585"/>
    </row>
    <row r="234" spans="8:35" x14ac:dyDescent="0.25">
      <c r="H234" s="585"/>
      <c r="AI234" s="585"/>
    </row>
    <row r="235" spans="8:35" x14ac:dyDescent="0.25">
      <c r="H235" s="585"/>
      <c r="AI235" s="585"/>
    </row>
    <row r="236" spans="8:35" x14ac:dyDescent="0.25">
      <c r="H236" s="585"/>
      <c r="AI236" s="585"/>
    </row>
    <row r="237" spans="8:35" x14ac:dyDescent="0.25">
      <c r="H237" s="585"/>
      <c r="AI237" s="585"/>
    </row>
    <row r="238" spans="8:35" x14ac:dyDescent="0.25">
      <c r="H238" s="585"/>
      <c r="AI238" s="585"/>
    </row>
    <row r="239" spans="8:35" x14ac:dyDescent="0.25">
      <c r="H239" s="585"/>
      <c r="AI239" s="585"/>
    </row>
    <row r="240" spans="8:35" x14ac:dyDescent="0.25">
      <c r="H240" s="585"/>
      <c r="AI240" s="585"/>
    </row>
    <row r="241" spans="8:35" x14ac:dyDescent="0.25">
      <c r="H241" s="585"/>
      <c r="AI241" s="585"/>
    </row>
    <row r="242" spans="8:35" x14ac:dyDescent="0.25">
      <c r="H242" s="585"/>
      <c r="AI242" s="585"/>
    </row>
    <row r="243" spans="8:35" x14ac:dyDescent="0.25">
      <c r="H243" s="585"/>
      <c r="AI243" s="585"/>
    </row>
    <row r="244" spans="8:35" x14ac:dyDescent="0.25">
      <c r="H244" s="585"/>
      <c r="AI244" s="585"/>
    </row>
    <row r="245" spans="8:35" x14ac:dyDescent="0.25">
      <c r="H245" s="585"/>
      <c r="AI245" s="585"/>
    </row>
    <row r="246" spans="8:35" x14ac:dyDescent="0.25">
      <c r="H246" s="585"/>
      <c r="AI246" s="585"/>
    </row>
    <row r="247" spans="8:35" x14ac:dyDescent="0.25">
      <c r="H247" s="585"/>
      <c r="AI247" s="585"/>
    </row>
    <row r="248" spans="8:35" x14ac:dyDescent="0.25">
      <c r="H248" s="585"/>
      <c r="AI248" s="585"/>
    </row>
    <row r="249" spans="8:35" x14ac:dyDescent="0.25">
      <c r="H249" s="585"/>
      <c r="AI249" s="585"/>
    </row>
    <row r="250" spans="8:35" x14ac:dyDescent="0.25">
      <c r="H250" s="585"/>
      <c r="AI250" s="585"/>
    </row>
    <row r="251" spans="8:35" x14ac:dyDescent="0.25">
      <c r="H251" s="585"/>
      <c r="AI251" s="585"/>
    </row>
    <row r="252" spans="8:35" x14ac:dyDescent="0.25">
      <c r="H252" s="585"/>
      <c r="AI252" s="585"/>
    </row>
    <row r="253" spans="8:35" x14ac:dyDescent="0.25">
      <c r="H253" s="585"/>
      <c r="AI253" s="585"/>
    </row>
    <row r="254" spans="8:35" x14ac:dyDescent="0.25">
      <c r="H254" s="585"/>
      <c r="AI254" s="585"/>
    </row>
    <row r="255" spans="8:35" x14ac:dyDescent="0.25">
      <c r="H255" s="585"/>
      <c r="AI255" s="585"/>
    </row>
    <row r="256" spans="8:35" x14ac:dyDescent="0.25">
      <c r="H256" s="585"/>
      <c r="AI256" s="585"/>
    </row>
    <row r="257" spans="8:35" x14ac:dyDescent="0.25">
      <c r="H257" s="585"/>
      <c r="AI257" s="585"/>
    </row>
    <row r="258" spans="8:35" x14ac:dyDescent="0.25">
      <c r="H258" s="585"/>
      <c r="AI258" s="585"/>
    </row>
    <row r="259" spans="8:35" x14ac:dyDescent="0.25">
      <c r="H259" s="585"/>
      <c r="AI259" s="585"/>
    </row>
    <row r="260" spans="8:35" x14ac:dyDescent="0.25">
      <c r="H260" s="585"/>
      <c r="AI260" s="585"/>
    </row>
    <row r="261" spans="8:35" x14ac:dyDescent="0.25">
      <c r="H261" s="585"/>
      <c r="AI261" s="585"/>
    </row>
    <row r="262" spans="8:35" x14ac:dyDescent="0.25">
      <c r="H262" s="585"/>
      <c r="AI262" s="585"/>
    </row>
    <row r="263" spans="8:35" x14ac:dyDescent="0.25">
      <c r="H263" s="585"/>
      <c r="AI263" s="585"/>
    </row>
    <row r="264" spans="8:35" x14ac:dyDescent="0.25">
      <c r="H264" s="585"/>
      <c r="AI264" s="585"/>
    </row>
    <row r="265" spans="8:35" x14ac:dyDescent="0.25">
      <c r="H265" s="585"/>
      <c r="AI265" s="585"/>
    </row>
    <row r="266" spans="8:35" x14ac:dyDescent="0.25">
      <c r="H266" s="585"/>
      <c r="AI266" s="585"/>
    </row>
    <row r="267" spans="8:35" x14ac:dyDescent="0.25">
      <c r="H267" s="585"/>
      <c r="AI267" s="585"/>
    </row>
    <row r="268" spans="8:35" x14ac:dyDescent="0.25">
      <c r="H268" s="585"/>
      <c r="AI268" s="585"/>
    </row>
    <row r="269" spans="8:35" x14ac:dyDescent="0.25">
      <c r="H269" s="585"/>
      <c r="AI269" s="585"/>
    </row>
    <row r="270" spans="8:35" x14ac:dyDescent="0.25">
      <c r="H270" s="585"/>
      <c r="AI270" s="585"/>
    </row>
    <row r="271" spans="8:35" x14ac:dyDescent="0.25">
      <c r="H271" s="585"/>
      <c r="AI271" s="585"/>
    </row>
    <row r="272" spans="8:35" x14ac:dyDescent="0.25">
      <c r="H272" s="585"/>
      <c r="AI272" s="585"/>
    </row>
    <row r="273" spans="8:35" x14ac:dyDescent="0.25">
      <c r="H273" s="585"/>
      <c r="AI273" s="585"/>
    </row>
    <row r="274" spans="8:35" x14ac:dyDescent="0.25">
      <c r="H274" s="585"/>
      <c r="AI274" s="585"/>
    </row>
    <row r="275" spans="8:35" x14ac:dyDescent="0.25">
      <c r="H275" s="585"/>
      <c r="AI275" s="585"/>
    </row>
    <row r="276" spans="8:35" x14ac:dyDescent="0.25">
      <c r="H276" s="585"/>
      <c r="AI276" s="585"/>
    </row>
    <row r="277" spans="8:35" x14ac:dyDescent="0.25">
      <c r="H277" s="585"/>
      <c r="AI277" s="585"/>
    </row>
    <row r="278" spans="8:35" x14ac:dyDescent="0.25">
      <c r="H278" s="585"/>
      <c r="AI278" s="585"/>
    </row>
    <row r="279" spans="8:35" x14ac:dyDescent="0.25">
      <c r="H279" s="585"/>
      <c r="AI279" s="585"/>
    </row>
    <row r="280" spans="8:35" x14ac:dyDescent="0.25">
      <c r="H280" s="585"/>
      <c r="AI280" s="585"/>
    </row>
    <row r="281" spans="8:35" x14ac:dyDescent="0.25">
      <c r="H281" s="585"/>
      <c r="AI281" s="585"/>
    </row>
    <row r="282" spans="8:35" x14ac:dyDescent="0.25">
      <c r="H282" s="585"/>
      <c r="AI282" s="585"/>
    </row>
    <row r="283" spans="8:35" x14ac:dyDescent="0.25">
      <c r="H283" s="585"/>
      <c r="AI283" s="585"/>
    </row>
    <row r="284" spans="8:35" x14ac:dyDescent="0.25">
      <c r="H284" s="585"/>
      <c r="AI284" s="585"/>
    </row>
    <row r="285" spans="8:35" x14ac:dyDescent="0.25">
      <c r="H285" s="585"/>
      <c r="AI285" s="585"/>
    </row>
    <row r="286" spans="8:35" x14ac:dyDescent="0.25">
      <c r="H286" s="585"/>
      <c r="AI286" s="585"/>
    </row>
    <row r="287" spans="8:35" x14ac:dyDescent="0.25">
      <c r="H287" s="585"/>
      <c r="AI287" s="585"/>
    </row>
    <row r="288" spans="8:35" x14ac:dyDescent="0.25">
      <c r="H288" s="585"/>
      <c r="AI288" s="585"/>
    </row>
    <row r="289" spans="8:35" x14ac:dyDescent="0.25">
      <c r="H289" s="585"/>
      <c r="AI289" s="585"/>
    </row>
    <row r="290" spans="8:35" x14ac:dyDescent="0.25">
      <c r="H290" s="585"/>
      <c r="AI290" s="585"/>
    </row>
    <row r="291" spans="8:35" x14ac:dyDescent="0.25">
      <c r="H291" s="585"/>
      <c r="AI291" s="585"/>
    </row>
    <row r="292" spans="8:35" x14ac:dyDescent="0.25">
      <c r="H292" s="585"/>
      <c r="AI292" s="585"/>
    </row>
    <row r="293" spans="8:35" x14ac:dyDescent="0.25">
      <c r="H293" s="585"/>
      <c r="AI293" s="585"/>
    </row>
    <row r="294" spans="8:35" x14ac:dyDescent="0.25">
      <c r="H294" s="585"/>
      <c r="AI294" s="585"/>
    </row>
    <row r="295" spans="8:35" x14ac:dyDescent="0.25">
      <c r="H295" s="585"/>
      <c r="AI295" s="585"/>
    </row>
    <row r="296" spans="8:35" x14ac:dyDescent="0.25">
      <c r="H296" s="585"/>
      <c r="AI296" s="585"/>
    </row>
    <row r="297" spans="8:35" x14ac:dyDescent="0.25">
      <c r="H297" s="585"/>
      <c r="AI297" s="585"/>
    </row>
    <row r="298" spans="8:35" x14ac:dyDescent="0.25">
      <c r="H298" s="585"/>
      <c r="AI298" s="585"/>
    </row>
    <row r="299" spans="8:35" x14ac:dyDescent="0.25">
      <c r="H299" s="585"/>
      <c r="AI299" s="585"/>
    </row>
    <row r="300" spans="8:35" x14ac:dyDescent="0.25">
      <c r="H300" s="585"/>
      <c r="AI300" s="585"/>
    </row>
    <row r="301" spans="8:35" x14ac:dyDescent="0.25">
      <c r="H301" s="585"/>
      <c r="AI301" s="585"/>
    </row>
    <row r="302" spans="8:35" x14ac:dyDescent="0.25">
      <c r="H302" s="585"/>
      <c r="AI302" s="585"/>
    </row>
    <row r="303" spans="8:35" x14ac:dyDescent="0.25">
      <c r="H303" s="585"/>
      <c r="AI303" s="585"/>
    </row>
    <row r="304" spans="8:35" x14ac:dyDescent="0.25">
      <c r="H304" s="585"/>
      <c r="AI304" s="585"/>
    </row>
    <row r="305" spans="8:35" x14ac:dyDescent="0.25">
      <c r="H305" s="585"/>
      <c r="AI305" s="585"/>
    </row>
    <row r="306" spans="8:35" x14ac:dyDescent="0.25">
      <c r="H306" s="585"/>
      <c r="AI306" s="585"/>
    </row>
    <row r="307" spans="8:35" x14ac:dyDescent="0.25">
      <c r="H307" s="585"/>
      <c r="AI307" s="585"/>
    </row>
    <row r="308" spans="8:35" x14ac:dyDescent="0.25">
      <c r="H308" s="585"/>
      <c r="AI308" s="585"/>
    </row>
    <row r="309" spans="8:35" x14ac:dyDescent="0.25">
      <c r="H309" s="585"/>
      <c r="AI309" s="585"/>
    </row>
    <row r="310" spans="8:35" x14ac:dyDescent="0.25">
      <c r="H310" s="585"/>
      <c r="AI310" s="585"/>
    </row>
    <row r="311" spans="8:35" x14ac:dyDescent="0.25">
      <c r="H311" s="585"/>
      <c r="AI311" s="585"/>
    </row>
    <row r="312" spans="8:35" x14ac:dyDescent="0.25">
      <c r="H312" s="585"/>
      <c r="AI312" s="585"/>
    </row>
    <row r="313" spans="8:35" x14ac:dyDescent="0.25">
      <c r="H313" s="585"/>
      <c r="AI313" s="585"/>
    </row>
    <row r="314" spans="8:35" x14ac:dyDescent="0.25">
      <c r="H314" s="585"/>
      <c r="AI314" s="585"/>
    </row>
    <row r="315" spans="8:35" x14ac:dyDescent="0.25">
      <c r="H315" s="585"/>
      <c r="AI315" s="585"/>
    </row>
    <row r="316" spans="8:35" x14ac:dyDescent="0.25">
      <c r="H316" s="585"/>
      <c r="AI316" s="585"/>
    </row>
    <row r="317" spans="8:35" x14ac:dyDescent="0.25">
      <c r="H317" s="585"/>
      <c r="AI317" s="585"/>
    </row>
    <row r="318" spans="8:35" x14ac:dyDescent="0.25">
      <c r="H318" s="585"/>
      <c r="AI318" s="585"/>
    </row>
  </sheetData>
  <mergeCells count="7">
    <mergeCell ref="C4:E4"/>
    <mergeCell ref="U4:U5"/>
    <mergeCell ref="F4:F5"/>
    <mergeCell ref="V4:AH4"/>
    <mergeCell ref="G4:G5"/>
    <mergeCell ref="O4:T4"/>
    <mergeCell ref="I4:N4"/>
  </mergeCells>
  <pageMargins left="0.7" right="0.7" top="0.75" bottom="0.75" header="0.3" footer="0.3"/>
  <pageSetup paperSize="30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P109"/>
  <sheetViews>
    <sheetView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A68" sqref="BA68"/>
    </sheetView>
  </sheetViews>
  <sheetFormatPr defaultColWidth="8.88671875" defaultRowHeight="11.5" x14ac:dyDescent="0.25"/>
  <cols>
    <col min="1" max="1" width="39.88671875" style="2" customWidth="1"/>
    <col min="2" max="2" width="15.33203125" style="58" customWidth="1"/>
    <col min="3" max="3" width="23.6640625" style="73" customWidth="1"/>
    <col min="4" max="4" width="16.88671875" style="6" customWidth="1"/>
    <col min="5" max="5" width="15.33203125" style="6" customWidth="1"/>
    <col min="6" max="6" width="24" style="6" customWidth="1"/>
    <col min="7" max="8" width="15.33203125" style="6" customWidth="1"/>
    <col min="9" max="9" width="20.6640625" style="6" customWidth="1"/>
    <col min="10" max="11" width="15.33203125" style="6" customWidth="1"/>
    <col min="12" max="12" width="21.21875" style="6" customWidth="1"/>
    <col min="13" max="14" width="15.33203125" style="6" customWidth="1"/>
    <col min="15" max="15" width="21.21875" style="6" customWidth="1"/>
    <col min="16" max="17" width="15.33203125" style="6" customWidth="1"/>
    <col min="18" max="18" width="23.109375" style="6" customWidth="1"/>
    <col min="19" max="20" width="15.33203125" style="6" customWidth="1"/>
    <col min="21" max="21" width="21.88671875" style="6" customWidth="1"/>
    <col min="22" max="23" width="15.33203125" style="6" customWidth="1"/>
    <col min="24" max="24" width="20.33203125" style="6" customWidth="1"/>
    <col min="25" max="26" width="15.33203125" style="6" customWidth="1"/>
    <col min="27" max="27" width="20.109375" style="6" customWidth="1"/>
    <col min="28" max="29" width="15.33203125" style="6" customWidth="1"/>
    <col min="30" max="30" width="20.88671875" style="6" customWidth="1"/>
    <col min="31" max="32" width="15.33203125" style="6" customWidth="1"/>
    <col min="33" max="33" width="23.33203125" style="6" customWidth="1"/>
    <col min="34" max="35" width="15.33203125" style="6" customWidth="1"/>
    <col min="36" max="36" width="22.109375" style="6" customWidth="1"/>
    <col min="37" max="38" width="15.33203125" style="6" customWidth="1"/>
    <col min="39" max="39" width="15.33203125" style="88" customWidth="1"/>
    <col min="40" max="40" width="3.6640625" style="2" customWidth="1"/>
    <col min="41" max="52" width="13.33203125" style="2" hidden="1" customWidth="1"/>
    <col min="53" max="53" width="12.88671875" style="2" customWidth="1"/>
    <col min="54" max="54" width="21.6640625" style="2" customWidth="1"/>
    <col min="55" max="66" width="15.33203125" style="2" customWidth="1"/>
    <col min="67" max="67" width="19.6640625" style="2" bestFit="1" customWidth="1"/>
    <col min="68" max="68" width="18.109375" style="2" customWidth="1"/>
    <col min="69" max="95" width="15.33203125" style="2" customWidth="1"/>
    <col min="96" max="16384" width="8.88671875" style="2"/>
  </cols>
  <sheetData>
    <row r="1" spans="1:68" ht="15.5" x14ac:dyDescent="0.35">
      <c r="A1" s="275" t="s">
        <v>116</v>
      </c>
      <c r="B1" s="73"/>
    </row>
    <row r="2" spans="1:68" ht="15.5" x14ac:dyDescent="0.35">
      <c r="A2" s="276" t="s">
        <v>0</v>
      </c>
      <c r="D2" s="328"/>
      <c r="G2" s="408">
        <v>0.01</v>
      </c>
    </row>
    <row r="3" spans="1:68" ht="12" thickBot="1" x14ac:dyDescent="0.3">
      <c r="A3" s="17"/>
      <c r="B3" s="12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84"/>
    </row>
    <row r="4" spans="1:68" ht="11.5" customHeight="1" x14ac:dyDescent="0.25">
      <c r="B4" s="744" t="s">
        <v>95</v>
      </c>
      <c r="C4" s="741" t="s">
        <v>1</v>
      </c>
      <c r="D4" s="742"/>
      <c r="E4" s="743"/>
      <c r="F4" s="741" t="s">
        <v>2</v>
      </c>
      <c r="G4" s="742"/>
      <c r="H4" s="743"/>
      <c r="I4" s="741" t="s">
        <v>3</v>
      </c>
      <c r="J4" s="742"/>
      <c r="K4" s="743"/>
      <c r="L4" s="741" t="s">
        <v>31</v>
      </c>
      <c r="M4" s="742"/>
      <c r="N4" s="743"/>
      <c r="O4" s="741" t="s">
        <v>33</v>
      </c>
      <c r="P4" s="742"/>
      <c r="Q4" s="743"/>
      <c r="R4" s="741" t="s">
        <v>34</v>
      </c>
      <c r="S4" s="742"/>
      <c r="T4" s="743"/>
      <c r="U4" s="741" t="s">
        <v>35</v>
      </c>
      <c r="V4" s="742"/>
      <c r="W4" s="743"/>
      <c r="X4" s="741" t="s">
        <v>36</v>
      </c>
      <c r="Y4" s="742"/>
      <c r="Z4" s="743"/>
      <c r="AA4" s="741" t="s">
        <v>37</v>
      </c>
      <c r="AB4" s="742"/>
      <c r="AC4" s="743"/>
      <c r="AD4" s="741" t="s">
        <v>38</v>
      </c>
      <c r="AE4" s="742"/>
      <c r="AF4" s="743"/>
      <c r="AG4" s="741" t="s">
        <v>39</v>
      </c>
      <c r="AH4" s="742"/>
      <c r="AI4" s="743"/>
      <c r="AJ4" s="741" t="s">
        <v>40</v>
      </c>
      <c r="AK4" s="742"/>
      <c r="AL4" s="743"/>
      <c r="AM4" s="738" t="s">
        <v>98</v>
      </c>
      <c r="AN4" s="110"/>
      <c r="AO4" s="740" t="s">
        <v>104</v>
      </c>
      <c r="AP4" s="740"/>
      <c r="AQ4" s="740"/>
      <c r="AR4" s="740"/>
      <c r="AS4" s="740"/>
      <c r="AT4" s="740"/>
      <c r="AU4" s="740"/>
      <c r="AV4" s="740"/>
      <c r="AW4" s="740"/>
      <c r="AX4" s="740"/>
      <c r="AY4" s="740"/>
      <c r="AZ4" s="740"/>
    </row>
    <row r="5" spans="1:68" ht="12" customHeight="1" thickBot="1" x14ac:dyDescent="0.3">
      <c r="B5" s="745"/>
      <c r="C5" s="43" t="s">
        <v>96</v>
      </c>
      <c r="D5" s="42" t="s">
        <v>99</v>
      </c>
      <c r="E5" s="81" t="s">
        <v>97</v>
      </c>
      <c r="F5" s="43" t="s">
        <v>96</v>
      </c>
      <c r="G5" s="42" t="s">
        <v>99</v>
      </c>
      <c r="H5" s="81" t="s">
        <v>97</v>
      </c>
      <c r="I5" s="43" t="s">
        <v>96</v>
      </c>
      <c r="J5" s="42" t="s">
        <v>99</v>
      </c>
      <c r="K5" s="81" t="s">
        <v>97</v>
      </c>
      <c r="L5" s="43" t="s">
        <v>96</v>
      </c>
      <c r="M5" s="42" t="s">
        <v>99</v>
      </c>
      <c r="N5" s="81" t="s">
        <v>97</v>
      </c>
      <c r="O5" s="43" t="s">
        <v>96</v>
      </c>
      <c r="P5" s="42" t="s">
        <v>99</v>
      </c>
      <c r="Q5" s="81" t="s">
        <v>97</v>
      </c>
      <c r="R5" s="43" t="s">
        <v>96</v>
      </c>
      <c r="S5" s="42" t="s">
        <v>99</v>
      </c>
      <c r="T5" s="81" t="s">
        <v>97</v>
      </c>
      <c r="U5" s="43" t="s">
        <v>96</v>
      </c>
      <c r="V5" s="42" t="s">
        <v>99</v>
      </c>
      <c r="W5" s="81" t="s">
        <v>97</v>
      </c>
      <c r="X5" s="43" t="s">
        <v>96</v>
      </c>
      <c r="Y5" s="42" t="s">
        <v>99</v>
      </c>
      <c r="Z5" s="81" t="s">
        <v>97</v>
      </c>
      <c r="AA5" s="43" t="s">
        <v>96</v>
      </c>
      <c r="AB5" s="42" t="s">
        <v>99</v>
      </c>
      <c r="AC5" s="81" t="s">
        <v>97</v>
      </c>
      <c r="AD5" s="43" t="s">
        <v>96</v>
      </c>
      <c r="AE5" s="42" t="s">
        <v>99</v>
      </c>
      <c r="AF5" s="81" t="s">
        <v>97</v>
      </c>
      <c r="AG5" s="43" t="s">
        <v>96</v>
      </c>
      <c r="AH5" s="42" t="s">
        <v>99</v>
      </c>
      <c r="AI5" s="81" t="s">
        <v>97</v>
      </c>
      <c r="AJ5" s="43" t="s">
        <v>96</v>
      </c>
      <c r="AK5" s="42" t="s">
        <v>99</v>
      </c>
      <c r="AL5" s="81" t="s">
        <v>97</v>
      </c>
      <c r="AM5" s="739"/>
      <c r="AN5" s="159"/>
      <c r="AO5" s="103" t="s">
        <v>1</v>
      </c>
      <c r="AP5" s="103" t="s">
        <v>2</v>
      </c>
      <c r="AQ5" s="103" t="s">
        <v>3</v>
      </c>
      <c r="AR5" s="103" t="s">
        <v>31</v>
      </c>
      <c r="AS5" s="103" t="s">
        <v>33</v>
      </c>
      <c r="AT5" s="103" t="s">
        <v>34</v>
      </c>
      <c r="AU5" s="103" t="s">
        <v>35</v>
      </c>
      <c r="AV5" s="103" t="s">
        <v>36</v>
      </c>
      <c r="AW5" s="103" t="s">
        <v>37</v>
      </c>
      <c r="AX5" s="103" t="s">
        <v>38</v>
      </c>
      <c r="AY5" s="103" t="s">
        <v>39</v>
      </c>
      <c r="AZ5" s="103" t="s">
        <v>40</v>
      </c>
    </row>
    <row r="6" spans="1:68" ht="12" thickBot="1" x14ac:dyDescent="0.3">
      <c r="A6" s="15" t="s">
        <v>5</v>
      </c>
      <c r="B6" s="527"/>
      <c r="C6" s="519"/>
      <c r="D6" s="520"/>
      <c r="E6" s="521"/>
      <c r="F6" s="522"/>
      <c r="G6" s="520"/>
      <c r="H6" s="521"/>
      <c r="I6" s="522"/>
      <c r="J6" s="520"/>
      <c r="K6" s="521"/>
      <c r="L6" s="522"/>
      <c r="M6" s="520"/>
      <c r="N6" s="521"/>
      <c r="O6" s="522"/>
      <c r="P6" s="520"/>
      <c r="Q6" s="521"/>
      <c r="R6" s="522"/>
      <c r="S6" s="520"/>
      <c r="T6" s="521"/>
      <c r="U6" s="522"/>
      <c r="V6" s="520"/>
      <c r="W6" s="521"/>
      <c r="X6" s="522"/>
      <c r="Y6" s="520"/>
      <c r="Z6" s="521"/>
      <c r="AA6" s="522"/>
      <c r="AB6" s="520"/>
      <c r="AC6" s="521"/>
      <c r="AD6" s="522"/>
      <c r="AE6" s="520"/>
      <c r="AF6" s="521"/>
      <c r="AG6" s="522"/>
      <c r="AH6" s="520"/>
      <c r="AI6" s="521"/>
      <c r="AJ6" s="522"/>
      <c r="AK6" s="520"/>
      <c r="AL6" s="521"/>
      <c r="AM6" s="85"/>
      <c r="AN6" s="159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B6" s="493" t="s">
        <v>700</v>
      </c>
      <c r="BC6" s="494" t="s">
        <v>701</v>
      </c>
      <c r="BD6" s="494" t="s">
        <v>702</v>
      </c>
      <c r="BE6" s="494" t="s">
        <v>703</v>
      </c>
      <c r="BF6" s="494" t="s">
        <v>704</v>
      </c>
      <c r="BG6" s="494" t="s">
        <v>705</v>
      </c>
      <c r="BH6" s="494" t="s">
        <v>706</v>
      </c>
      <c r="BI6" s="494" t="s">
        <v>707</v>
      </c>
      <c r="BJ6" s="494" t="s">
        <v>708</v>
      </c>
      <c r="BK6" s="494" t="s">
        <v>709</v>
      </c>
      <c r="BL6" s="494" t="s">
        <v>710</v>
      </c>
      <c r="BM6" s="494" t="s">
        <v>711</v>
      </c>
      <c r="BN6" s="495" t="s">
        <v>712</v>
      </c>
      <c r="BO6" s="496" t="s">
        <v>290</v>
      </c>
      <c r="BP6" s="497" t="s">
        <v>32</v>
      </c>
    </row>
    <row r="7" spans="1:68" x14ac:dyDescent="0.25">
      <c r="A7" s="158" t="s">
        <v>106</v>
      </c>
      <c r="B7" s="528"/>
      <c r="C7" s="523"/>
      <c r="D7" s="524">
        <f>BC7</f>
        <v>0</v>
      </c>
      <c r="E7" s="525">
        <f>D7</f>
        <v>0</v>
      </c>
      <c r="F7" s="526"/>
      <c r="G7" s="524">
        <f>BD7</f>
        <v>0</v>
      </c>
      <c r="H7" s="525">
        <f>G7</f>
        <v>0</v>
      </c>
      <c r="I7" s="526"/>
      <c r="J7" s="524">
        <f>BE7</f>
        <v>0</v>
      </c>
      <c r="K7" s="525">
        <f t="shared" ref="K7:K11" si="0">J7</f>
        <v>0</v>
      </c>
      <c r="L7" s="526"/>
      <c r="M7" s="524">
        <f>BF7</f>
        <v>0</v>
      </c>
      <c r="N7" s="525">
        <f t="shared" ref="N7:N11" si="1">M7</f>
        <v>0</v>
      </c>
      <c r="O7" s="526"/>
      <c r="P7" s="524">
        <f>BG7</f>
        <v>0</v>
      </c>
      <c r="Q7" s="525">
        <f t="shared" ref="Q7:Q11" si="2">P7</f>
        <v>0</v>
      </c>
      <c r="R7" s="526"/>
      <c r="S7" s="524">
        <f>BH7</f>
        <v>0</v>
      </c>
      <c r="T7" s="525">
        <f t="shared" ref="T7:T11" si="3">S7</f>
        <v>0</v>
      </c>
      <c r="U7" s="526"/>
      <c r="V7" s="524">
        <f>BI7</f>
        <v>0</v>
      </c>
      <c r="W7" s="525">
        <f t="shared" ref="W7:W11" si="4">V7</f>
        <v>0</v>
      </c>
      <c r="X7" s="526"/>
      <c r="Y7" s="524">
        <f>BJ7</f>
        <v>0</v>
      </c>
      <c r="Z7" s="525">
        <f t="shared" ref="Z7:Z11" si="5">Y7</f>
        <v>0</v>
      </c>
      <c r="AA7" s="526"/>
      <c r="AB7" s="524">
        <f>BK7</f>
        <v>0</v>
      </c>
      <c r="AC7" s="525">
        <f t="shared" ref="AC7:AC11" si="6">AB7</f>
        <v>0</v>
      </c>
      <c r="AD7" s="526"/>
      <c r="AE7" s="524">
        <f>BL7</f>
        <v>0</v>
      </c>
      <c r="AF7" s="525">
        <f t="shared" ref="AF7:AF11" si="7">AE7</f>
        <v>0</v>
      </c>
      <c r="AG7" s="526"/>
      <c r="AH7" s="524">
        <f>BM7</f>
        <v>0</v>
      </c>
      <c r="AI7" s="525">
        <f t="shared" ref="AI7:AI11" si="8">AH7</f>
        <v>0</v>
      </c>
      <c r="AJ7" s="526"/>
      <c r="AK7" s="524">
        <f>BN7</f>
        <v>0</v>
      </c>
      <c r="AL7" s="525">
        <f t="shared" ref="AL7:AL11" si="9">AK7</f>
        <v>0</v>
      </c>
      <c r="AM7" s="82">
        <f>SUM(D7,G7,J7,M7,P7,S7,V7,Y7,AB7,AE7,AH7,AK7)</f>
        <v>0</v>
      </c>
      <c r="AN7" s="159"/>
      <c r="AO7" s="104">
        <f>E7</f>
        <v>0</v>
      </c>
      <c r="AP7" s="104">
        <f>H7</f>
        <v>0</v>
      </c>
      <c r="AQ7" s="104">
        <f>K7</f>
        <v>0</v>
      </c>
      <c r="AR7" s="104">
        <f>N7</f>
        <v>0</v>
      </c>
      <c r="AS7" s="104">
        <f>Q7</f>
        <v>0</v>
      </c>
      <c r="AT7" s="104">
        <f>T7</f>
        <v>0</v>
      </c>
      <c r="AU7" s="104">
        <f>W7</f>
        <v>0</v>
      </c>
      <c r="AV7" s="104">
        <f>Z7</f>
        <v>0</v>
      </c>
      <c r="AW7" s="104">
        <f>AC7</f>
        <v>0</v>
      </c>
      <c r="AX7" s="104">
        <f>AF7</f>
        <v>0</v>
      </c>
      <c r="AY7" s="104">
        <f>AI7</f>
        <v>0</v>
      </c>
      <c r="AZ7" s="104">
        <f>AL7</f>
        <v>0</v>
      </c>
      <c r="BB7" s="498" t="s">
        <v>106</v>
      </c>
      <c r="BC7" s="499"/>
      <c r="BD7" s="499"/>
      <c r="BE7" s="499"/>
      <c r="BF7" s="499"/>
      <c r="BG7" s="499"/>
      <c r="BH7" s="499"/>
      <c r="BI7" s="499"/>
      <c r="BJ7" s="499"/>
      <c r="BK7" s="499"/>
      <c r="BL7" s="499"/>
      <c r="BM7" s="499"/>
      <c r="BN7" s="500"/>
      <c r="BO7" s="501">
        <f>SUM(BC7:BN7)</f>
        <v>0</v>
      </c>
      <c r="BP7" s="502">
        <f>BO7-AM7</f>
        <v>0</v>
      </c>
    </row>
    <row r="8" spans="1:68" x14ac:dyDescent="0.25">
      <c r="A8" s="158" t="s">
        <v>107</v>
      </c>
      <c r="B8" s="528"/>
      <c r="C8" s="523"/>
      <c r="D8" s="524">
        <f t="shared" ref="D8:D11" si="10">BC8</f>
        <v>0</v>
      </c>
      <c r="E8" s="525">
        <f t="shared" ref="E8:E9" si="11">D8</f>
        <v>0</v>
      </c>
      <c r="F8" s="526"/>
      <c r="G8" s="524">
        <f t="shared" ref="G8:G11" si="12">BD8</f>
        <v>0</v>
      </c>
      <c r="H8" s="525">
        <f t="shared" ref="H8:H9" si="13">G8</f>
        <v>0</v>
      </c>
      <c r="I8" s="526"/>
      <c r="J8" s="524">
        <f t="shared" ref="J8:J11" si="14">BE8</f>
        <v>0</v>
      </c>
      <c r="K8" s="525">
        <f t="shared" si="0"/>
        <v>0</v>
      </c>
      <c r="L8" s="526"/>
      <c r="M8" s="524">
        <f t="shared" ref="M8:M11" si="15">BF8</f>
        <v>0</v>
      </c>
      <c r="N8" s="525">
        <f t="shared" si="1"/>
        <v>0</v>
      </c>
      <c r="O8" s="526"/>
      <c r="P8" s="524">
        <f t="shared" ref="P8:P11" si="16">BG8</f>
        <v>0</v>
      </c>
      <c r="Q8" s="525">
        <f t="shared" si="2"/>
        <v>0</v>
      </c>
      <c r="R8" s="526"/>
      <c r="S8" s="524">
        <f t="shared" ref="S8:S11" si="17">BH8</f>
        <v>0</v>
      </c>
      <c r="T8" s="525">
        <f t="shared" si="3"/>
        <v>0</v>
      </c>
      <c r="U8" s="526"/>
      <c r="V8" s="524">
        <f t="shared" ref="V8:V11" si="18">BI8</f>
        <v>0</v>
      </c>
      <c r="W8" s="525">
        <f t="shared" si="4"/>
        <v>0</v>
      </c>
      <c r="X8" s="526"/>
      <c r="Y8" s="524">
        <f t="shared" ref="Y8:Y11" si="19">BJ8</f>
        <v>0</v>
      </c>
      <c r="Z8" s="525">
        <f t="shared" si="5"/>
        <v>0</v>
      </c>
      <c r="AA8" s="526"/>
      <c r="AB8" s="524">
        <f t="shared" ref="AB8:AB11" si="20">BK8</f>
        <v>0</v>
      </c>
      <c r="AC8" s="525">
        <f t="shared" si="6"/>
        <v>0</v>
      </c>
      <c r="AD8" s="526"/>
      <c r="AE8" s="524">
        <f t="shared" ref="AE8:AE11" si="21">BL8</f>
        <v>0</v>
      </c>
      <c r="AF8" s="525">
        <f t="shared" si="7"/>
        <v>0</v>
      </c>
      <c r="AG8" s="526"/>
      <c r="AH8" s="524">
        <f t="shared" ref="AH8:AH11" si="22">BM8</f>
        <v>0</v>
      </c>
      <c r="AI8" s="525">
        <f t="shared" si="8"/>
        <v>0</v>
      </c>
      <c r="AJ8" s="526"/>
      <c r="AK8" s="524">
        <f t="shared" ref="AK8:AK11" si="23">BN8</f>
        <v>0</v>
      </c>
      <c r="AL8" s="525">
        <f t="shared" si="9"/>
        <v>0</v>
      </c>
      <c r="AM8" s="82">
        <f>SUM(D8,G8,J8,M8,P8,S8,V8,Y8,AB8,AE8,AH8,AK8)</f>
        <v>0</v>
      </c>
      <c r="AN8" s="159"/>
      <c r="AO8" s="104">
        <f>E8</f>
        <v>0</v>
      </c>
      <c r="AP8" s="104">
        <f>H8</f>
        <v>0</v>
      </c>
      <c r="AQ8" s="104">
        <f>K8</f>
        <v>0</v>
      </c>
      <c r="AR8" s="104">
        <f>N8</f>
        <v>0</v>
      </c>
      <c r="AS8" s="104">
        <f>Q8</f>
        <v>0</v>
      </c>
      <c r="AT8" s="104">
        <f>T8</f>
        <v>0</v>
      </c>
      <c r="AU8" s="104">
        <f>W8</f>
        <v>0</v>
      </c>
      <c r="AV8" s="104">
        <f>Z8</f>
        <v>0</v>
      </c>
      <c r="AW8" s="104">
        <f>AC8</f>
        <v>0</v>
      </c>
      <c r="AX8" s="104">
        <f>AF8</f>
        <v>0</v>
      </c>
      <c r="AY8" s="104">
        <f>AI8</f>
        <v>0</v>
      </c>
      <c r="AZ8" s="104">
        <f>AL8</f>
        <v>0</v>
      </c>
      <c r="BB8" s="503" t="s">
        <v>107</v>
      </c>
      <c r="BC8" s="504"/>
      <c r="BD8" s="504"/>
      <c r="BE8" s="504"/>
      <c r="BF8" s="504"/>
      <c r="BG8" s="504"/>
      <c r="BH8" s="504"/>
      <c r="BI8" s="504"/>
      <c r="BJ8" s="504"/>
      <c r="BK8" s="504"/>
      <c r="BL8" s="504"/>
      <c r="BM8" s="504"/>
      <c r="BN8" s="505"/>
      <c r="BO8" s="506">
        <f t="shared" ref="BO8:BO11" si="24">SUM(BC8:BN8)</f>
        <v>0</v>
      </c>
      <c r="BP8" s="507">
        <f>BO8-AM8</f>
        <v>0</v>
      </c>
    </row>
    <row r="9" spans="1:68" x14ac:dyDescent="0.25">
      <c r="A9" s="158" t="s">
        <v>108</v>
      </c>
      <c r="B9" s="528"/>
      <c r="C9" s="523"/>
      <c r="D9" s="524">
        <f t="shared" si="10"/>
        <v>0</v>
      </c>
      <c r="E9" s="525">
        <f t="shared" si="11"/>
        <v>0</v>
      </c>
      <c r="F9" s="526"/>
      <c r="G9" s="524">
        <f t="shared" si="12"/>
        <v>0</v>
      </c>
      <c r="H9" s="525">
        <f t="shared" si="13"/>
        <v>0</v>
      </c>
      <c r="I9" s="526"/>
      <c r="J9" s="524">
        <f t="shared" si="14"/>
        <v>0</v>
      </c>
      <c r="K9" s="525">
        <f t="shared" si="0"/>
        <v>0</v>
      </c>
      <c r="L9" s="526"/>
      <c r="M9" s="524">
        <f t="shared" si="15"/>
        <v>0</v>
      </c>
      <c r="N9" s="525">
        <f t="shared" si="1"/>
        <v>0</v>
      </c>
      <c r="O9" s="526"/>
      <c r="P9" s="524">
        <f t="shared" si="16"/>
        <v>0</v>
      </c>
      <c r="Q9" s="525">
        <f t="shared" si="2"/>
        <v>0</v>
      </c>
      <c r="R9" s="526"/>
      <c r="S9" s="524">
        <f t="shared" si="17"/>
        <v>0</v>
      </c>
      <c r="T9" s="525">
        <f t="shared" si="3"/>
        <v>0</v>
      </c>
      <c r="U9" s="526"/>
      <c r="V9" s="524">
        <f t="shared" si="18"/>
        <v>0</v>
      </c>
      <c r="W9" s="525">
        <f t="shared" si="4"/>
        <v>0</v>
      </c>
      <c r="X9" s="526"/>
      <c r="Y9" s="524">
        <f t="shared" si="19"/>
        <v>0</v>
      </c>
      <c r="Z9" s="525">
        <f t="shared" si="5"/>
        <v>0</v>
      </c>
      <c r="AA9" s="526"/>
      <c r="AB9" s="524">
        <f t="shared" si="20"/>
        <v>0</v>
      </c>
      <c r="AC9" s="525">
        <f t="shared" si="6"/>
        <v>0</v>
      </c>
      <c r="AD9" s="526"/>
      <c r="AE9" s="524">
        <f t="shared" si="21"/>
        <v>0</v>
      </c>
      <c r="AF9" s="525">
        <f t="shared" si="7"/>
        <v>0</v>
      </c>
      <c r="AG9" s="526"/>
      <c r="AH9" s="524">
        <f t="shared" si="22"/>
        <v>0</v>
      </c>
      <c r="AI9" s="525">
        <f t="shared" si="8"/>
        <v>0</v>
      </c>
      <c r="AJ9" s="526"/>
      <c r="AK9" s="524">
        <f t="shared" si="23"/>
        <v>0</v>
      </c>
      <c r="AL9" s="525">
        <f t="shared" si="9"/>
        <v>0</v>
      </c>
      <c r="AM9" s="82">
        <f>SUM(D9,G9,J9,M9,P9,S9,V9,Y9,AB9,AE9,AH9,AK9)</f>
        <v>0</v>
      </c>
      <c r="AN9" s="159"/>
      <c r="AO9" s="104">
        <f>E9</f>
        <v>0</v>
      </c>
      <c r="AP9" s="104">
        <f>H9</f>
        <v>0</v>
      </c>
      <c r="AQ9" s="104">
        <f>K9</f>
        <v>0</v>
      </c>
      <c r="AR9" s="104">
        <f>N9</f>
        <v>0</v>
      </c>
      <c r="AS9" s="104">
        <f>Q9</f>
        <v>0</v>
      </c>
      <c r="AT9" s="104">
        <f>T9</f>
        <v>0</v>
      </c>
      <c r="AU9" s="104">
        <f>W9</f>
        <v>0</v>
      </c>
      <c r="AV9" s="104">
        <f>Z9</f>
        <v>0</v>
      </c>
      <c r="AW9" s="104">
        <f>AC9</f>
        <v>0</v>
      </c>
      <c r="AX9" s="104">
        <f>AF9</f>
        <v>0</v>
      </c>
      <c r="AY9" s="104">
        <f>AI9</f>
        <v>0</v>
      </c>
      <c r="AZ9" s="104">
        <f>AL9</f>
        <v>0</v>
      </c>
      <c r="BB9" s="503" t="s">
        <v>108</v>
      </c>
      <c r="BC9" s="504"/>
      <c r="BD9" s="504"/>
      <c r="BE9" s="504"/>
      <c r="BF9" s="504"/>
      <c r="BG9" s="504"/>
      <c r="BH9" s="504"/>
      <c r="BI9" s="504"/>
      <c r="BJ9" s="504"/>
      <c r="BK9" s="504"/>
      <c r="BL9" s="504"/>
      <c r="BM9" s="504"/>
      <c r="BN9" s="505"/>
      <c r="BO9" s="506">
        <f t="shared" si="24"/>
        <v>0</v>
      </c>
      <c r="BP9" s="507">
        <f>BO9-AM9</f>
        <v>0</v>
      </c>
    </row>
    <row r="10" spans="1:68" x14ac:dyDescent="0.25">
      <c r="A10" s="158" t="s">
        <v>109</v>
      </c>
      <c r="B10" s="528"/>
      <c r="C10" s="523"/>
      <c r="D10" s="524">
        <f t="shared" si="10"/>
        <v>0</v>
      </c>
      <c r="E10" s="525">
        <f>D10</f>
        <v>0</v>
      </c>
      <c r="F10" s="526"/>
      <c r="G10" s="524">
        <f t="shared" si="12"/>
        <v>0</v>
      </c>
      <c r="H10" s="525">
        <f>G10</f>
        <v>0</v>
      </c>
      <c r="I10" s="526"/>
      <c r="J10" s="524">
        <f t="shared" si="14"/>
        <v>0</v>
      </c>
      <c r="K10" s="525">
        <f t="shared" si="0"/>
        <v>0</v>
      </c>
      <c r="L10" s="526"/>
      <c r="M10" s="524">
        <f t="shared" si="15"/>
        <v>0</v>
      </c>
      <c r="N10" s="525">
        <f t="shared" si="1"/>
        <v>0</v>
      </c>
      <c r="O10" s="526"/>
      <c r="P10" s="524">
        <f t="shared" si="16"/>
        <v>0</v>
      </c>
      <c r="Q10" s="525">
        <f t="shared" si="2"/>
        <v>0</v>
      </c>
      <c r="R10" s="526"/>
      <c r="S10" s="524">
        <f t="shared" si="17"/>
        <v>0</v>
      </c>
      <c r="T10" s="525">
        <f t="shared" si="3"/>
        <v>0</v>
      </c>
      <c r="U10" s="526"/>
      <c r="V10" s="524">
        <f t="shared" si="18"/>
        <v>0</v>
      </c>
      <c r="W10" s="525">
        <f t="shared" si="4"/>
        <v>0</v>
      </c>
      <c r="X10" s="526"/>
      <c r="Y10" s="524">
        <f t="shared" si="19"/>
        <v>0</v>
      </c>
      <c r="Z10" s="525">
        <f t="shared" si="5"/>
        <v>0</v>
      </c>
      <c r="AA10" s="526"/>
      <c r="AB10" s="524">
        <f t="shared" si="20"/>
        <v>0</v>
      </c>
      <c r="AC10" s="525">
        <f t="shared" si="6"/>
        <v>0</v>
      </c>
      <c r="AD10" s="526"/>
      <c r="AE10" s="524">
        <f t="shared" si="21"/>
        <v>0</v>
      </c>
      <c r="AF10" s="525">
        <f t="shared" si="7"/>
        <v>0</v>
      </c>
      <c r="AG10" s="526"/>
      <c r="AH10" s="524">
        <f t="shared" si="22"/>
        <v>0</v>
      </c>
      <c r="AI10" s="525">
        <f t="shared" si="8"/>
        <v>0</v>
      </c>
      <c r="AJ10" s="526"/>
      <c r="AK10" s="524">
        <f t="shared" si="23"/>
        <v>0</v>
      </c>
      <c r="AL10" s="525">
        <f t="shared" si="9"/>
        <v>0</v>
      </c>
      <c r="AM10" s="82">
        <f>SUM(D10,G10,J10,M10,P10,S10,V10,Y10,AB10,AE10,AH10,AK10)</f>
        <v>0</v>
      </c>
      <c r="AN10" s="159"/>
      <c r="AO10" s="104">
        <f>E10</f>
        <v>0</v>
      </c>
      <c r="AP10" s="104">
        <f>H10</f>
        <v>0</v>
      </c>
      <c r="AQ10" s="104">
        <f>K10</f>
        <v>0</v>
      </c>
      <c r="AR10" s="104">
        <f>N10</f>
        <v>0</v>
      </c>
      <c r="AS10" s="104">
        <f>Q10</f>
        <v>0</v>
      </c>
      <c r="AT10" s="104">
        <f>T10</f>
        <v>0</v>
      </c>
      <c r="AU10" s="104">
        <f>W10</f>
        <v>0</v>
      </c>
      <c r="AV10" s="104">
        <f>Z10</f>
        <v>0</v>
      </c>
      <c r="AW10" s="104">
        <f>AC10</f>
        <v>0</v>
      </c>
      <c r="AX10" s="104">
        <f>AF10</f>
        <v>0</v>
      </c>
      <c r="AY10" s="104">
        <f>AI10</f>
        <v>0</v>
      </c>
      <c r="AZ10" s="104">
        <f>AL10</f>
        <v>0</v>
      </c>
      <c r="BB10" s="503" t="s">
        <v>109</v>
      </c>
      <c r="BC10" s="504"/>
      <c r="BD10" s="504"/>
      <c r="BE10" s="504"/>
      <c r="BF10" s="504"/>
      <c r="BG10" s="504"/>
      <c r="BH10" s="504"/>
      <c r="BI10" s="504"/>
      <c r="BJ10" s="504"/>
      <c r="BK10" s="504"/>
      <c r="BL10" s="504"/>
      <c r="BM10" s="504"/>
      <c r="BN10" s="505"/>
      <c r="BO10" s="506">
        <f t="shared" si="24"/>
        <v>0</v>
      </c>
      <c r="BP10" s="507">
        <f>BO10-AM10</f>
        <v>0</v>
      </c>
    </row>
    <row r="11" spans="1:68" ht="12" thickBot="1" x14ac:dyDescent="0.3">
      <c r="A11" s="158" t="s">
        <v>110</v>
      </c>
      <c r="B11" s="528"/>
      <c r="C11" s="523"/>
      <c r="D11" s="524">
        <f t="shared" si="10"/>
        <v>0</v>
      </c>
      <c r="E11" s="525">
        <f>D11</f>
        <v>0</v>
      </c>
      <c r="F11" s="526"/>
      <c r="G11" s="524">
        <f t="shared" si="12"/>
        <v>0</v>
      </c>
      <c r="H11" s="525">
        <f>G11</f>
        <v>0</v>
      </c>
      <c r="I11" s="526"/>
      <c r="J11" s="524">
        <f t="shared" si="14"/>
        <v>0</v>
      </c>
      <c r="K11" s="525">
        <f t="shared" si="0"/>
        <v>0</v>
      </c>
      <c r="L11" s="526"/>
      <c r="M11" s="524">
        <f t="shared" si="15"/>
        <v>0</v>
      </c>
      <c r="N11" s="525">
        <f t="shared" si="1"/>
        <v>0</v>
      </c>
      <c r="O11" s="526"/>
      <c r="P11" s="524">
        <f t="shared" si="16"/>
        <v>0</v>
      </c>
      <c r="Q11" s="525">
        <f t="shared" si="2"/>
        <v>0</v>
      </c>
      <c r="R11" s="526"/>
      <c r="S11" s="524">
        <f t="shared" si="17"/>
        <v>0</v>
      </c>
      <c r="T11" s="525">
        <f t="shared" si="3"/>
        <v>0</v>
      </c>
      <c r="U11" s="526"/>
      <c r="V11" s="524">
        <f t="shared" si="18"/>
        <v>0</v>
      </c>
      <c r="W11" s="525">
        <f t="shared" si="4"/>
        <v>0</v>
      </c>
      <c r="X11" s="526"/>
      <c r="Y11" s="524">
        <f t="shared" si="19"/>
        <v>0</v>
      </c>
      <c r="Z11" s="525">
        <f t="shared" si="5"/>
        <v>0</v>
      </c>
      <c r="AA11" s="526"/>
      <c r="AB11" s="524">
        <f t="shared" si="20"/>
        <v>0</v>
      </c>
      <c r="AC11" s="525">
        <f t="shared" si="6"/>
        <v>0</v>
      </c>
      <c r="AD11" s="526"/>
      <c r="AE11" s="524">
        <f t="shared" si="21"/>
        <v>0</v>
      </c>
      <c r="AF11" s="525">
        <f t="shared" si="7"/>
        <v>0</v>
      </c>
      <c r="AG11" s="526"/>
      <c r="AH11" s="524">
        <f t="shared" si="22"/>
        <v>0</v>
      </c>
      <c r="AI11" s="525">
        <f t="shared" si="8"/>
        <v>0</v>
      </c>
      <c r="AJ11" s="526"/>
      <c r="AK11" s="524">
        <f t="shared" si="23"/>
        <v>0</v>
      </c>
      <c r="AL11" s="525">
        <f t="shared" si="9"/>
        <v>0</v>
      </c>
      <c r="AM11" s="82">
        <f>SUM(D11,G11,J11,M11,P11,S11,V11,Y11,AB11,AE11,AH11,AK11)</f>
        <v>0</v>
      </c>
      <c r="AN11" s="159"/>
      <c r="AO11" s="104">
        <f>E11</f>
        <v>0</v>
      </c>
      <c r="AP11" s="104">
        <f>H11</f>
        <v>0</v>
      </c>
      <c r="AQ11" s="104">
        <f>K11</f>
        <v>0</v>
      </c>
      <c r="AR11" s="104">
        <f>N11</f>
        <v>0</v>
      </c>
      <c r="AS11" s="104">
        <f>Q11</f>
        <v>0</v>
      </c>
      <c r="AT11" s="104">
        <f>T11</f>
        <v>0</v>
      </c>
      <c r="AU11" s="104">
        <f>W11</f>
        <v>0</v>
      </c>
      <c r="AV11" s="104">
        <f>Z11</f>
        <v>0</v>
      </c>
      <c r="AW11" s="104">
        <f>AC11</f>
        <v>0</v>
      </c>
      <c r="AX11" s="104">
        <f>AF11</f>
        <v>0</v>
      </c>
      <c r="AY11" s="104">
        <f>AI11</f>
        <v>0</v>
      </c>
      <c r="AZ11" s="104">
        <f>AL11</f>
        <v>0</v>
      </c>
      <c r="BB11" s="508" t="s">
        <v>110</v>
      </c>
      <c r="BC11" s="509"/>
      <c r="BD11" s="509"/>
      <c r="BE11" s="509"/>
      <c r="BF11" s="509"/>
      <c r="BG11" s="509"/>
      <c r="BH11" s="509"/>
      <c r="BI11" s="509"/>
      <c r="BJ11" s="509"/>
      <c r="BK11" s="509"/>
      <c r="BL11" s="509"/>
      <c r="BM11" s="509"/>
      <c r="BN11" s="510"/>
      <c r="BO11" s="511">
        <f t="shared" si="24"/>
        <v>0</v>
      </c>
      <c r="BP11" s="512">
        <f>BO11-AM11</f>
        <v>0</v>
      </c>
    </row>
    <row r="12" spans="1:68" ht="12" thickBot="1" x14ac:dyDescent="0.3">
      <c r="A12" s="98" t="s">
        <v>8</v>
      </c>
      <c r="B12" s="527"/>
      <c r="C12" s="258"/>
      <c r="D12" s="259"/>
      <c r="E12" s="260"/>
      <c r="F12" s="258"/>
      <c r="G12" s="259"/>
      <c r="H12" s="260"/>
      <c r="I12" s="258"/>
      <c r="J12" s="259"/>
      <c r="K12" s="260"/>
      <c r="L12" s="258"/>
      <c r="M12" s="259"/>
      <c r="N12" s="260"/>
      <c r="O12" s="258"/>
      <c r="P12" s="259"/>
      <c r="Q12" s="260"/>
      <c r="R12" s="258"/>
      <c r="S12" s="259"/>
      <c r="T12" s="260"/>
      <c r="U12" s="258"/>
      <c r="V12" s="259"/>
      <c r="W12" s="260"/>
      <c r="X12" s="258"/>
      <c r="Y12" s="259"/>
      <c r="Z12" s="260"/>
      <c r="AA12" s="258"/>
      <c r="AB12" s="259"/>
      <c r="AC12" s="260"/>
      <c r="AD12" s="258"/>
      <c r="AE12" s="259"/>
      <c r="AF12" s="260"/>
      <c r="AG12" s="258"/>
      <c r="AH12" s="259"/>
      <c r="AI12" s="260"/>
      <c r="AJ12" s="258"/>
      <c r="AK12" s="259"/>
      <c r="AL12" s="260"/>
      <c r="AM12" s="261"/>
      <c r="AN12" s="159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B12" s="513" t="s">
        <v>290</v>
      </c>
      <c r="BC12" s="514">
        <f>SUM(BC7:BC11)</f>
        <v>0</v>
      </c>
      <c r="BD12" s="514">
        <f t="shared" ref="BD12:BO12" si="25">SUM(BD7:BD11)</f>
        <v>0</v>
      </c>
      <c r="BE12" s="514">
        <f t="shared" si="25"/>
        <v>0</v>
      </c>
      <c r="BF12" s="514">
        <f t="shared" si="25"/>
        <v>0</v>
      </c>
      <c r="BG12" s="514">
        <f t="shared" si="25"/>
        <v>0</v>
      </c>
      <c r="BH12" s="514">
        <f t="shared" si="25"/>
        <v>0</v>
      </c>
      <c r="BI12" s="514">
        <f t="shared" si="25"/>
        <v>0</v>
      </c>
      <c r="BJ12" s="514">
        <f t="shared" si="25"/>
        <v>0</v>
      </c>
      <c r="BK12" s="514">
        <f t="shared" si="25"/>
        <v>0</v>
      </c>
      <c r="BL12" s="514">
        <f t="shared" si="25"/>
        <v>0</v>
      </c>
      <c r="BM12" s="514">
        <f t="shared" si="25"/>
        <v>0</v>
      </c>
      <c r="BN12" s="515">
        <f t="shared" si="25"/>
        <v>0</v>
      </c>
      <c r="BO12" s="516">
        <f t="shared" si="25"/>
        <v>0</v>
      </c>
      <c r="BP12" s="517"/>
    </row>
    <row r="13" spans="1:68" x14ac:dyDescent="0.25">
      <c r="A13" s="99" t="s">
        <v>41</v>
      </c>
      <c r="B13" s="535" t="s">
        <v>657</v>
      </c>
      <c r="C13" s="75"/>
      <c r="D13" s="62"/>
      <c r="E13" s="63">
        <f>D13</f>
        <v>0</v>
      </c>
      <c r="F13" s="75"/>
      <c r="G13" s="62"/>
      <c r="H13" s="63">
        <f>G13</f>
        <v>0</v>
      </c>
      <c r="I13" s="75"/>
      <c r="J13" s="62"/>
      <c r="K13" s="63">
        <f>J13</f>
        <v>0</v>
      </c>
      <c r="L13" s="75"/>
      <c r="M13" s="62"/>
      <c r="N13" s="63">
        <f>M13</f>
        <v>0</v>
      </c>
      <c r="O13" s="75"/>
      <c r="P13" s="62"/>
      <c r="Q13" s="63">
        <f>P13</f>
        <v>0</v>
      </c>
      <c r="R13" s="75"/>
      <c r="S13" s="62"/>
      <c r="T13" s="63">
        <f>S13</f>
        <v>0</v>
      </c>
      <c r="U13" s="75"/>
      <c r="V13" s="62"/>
      <c r="W13" s="63">
        <f>V13</f>
        <v>0</v>
      </c>
      <c r="X13" s="75"/>
      <c r="Y13" s="62"/>
      <c r="Z13" s="63">
        <f>Y13</f>
        <v>0</v>
      </c>
      <c r="AA13" s="75"/>
      <c r="AB13" s="62"/>
      <c r="AC13" s="63">
        <f>AB13</f>
        <v>0</v>
      </c>
      <c r="AD13" s="75"/>
      <c r="AE13" s="62"/>
      <c r="AF13" s="63">
        <f>AE13</f>
        <v>0</v>
      </c>
      <c r="AG13" s="75"/>
      <c r="AH13" s="62"/>
      <c r="AI13" s="63">
        <f>AH13</f>
        <v>0</v>
      </c>
      <c r="AJ13" s="75"/>
      <c r="AK13" s="62"/>
      <c r="AL13" s="63">
        <f>AK13</f>
        <v>0</v>
      </c>
      <c r="AM13" s="86">
        <f t="shared" ref="AM13:AM18" si="26">SUM(D13,G13,J13,M13,P13,S13,V13,Y13,AB13,AE13,AH13,AK13)</f>
        <v>0</v>
      </c>
      <c r="AN13" s="159"/>
      <c r="AO13" s="104">
        <f>E13</f>
        <v>0</v>
      </c>
      <c r="AP13" s="104">
        <f>H13</f>
        <v>0</v>
      </c>
      <c r="AQ13" s="104">
        <f t="shared" ref="AQ13:AQ18" si="27">K13</f>
        <v>0</v>
      </c>
      <c r="AR13" s="104">
        <f t="shared" ref="AR13:AR18" si="28">N13</f>
        <v>0</v>
      </c>
      <c r="AS13" s="104">
        <f t="shared" ref="AS13:AS18" si="29">Q13</f>
        <v>0</v>
      </c>
      <c r="AT13" s="104">
        <f t="shared" ref="AT13:AT18" si="30">T13</f>
        <v>0</v>
      </c>
      <c r="AU13" s="104">
        <f t="shared" ref="AU13:AU18" si="31">W13</f>
        <v>0</v>
      </c>
      <c r="AV13" s="104">
        <f t="shared" ref="AV13:AV18" si="32">Z13</f>
        <v>0</v>
      </c>
      <c r="AW13" s="104">
        <f t="shared" ref="AW13:AW18" si="33">AC13</f>
        <v>0</v>
      </c>
      <c r="AX13" s="104">
        <f t="shared" ref="AX13:AX18" si="34">AF13</f>
        <v>0</v>
      </c>
      <c r="AY13" s="104">
        <f t="shared" ref="AY13:AY18" si="35">AI13</f>
        <v>0</v>
      </c>
      <c r="AZ13" s="104">
        <f t="shared" ref="AZ13:AZ18" si="36">AL13</f>
        <v>0</v>
      </c>
    </row>
    <row r="14" spans="1:68" x14ac:dyDescent="0.25">
      <c r="A14" s="99" t="s">
        <v>42</v>
      </c>
      <c r="B14" s="529"/>
      <c r="C14" s="78"/>
      <c r="D14" s="61">
        <f>'กำลัง VET'!E30</f>
        <v>0</v>
      </c>
      <c r="E14" s="63">
        <f>D14</f>
        <v>0</v>
      </c>
      <c r="F14" s="78"/>
      <c r="G14" s="61">
        <f>'กำลัง VET'!F30</f>
        <v>0</v>
      </c>
      <c r="H14" s="63">
        <f>E14+G14</f>
        <v>0</v>
      </c>
      <c r="I14" s="78"/>
      <c r="J14" s="61">
        <f>'กำลัง VET'!G30</f>
        <v>0</v>
      </c>
      <c r="K14" s="63">
        <f>H14+J14</f>
        <v>0</v>
      </c>
      <c r="L14" s="78"/>
      <c r="M14" s="61">
        <f>'กำลัง VET'!H30</f>
        <v>0</v>
      </c>
      <c r="N14" s="63">
        <f>K14+M14</f>
        <v>0</v>
      </c>
      <c r="O14" s="78"/>
      <c r="P14" s="61">
        <f>'กำลัง VET'!I30</f>
        <v>0</v>
      </c>
      <c r="Q14" s="63">
        <f>N14+P14</f>
        <v>0</v>
      </c>
      <c r="R14" s="78"/>
      <c r="S14" s="61">
        <f>'กำลัง VET'!J30</f>
        <v>0</v>
      </c>
      <c r="T14" s="63">
        <f>Q14+S14</f>
        <v>0</v>
      </c>
      <c r="U14" s="78"/>
      <c r="V14" s="61">
        <f>'กำลัง VET'!K30</f>
        <v>0</v>
      </c>
      <c r="W14" s="63">
        <f>T14+V14</f>
        <v>0</v>
      </c>
      <c r="X14" s="78"/>
      <c r="Y14" s="61">
        <f>'กำลัง VET'!L30</f>
        <v>0</v>
      </c>
      <c r="Z14" s="63">
        <f>W14+Y14</f>
        <v>0</v>
      </c>
      <c r="AA14" s="78"/>
      <c r="AB14" s="61">
        <f>'กำลัง VET'!M30</f>
        <v>0</v>
      </c>
      <c r="AC14" s="63">
        <f>Z14+AB14</f>
        <v>0</v>
      </c>
      <c r="AD14" s="78"/>
      <c r="AE14" s="61">
        <f>'กำลัง VET'!N30</f>
        <v>0</v>
      </c>
      <c r="AF14" s="63">
        <f>AC14+AE14</f>
        <v>0</v>
      </c>
      <c r="AG14" s="78"/>
      <c r="AH14" s="61">
        <f>'กำลัง VET'!O30</f>
        <v>0</v>
      </c>
      <c r="AI14" s="63">
        <f>AF14+AH14</f>
        <v>0</v>
      </c>
      <c r="AJ14" s="78"/>
      <c r="AK14" s="61">
        <f>'กำลัง VET'!P30</f>
        <v>0</v>
      </c>
      <c r="AL14" s="63">
        <f>AI14+AK14</f>
        <v>0</v>
      </c>
      <c r="AM14" s="86">
        <f t="shared" si="26"/>
        <v>0</v>
      </c>
      <c r="AN14" s="159"/>
      <c r="AO14" s="104">
        <f t="shared" ref="AO14:AO18" si="37">E14</f>
        <v>0</v>
      </c>
      <c r="AP14" s="104">
        <f t="shared" ref="AP14:AP18" si="38">H14</f>
        <v>0</v>
      </c>
      <c r="AQ14" s="104">
        <f t="shared" si="27"/>
        <v>0</v>
      </c>
      <c r="AR14" s="104">
        <f t="shared" si="28"/>
        <v>0</v>
      </c>
      <c r="AS14" s="104">
        <f t="shared" si="29"/>
        <v>0</v>
      </c>
      <c r="AT14" s="104">
        <f t="shared" si="30"/>
        <v>0</v>
      </c>
      <c r="AU14" s="104">
        <f t="shared" si="31"/>
        <v>0</v>
      </c>
      <c r="AV14" s="104">
        <f t="shared" si="32"/>
        <v>0</v>
      </c>
      <c r="AW14" s="104">
        <f t="shared" si="33"/>
        <v>0</v>
      </c>
      <c r="AX14" s="104">
        <f t="shared" si="34"/>
        <v>0</v>
      </c>
      <c r="AY14" s="104">
        <f t="shared" si="35"/>
        <v>0</v>
      </c>
      <c r="AZ14" s="104">
        <f t="shared" si="36"/>
        <v>0</v>
      </c>
    </row>
    <row r="15" spans="1:68" x14ac:dyDescent="0.25">
      <c r="A15" s="99" t="s">
        <v>43</v>
      </c>
      <c r="B15" s="529"/>
      <c r="C15" s="75"/>
      <c r="D15" s="62"/>
      <c r="E15" s="63">
        <f>D15</f>
        <v>0</v>
      </c>
      <c r="F15" s="75"/>
      <c r="G15" s="62"/>
      <c r="H15" s="63">
        <f>G15</f>
        <v>0</v>
      </c>
      <c r="I15" s="75"/>
      <c r="J15" s="62"/>
      <c r="K15" s="63">
        <f>J15</f>
        <v>0</v>
      </c>
      <c r="L15" s="75"/>
      <c r="M15" s="62"/>
      <c r="N15" s="63">
        <f>M15</f>
        <v>0</v>
      </c>
      <c r="O15" s="75"/>
      <c r="P15" s="62"/>
      <c r="Q15" s="63">
        <f>P15</f>
        <v>0</v>
      </c>
      <c r="R15" s="75"/>
      <c r="S15" s="62"/>
      <c r="T15" s="63">
        <f>S15</f>
        <v>0</v>
      </c>
      <c r="U15" s="75"/>
      <c r="V15" s="62"/>
      <c r="W15" s="63">
        <f>V15</f>
        <v>0</v>
      </c>
      <c r="X15" s="75"/>
      <c r="Y15" s="62"/>
      <c r="Z15" s="63">
        <f>Y15</f>
        <v>0</v>
      </c>
      <c r="AA15" s="75"/>
      <c r="AB15" s="62"/>
      <c r="AC15" s="63">
        <f>AB15</f>
        <v>0</v>
      </c>
      <c r="AD15" s="75"/>
      <c r="AE15" s="62"/>
      <c r="AF15" s="63">
        <f>AE15</f>
        <v>0</v>
      </c>
      <c r="AG15" s="75"/>
      <c r="AH15" s="62"/>
      <c r="AI15" s="63">
        <f>AH15</f>
        <v>0</v>
      </c>
      <c r="AJ15" s="75"/>
      <c r="AK15" s="62"/>
      <c r="AL15" s="63">
        <f>AK15</f>
        <v>0</v>
      </c>
      <c r="AM15" s="86">
        <f t="shared" si="26"/>
        <v>0</v>
      </c>
      <c r="AN15" s="159"/>
      <c r="AO15" s="104">
        <f t="shared" si="37"/>
        <v>0</v>
      </c>
      <c r="AP15" s="104">
        <f t="shared" si="38"/>
        <v>0</v>
      </c>
      <c r="AQ15" s="104">
        <f t="shared" si="27"/>
        <v>0</v>
      </c>
      <c r="AR15" s="104">
        <f t="shared" si="28"/>
        <v>0</v>
      </c>
      <c r="AS15" s="104">
        <f t="shared" si="29"/>
        <v>0</v>
      </c>
      <c r="AT15" s="104">
        <f t="shared" si="30"/>
        <v>0</v>
      </c>
      <c r="AU15" s="104">
        <f t="shared" si="31"/>
        <v>0</v>
      </c>
      <c r="AV15" s="104">
        <f t="shared" si="32"/>
        <v>0</v>
      </c>
      <c r="AW15" s="104">
        <f t="shared" si="33"/>
        <v>0</v>
      </c>
      <c r="AX15" s="104">
        <f t="shared" si="34"/>
        <v>0</v>
      </c>
      <c r="AY15" s="104">
        <f t="shared" si="35"/>
        <v>0</v>
      </c>
      <c r="AZ15" s="104">
        <f t="shared" si="36"/>
        <v>0</v>
      </c>
    </row>
    <row r="16" spans="1:68" x14ac:dyDescent="0.25">
      <c r="A16" s="99" t="s">
        <v>44</v>
      </c>
      <c r="B16" s="529"/>
      <c r="C16" s="75"/>
      <c r="D16" s="62"/>
      <c r="E16" s="63">
        <f>D16</f>
        <v>0</v>
      </c>
      <c r="F16" s="75"/>
      <c r="G16" s="62"/>
      <c r="H16" s="63">
        <f>G16</f>
        <v>0</v>
      </c>
      <c r="I16" s="75"/>
      <c r="J16" s="62"/>
      <c r="K16" s="63">
        <f>J16</f>
        <v>0</v>
      </c>
      <c r="L16" s="75"/>
      <c r="M16" s="62"/>
      <c r="N16" s="63">
        <f>M16</f>
        <v>0</v>
      </c>
      <c r="O16" s="75"/>
      <c r="P16" s="62"/>
      <c r="Q16" s="63">
        <f>P16</f>
        <v>0</v>
      </c>
      <c r="R16" s="75"/>
      <c r="S16" s="62"/>
      <c r="T16" s="63">
        <f>S16</f>
        <v>0</v>
      </c>
      <c r="U16" s="75"/>
      <c r="V16" s="62"/>
      <c r="W16" s="63">
        <f>V16</f>
        <v>0</v>
      </c>
      <c r="X16" s="75"/>
      <c r="Y16" s="62"/>
      <c r="Z16" s="63">
        <f>Y16</f>
        <v>0</v>
      </c>
      <c r="AA16" s="75"/>
      <c r="AB16" s="62"/>
      <c r="AC16" s="63">
        <f>AB16</f>
        <v>0</v>
      </c>
      <c r="AD16" s="75"/>
      <c r="AE16" s="62"/>
      <c r="AF16" s="63">
        <f>AE16</f>
        <v>0</v>
      </c>
      <c r="AG16" s="75"/>
      <c r="AH16" s="62"/>
      <c r="AI16" s="63">
        <f>AH16</f>
        <v>0</v>
      </c>
      <c r="AJ16" s="75"/>
      <c r="AK16" s="62"/>
      <c r="AL16" s="63">
        <f>AK16</f>
        <v>0</v>
      </c>
      <c r="AM16" s="86">
        <f t="shared" si="26"/>
        <v>0</v>
      </c>
      <c r="AN16" s="159"/>
      <c r="AO16" s="104">
        <f t="shared" si="37"/>
        <v>0</v>
      </c>
      <c r="AP16" s="104">
        <f t="shared" si="38"/>
        <v>0</v>
      </c>
      <c r="AQ16" s="104">
        <f t="shared" si="27"/>
        <v>0</v>
      </c>
      <c r="AR16" s="104">
        <f t="shared" si="28"/>
        <v>0</v>
      </c>
      <c r="AS16" s="104">
        <f t="shared" si="29"/>
        <v>0</v>
      </c>
      <c r="AT16" s="104">
        <f t="shared" si="30"/>
        <v>0</v>
      </c>
      <c r="AU16" s="104">
        <f t="shared" si="31"/>
        <v>0</v>
      </c>
      <c r="AV16" s="104">
        <f t="shared" si="32"/>
        <v>0</v>
      </c>
      <c r="AW16" s="104">
        <f t="shared" si="33"/>
        <v>0</v>
      </c>
      <c r="AX16" s="104">
        <f t="shared" si="34"/>
        <v>0</v>
      </c>
      <c r="AY16" s="104">
        <f t="shared" si="35"/>
        <v>0</v>
      </c>
      <c r="AZ16" s="104">
        <f t="shared" si="36"/>
        <v>0</v>
      </c>
    </row>
    <row r="17" spans="1:64" x14ac:dyDescent="0.25">
      <c r="A17" s="99" t="s">
        <v>652</v>
      </c>
      <c r="B17" s="529"/>
      <c r="C17" s="75"/>
      <c r="D17" s="62"/>
      <c r="E17" s="63">
        <f>D17</f>
        <v>0</v>
      </c>
      <c r="F17" s="75"/>
      <c r="G17" s="62"/>
      <c r="H17" s="63">
        <f>G17</f>
        <v>0</v>
      </c>
      <c r="I17" s="75"/>
      <c r="J17" s="62"/>
      <c r="K17" s="63">
        <f>J17</f>
        <v>0</v>
      </c>
      <c r="L17" s="75"/>
      <c r="M17" s="62"/>
      <c r="N17" s="63">
        <f>M17</f>
        <v>0</v>
      </c>
      <c r="O17" s="75"/>
      <c r="P17" s="62"/>
      <c r="Q17" s="63">
        <f>P17</f>
        <v>0</v>
      </c>
      <c r="R17" s="75"/>
      <c r="S17" s="62"/>
      <c r="T17" s="63">
        <f>S17</f>
        <v>0</v>
      </c>
      <c r="U17" s="75"/>
      <c r="V17" s="62"/>
      <c r="W17" s="63">
        <f>V17</f>
        <v>0</v>
      </c>
      <c r="X17" s="75"/>
      <c r="Y17" s="62"/>
      <c r="Z17" s="63">
        <f>Y17</f>
        <v>0</v>
      </c>
      <c r="AA17" s="75"/>
      <c r="AB17" s="62"/>
      <c r="AC17" s="63">
        <f>AB17</f>
        <v>0</v>
      </c>
      <c r="AD17" s="75"/>
      <c r="AE17" s="62"/>
      <c r="AF17" s="63">
        <f>AE17</f>
        <v>0</v>
      </c>
      <c r="AG17" s="75"/>
      <c r="AH17" s="62"/>
      <c r="AI17" s="63">
        <f>AH17</f>
        <v>0</v>
      </c>
      <c r="AJ17" s="75"/>
      <c r="AK17" s="62"/>
      <c r="AL17" s="63">
        <f>AK17</f>
        <v>0</v>
      </c>
      <c r="AM17" s="86">
        <f t="shared" si="26"/>
        <v>0</v>
      </c>
      <c r="AN17" s="159"/>
      <c r="AO17" s="104">
        <f t="shared" si="37"/>
        <v>0</v>
      </c>
      <c r="AP17" s="104">
        <f t="shared" si="38"/>
        <v>0</v>
      </c>
      <c r="AQ17" s="104">
        <f t="shared" si="27"/>
        <v>0</v>
      </c>
      <c r="AR17" s="104">
        <f t="shared" si="28"/>
        <v>0</v>
      </c>
      <c r="AS17" s="104">
        <f t="shared" si="29"/>
        <v>0</v>
      </c>
      <c r="AT17" s="104">
        <f t="shared" si="30"/>
        <v>0</v>
      </c>
      <c r="AU17" s="104">
        <f t="shared" si="31"/>
        <v>0</v>
      </c>
      <c r="AV17" s="104">
        <f t="shared" si="32"/>
        <v>0</v>
      </c>
      <c r="AW17" s="104">
        <f t="shared" si="33"/>
        <v>0</v>
      </c>
      <c r="AX17" s="104">
        <f t="shared" si="34"/>
        <v>0</v>
      </c>
      <c r="AY17" s="104">
        <f t="shared" si="35"/>
        <v>0</v>
      </c>
      <c r="AZ17" s="104">
        <f t="shared" si="36"/>
        <v>0</v>
      </c>
    </row>
    <row r="18" spans="1:64" ht="12" thickBot="1" x14ac:dyDescent="0.3">
      <c r="A18" s="329" t="s">
        <v>45</v>
      </c>
      <c r="B18" s="530">
        <v>0.2</v>
      </c>
      <c r="C18" s="79"/>
      <c r="D18" s="80">
        <f>เครื่องมือแพทย์!E61</f>
        <v>0</v>
      </c>
      <c r="E18" s="65">
        <f>((D18*$B$18)/12)</f>
        <v>0</v>
      </c>
      <c r="F18" s="79"/>
      <c r="G18" s="80">
        <f>เครื่องมือแพทย์!F61</f>
        <v>0</v>
      </c>
      <c r="H18" s="65">
        <f>((G18*$B$18)/12)+E18</f>
        <v>0</v>
      </c>
      <c r="I18" s="79"/>
      <c r="J18" s="80">
        <f>เครื่องมือแพทย์!G61</f>
        <v>0</v>
      </c>
      <c r="K18" s="65">
        <f>((J18*$B$18)/12)+H18</f>
        <v>0</v>
      </c>
      <c r="L18" s="79"/>
      <c r="M18" s="80">
        <f>เครื่องมือแพทย์!H61</f>
        <v>0</v>
      </c>
      <c r="N18" s="65">
        <f>((M18*$B$18)/12)+K18</f>
        <v>0</v>
      </c>
      <c r="O18" s="79"/>
      <c r="P18" s="80">
        <f>เครื่องมือแพทย์!I61</f>
        <v>0</v>
      </c>
      <c r="Q18" s="65">
        <f>((P18*$B$18)/12)+N18</f>
        <v>0</v>
      </c>
      <c r="R18" s="79"/>
      <c r="S18" s="80">
        <f>เครื่องมือแพทย์!J61</f>
        <v>0</v>
      </c>
      <c r="T18" s="65">
        <f>((S18*$B$18)/12)+Q18</f>
        <v>0</v>
      </c>
      <c r="U18" s="79"/>
      <c r="V18" s="80">
        <f>เครื่องมือแพทย์!K61</f>
        <v>0</v>
      </c>
      <c r="W18" s="65">
        <f>((V18*$B$18)/12)+T18</f>
        <v>0</v>
      </c>
      <c r="X18" s="79"/>
      <c r="Y18" s="80">
        <f>เครื่องมือแพทย์!L61</f>
        <v>0</v>
      </c>
      <c r="Z18" s="65">
        <f>((Y18*$B$18)/12)+W18</f>
        <v>0</v>
      </c>
      <c r="AA18" s="79"/>
      <c r="AB18" s="80">
        <f>เครื่องมือแพทย์!M61</f>
        <v>0</v>
      </c>
      <c r="AC18" s="65">
        <f>((AB18*$B$18)/12)+Z18</f>
        <v>0</v>
      </c>
      <c r="AD18" s="79"/>
      <c r="AE18" s="80">
        <f>เครื่องมือแพทย์!N61</f>
        <v>0</v>
      </c>
      <c r="AF18" s="65">
        <f>((AE18*$B$18)/12)+AC18</f>
        <v>0</v>
      </c>
      <c r="AG18" s="79"/>
      <c r="AH18" s="80">
        <f>เครื่องมือแพทย์!O61</f>
        <v>0</v>
      </c>
      <c r="AI18" s="65">
        <f>((AH18*$B$18)/12)+AF18</f>
        <v>0</v>
      </c>
      <c r="AJ18" s="79"/>
      <c r="AK18" s="80">
        <f>เครื่องมือแพทย์!P61</f>
        <v>0</v>
      </c>
      <c r="AL18" s="65">
        <f>((AK18*$B$18)/12)+AI18</f>
        <v>0</v>
      </c>
      <c r="AM18" s="87">
        <f t="shared" si="26"/>
        <v>0</v>
      </c>
      <c r="AN18" s="159"/>
      <c r="AO18" s="104">
        <f t="shared" si="37"/>
        <v>0</v>
      </c>
      <c r="AP18" s="104">
        <f t="shared" si="38"/>
        <v>0</v>
      </c>
      <c r="AQ18" s="104">
        <f t="shared" si="27"/>
        <v>0</v>
      </c>
      <c r="AR18" s="104">
        <f t="shared" si="28"/>
        <v>0</v>
      </c>
      <c r="AS18" s="104">
        <f t="shared" si="29"/>
        <v>0</v>
      </c>
      <c r="AT18" s="104">
        <f t="shared" si="30"/>
        <v>0</v>
      </c>
      <c r="AU18" s="104">
        <f t="shared" si="31"/>
        <v>0</v>
      </c>
      <c r="AV18" s="104">
        <f t="shared" si="32"/>
        <v>0</v>
      </c>
      <c r="AW18" s="104">
        <f t="shared" si="33"/>
        <v>0</v>
      </c>
      <c r="AX18" s="104">
        <f t="shared" si="34"/>
        <v>0</v>
      </c>
      <c r="AY18" s="104">
        <f t="shared" si="35"/>
        <v>0</v>
      </c>
      <c r="AZ18" s="104">
        <f t="shared" si="36"/>
        <v>0</v>
      </c>
    </row>
    <row r="19" spans="1:64" s="12" customFormat="1" x14ac:dyDescent="0.25">
      <c r="A19" s="54" t="s">
        <v>10</v>
      </c>
      <c r="B19" s="527"/>
      <c r="C19" s="74"/>
      <c r="D19" s="66"/>
      <c r="E19" s="67"/>
      <c r="F19" s="74"/>
      <c r="G19" s="66"/>
      <c r="H19" s="67"/>
      <c r="I19" s="74"/>
      <c r="J19" s="66"/>
      <c r="K19" s="67"/>
      <c r="L19" s="74"/>
      <c r="M19" s="66"/>
      <c r="N19" s="67"/>
      <c r="O19" s="74"/>
      <c r="P19" s="66"/>
      <c r="Q19" s="67"/>
      <c r="R19" s="74"/>
      <c r="S19" s="66"/>
      <c r="T19" s="67"/>
      <c r="U19" s="74"/>
      <c r="V19" s="66"/>
      <c r="W19" s="67"/>
      <c r="X19" s="74"/>
      <c r="Y19" s="66"/>
      <c r="Z19" s="67"/>
      <c r="AA19" s="74"/>
      <c r="AB19" s="66"/>
      <c r="AC19" s="67"/>
      <c r="AD19" s="74"/>
      <c r="AE19" s="66"/>
      <c r="AF19" s="67"/>
      <c r="AG19" s="74"/>
      <c r="AH19" s="66"/>
      <c r="AI19" s="67"/>
      <c r="AJ19" s="74"/>
      <c r="AK19" s="66"/>
      <c r="AL19" s="67"/>
      <c r="AM19" s="85"/>
      <c r="AN19" s="159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2"/>
      <c r="BC19" s="2"/>
      <c r="BD19" s="2"/>
      <c r="BE19" s="2"/>
      <c r="BF19" s="2"/>
      <c r="BG19" s="2"/>
      <c r="BH19" s="2"/>
      <c r="BI19" s="2"/>
      <c r="BJ19" s="2"/>
      <c r="BK19" s="2"/>
      <c r="BL19" s="2"/>
    </row>
    <row r="20" spans="1:64" x14ac:dyDescent="0.25">
      <c r="A20" s="53" t="s">
        <v>46</v>
      </c>
      <c r="B20" s="531"/>
      <c r="C20" s="405"/>
      <c r="D20" s="406">
        <f>'กำลังคนNON VET'!F50+ปรับตำแหน่ง!E29</f>
        <v>0</v>
      </c>
      <c r="E20" s="71">
        <f>D20</f>
        <v>0</v>
      </c>
      <c r="F20" s="405"/>
      <c r="G20" s="406">
        <f>'กำลังคนNON VET'!G50+ปรับตำแหน่ง!F29</f>
        <v>0</v>
      </c>
      <c r="H20" s="71">
        <f>G20+E20</f>
        <v>0</v>
      </c>
      <c r="I20" s="405"/>
      <c r="J20" s="406">
        <f>'กำลังคนNON VET'!H50+ปรับตำแหน่ง!G29</f>
        <v>0</v>
      </c>
      <c r="K20" s="71">
        <f>J20+H20</f>
        <v>0</v>
      </c>
      <c r="L20" s="405"/>
      <c r="M20" s="406">
        <f>'กำลังคนNON VET'!I50+ปรับตำแหน่ง!H29</f>
        <v>0</v>
      </c>
      <c r="N20" s="71">
        <f>M20+K20</f>
        <v>0</v>
      </c>
      <c r="O20" s="405"/>
      <c r="P20" s="406">
        <f>'กำลังคนNON VET'!J50+ปรับตำแหน่ง!I29</f>
        <v>0</v>
      </c>
      <c r="Q20" s="71">
        <f>P20+N20</f>
        <v>0</v>
      </c>
      <c r="R20" s="405"/>
      <c r="S20" s="406">
        <f>'กำลังคนNON VET'!K50+ปรับตำแหน่ง!J29</f>
        <v>0</v>
      </c>
      <c r="T20" s="71">
        <f>S20+Q20</f>
        <v>0</v>
      </c>
      <c r="U20" s="405"/>
      <c r="V20" s="406">
        <f>'กำลังคนNON VET'!L50+ปรับตำแหน่ง!K29</f>
        <v>0</v>
      </c>
      <c r="W20" s="71">
        <f>V20+T20</f>
        <v>0</v>
      </c>
      <c r="X20" s="405"/>
      <c r="Y20" s="406">
        <f>'กำลังคนNON VET'!M50+ปรับตำแหน่ง!L29</f>
        <v>0</v>
      </c>
      <c r="Z20" s="71">
        <f>Y20+W20</f>
        <v>0</v>
      </c>
      <c r="AA20" s="405"/>
      <c r="AB20" s="406">
        <f>'กำลังคนNON VET'!N50+ปรับตำแหน่ง!M29</f>
        <v>0</v>
      </c>
      <c r="AC20" s="71">
        <f>AB20+Z20</f>
        <v>0</v>
      </c>
      <c r="AD20" s="405"/>
      <c r="AE20" s="406">
        <f>'กำลังคนNON VET'!O50+ปรับตำแหน่ง!N29</f>
        <v>0</v>
      </c>
      <c r="AF20" s="71">
        <f>AE20+AC20</f>
        <v>0</v>
      </c>
      <c r="AG20" s="405"/>
      <c r="AH20" s="406">
        <f>'กำลังคนNON VET'!P50+ปรับตำแหน่ง!O29</f>
        <v>0</v>
      </c>
      <c r="AI20" s="71">
        <f>AH20+AF20</f>
        <v>0</v>
      </c>
      <c r="AJ20" s="405"/>
      <c r="AK20" s="406">
        <f>'กำลังคนNON VET'!Q50+ปรับตำแหน่ง!P29</f>
        <v>0</v>
      </c>
      <c r="AL20" s="71">
        <f>AK20+AI20</f>
        <v>0</v>
      </c>
      <c r="AM20" s="83">
        <f>SUM(D20,G20,J20,M20,P20,S20,V20,Y20,AB20,AE20,AH20,AK20)</f>
        <v>0</v>
      </c>
      <c r="AN20" s="159"/>
      <c r="AO20" s="104">
        <f t="shared" ref="AO20:AO29" si="39">E20</f>
        <v>0</v>
      </c>
      <c r="AP20" s="104">
        <f t="shared" ref="AP20:AP29" si="40">H20</f>
        <v>0</v>
      </c>
      <c r="AQ20" s="104">
        <f t="shared" ref="AQ20:AQ29" si="41">K20</f>
        <v>0</v>
      </c>
      <c r="AR20" s="104">
        <f t="shared" ref="AR20:AR29" si="42">N20</f>
        <v>0</v>
      </c>
      <c r="AS20" s="104">
        <f t="shared" ref="AS20:AS29" si="43">Q20</f>
        <v>0</v>
      </c>
      <c r="AT20" s="104">
        <f t="shared" ref="AT20:AT29" si="44">T20</f>
        <v>0</v>
      </c>
      <c r="AU20" s="104">
        <f t="shared" ref="AU20:AU29" si="45">W20</f>
        <v>0</v>
      </c>
      <c r="AV20" s="104">
        <f t="shared" ref="AV20:AV29" si="46">Z20</f>
        <v>0</v>
      </c>
      <c r="AW20" s="104">
        <f t="shared" ref="AW20:AW29" si="47">AC20</f>
        <v>0</v>
      </c>
      <c r="AX20" s="104">
        <f t="shared" ref="AX20:AX29" si="48">AF20</f>
        <v>0</v>
      </c>
      <c r="AY20" s="104">
        <f t="shared" ref="AY20:AY29" si="49">AI20</f>
        <v>0</v>
      </c>
      <c r="AZ20" s="104">
        <f t="shared" ref="AZ20:AZ29" si="50">AL20</f>
        <v>0</v>
      </c>
    </row>
    <row r="21" spans="1:64" x14ac:dyDescent="0.25">
      <c r="A21" s="53" t="s">
        <v>47</v>
      </c>
      <c r="B21" s="529"/>
      <c r="C21" s="75"/>
      <c r="D21" s="62"/>
      <c r="E21" s="63">
        <f>D21</f>
        <v>0</v>
      </c>
      <c r="F21" s="75"/>
      <c r="G21" s="62"/>
      <c r="H21" s="63">
        <f>G21+E21</f>
        <v>0</v>
      </c>
      <c r="I21" s="75"/>
      <c r="J21" s="62"/>
      <c r="K21" s="63">
        <f>J21+H21</f>
        <v>0</v>
      </c>
      <c r="L21" s="75"/>
      <c r="M21" s="62"/>
      <c r="N21" s="63">
        <f>M21+K21</f>
        <v>0</v>
      </c>
      <c r="O21" s="75"/>
      <c r="P21" s="62"/>
      <c r="Q21" s="63">
        <f>P21+N21</f>
        <v>0</v>
      </c>
      <c r="R21" s="75"/>
      <c r="S21" s="62"/>
      <c r="T21" s="63">
        <f>S21+Q21</f>
        <v>0</v>
      </c>
      <c r="U21" s="75"/>
      <c r="V21" s="62"/>
      <c r="W21" s="63">
        <f>V21+T21</f>
        <v>0</v>
      </c>
      <c r="X21" s="75"/>
      <c r="Y21" s="62"/>
      <c r="Z21" s="63">
        <f>Y21+W21</f>
        <v>0</v>
      </c>
      <c r="AA21" s="75"/>
      <c r="AB21" s="62"/>
      <c r="AC21" s="63">
        <f>AB21+Z21</f>
        <v>0</v>
      </c>
      <c r="AD21" s="75"/>
      <c r="AE21" s="62"/>
      <c r="AF21" s="63">
        <f>AE21+AC21</f>
        <v>0</v>
      </c>
      <c r="AG21" s="75"/>
      <c r="AH21" s="62"/>
      <c r="AI21" s="63">
        <f>AH21+AF21</f>
        <v>0</v>
      </c>
      <c r="AJ21" s="75"/>
      <c r="AK21" s="62"/>
      <c r="AL21" s="63">
        <f>AK21+AI21</f>
        <v>0</v>
      </c>
      <c r="AM21" s="86">
        <f>SUM(D21,G21,J21,M21,P21,S21,V21,Y21,AB21,AE21,AH21,AK21)</f>
        <v>0</v>
      </c>
      <c r="AN21" s="159"/>
      <c r="AO21" s="104">
        <f t="shared" si="39"/>
        <v>0</v>
      </c>
      <c r="AP21" s="104">
        <f t="shared" si="40"/>
        <v>0</v>
      </c>
      <c r="AQ21" s="104">
        <f t="shared" si="41"/>
        <v>0</v>
      </c>
      <c r="AR21" s="104">
        <f t="shared" si="42"/>
        <v>0</v>
      </c>
      <c r="AS21" s="104">
        <f t="shared" si="43"/>
        <v>0</v>
      </c>
      <c r="AT21" s="104">
        <f t="shared" si="44"/>
        <v>0</v>
      </c>
      <c r="AU21" s="104">
        <f t="shared" si="45"/>
        <v>0</v>
      </c>
      <c r="AV21" s="104">
        <f t="shared" si="46"/>
        <v>0</v>
      </c>
      <c r="AW21" s="104">
        <f t="shared" si="47"/>
        <v>0</v>
      </c>
      <c r="AX21" s="104">
        <f t="shared" si="48"/>
        <v>0</v>
      </c>
      <c r="AY21" s="104">
        <f t="shared" si="49"/>
        <v>0</v>
      </c>
      <c r="AZ21" s="104">
        <f t="shared" si="50"/>
        <v>0</v>
      </c>
    </row>
    <row r="22" spans="1:64" ht="12" customHeight="1" x14ac:dyDescent="0.25">
      <c r="A22" s="53" t="s">
        <v>615</v>
      </c>
      <c r="B22" s="529"/>
      <c r="C22" s="78"/>
      <c r="D22" s="61"/>
      <c r="E22" s="63"/>
      <c r="F22" s="78"/>
      <c r="G22" s="61"/>
      <c r="H22" s="63"/>
      <c r="I22" s="78"/>
      <c r="J22" s="61"/>
      <c r="K22" s="63"/>
      <c r="L22" s="78"/>
      <c r="M22" s="61"/>
      <c r="N22" s="63"/>
      <c r="O22" s="78"/>
      <c r="P22" s="61"/>
      <c r="Q22" s="63"/>
      <c r="R22" s="78"/>
      <c r="S22" s="61"/>
      <c r="T22" s="63"/>
      <c r="U22" s="78"/>
      <c r="V22" s="61"/>
      <c r="W22" s="63"/>
      <c r="X22" s="78"/>
      <c r="Y22" s="61"/>
      <c r="Z22" s="63"/>
      <c r="AA22" s="78"/>
      <c r="AB22" s="61"/>
      <c r="AC22" s="63"/>
      <c r="AD22" s="78"/>
      <c r="AE22" s="61"/>
      <c r="AF22" s="63"/>
      <c r="AG22" s="78"/>
      <c r="AH22" s="61"/>
      <c r="AI22" s="63"/>
      <c r="AJ22" s="78"/>
      <c r="AK22" s="61"/>
      <c r="AL22" s="63"/>
      <c r="AM22" s="86"/>
      <c r="AN22" s="159"/>
      <c r="AO22" s="104">
        <f t="shared" si="39"/>
        <v>0</v>
      </c>
      <c r="AP22" s="104">
        <f t="shared" si="40"/>
        <v>0</v>
      </c>
      <c r="AQ22" s="104">
        <f t="shared" si="41"/>
        <v>0</v>
      </c>
      <c r="AR22" s="104">
        <f t="shared" si="42"/>
        <v>0</v>
      </c>
      <c r="AS22" s="104">
        <f t="shared" si="43"/>
        <v>0</v>
      </c>
      <c r="AT22" s="104">
        <f t="shared" si="44"/>
        <v>0</v>
      </c>
      <c r="AU22" s="104">
        <f t="shared" si="45"/>
        <v>0</v>
      </c>
      <c r="AV22" s="104">
        <f t="shared" si="46"/>
        <v>0</v>
      </c>
      <c r="AW22" s="104">
        <f t="shared" si="47"/>
        <v>0</v>
      </c>
      <c r="AX22" s="104">
        <f t="shared" si="48"/>
        <v>0</v>
      </c>
      <c r="AY22" s="104">
        <f t="shared" si="49"/>
        <v>0</v>
      </c>
      <c r="AZ22" s="104">
        <f t="shared" si="50"/>
        <v>0</v>
      </c>
    </row>
    <row r="23" spans="1:64" x14ac:dyDescent="0.25">
      <c r="A23" s="53" t="s">
        <v>48</v>
      </c>
      <c r="B23" s="529"/>
      <c r="C23" s="78"/>
      <c r="D23" s="62"/>
      <c r="E23" s="63">
        <f t="shared" ref="E23:E29" si="51">D23</f>
        <v>0</v>
      </c>
      <c r="F23" s="78"/>
      <c r="G23" s="62"/>
      <c r="H23" s="63">
        <f>G23+E23</f>
        <v>0</v>
      </c>
      <c r="I23" s="78"/>
      <c r="J23" s="62"/>
      <c r="K23" s="63">
        <f>J23+H23</f>
        <v>0</v>
      </c>
      <c r="L23" s="78"/>
      <c r="M23" s="62"/>
      <c r="N23" s="63">
        <f>M23+K23</f>
        <v>0</v>
      </c>
      <c r="O23" s="78"/>
      <c r="P23" s="62"/>
      <c r="Q23" s="63">
        <f>P23+N23</f>
        <v>0</v>
      </c>
      <c r="R23" s="78"/>
      <c r="S23" s="62"/>
      <c r="T23" s="63">
        <f>S23+Q23</f>
        <v>0</v>
      </c>
      <c r="U23" s="78"/>
      <c r="V23" s="62"/>
      <c r="W23" s="63">
        <f>V23+T23</f>
        <v>0</v>
      </c>
      <c r="X23" s="78"/>
      <c r="Y23" s="62"/>
      <c r="Z23" s="63">
        <f>Y23+W23</f>
        <v>0</v>
      </c>
      <c r="AA23" s="78"/>
      <c r="AB23" s="62"/>
      <c r="AC23" s="63">
        <f>AB23+Z23</f>
        <v>0</v>
      </c>
      <c r="AD23" s="78"/>
      <c r="AE23" s="62"/>
      <c r="AF23" s="63">
        <f>AE23+AC23</f>
        <v>0</v>
      </c>
      <c r="AG23" s="78"/>
      <c r="AH23" s="62"/>
      <c r="AI23" s="63">
        <f>AH23+AF23</f>
        <v>0</v>
      </c>
      <c r="AJ23" s="78"/>
      <c r="AK23" s="62"/>
      <c r="AL23" s="63">
        <f>AK23+AI23</f>
        <v>0</v>
      </c>
      <c r="AM23" s="86">
        <f t="shared" ref="AM23:AM29" si="52">SUM(D23,G23,J23,M23,P23,S23,V23,Y23,AB23,AE23,AH23,AK23)</f>
        <v>0</v>
      </c>
      <c r="AN23" s="159"/>
      <c r="AO23" s="104">
        <f t="shared" si="39"/>
        <v>0</v>
      </c>
      <c r="AP23" s="104">
        <f t="shared" si="40"/>
        <v>0</v>
      </c>
      <c r="AQ23" s="104">
        <f t="shared" si="41"/>
        <v>0</v>
      </c>
      <c r="AR23" s="104">
        <f t="shared" si="42"/>
        <v>0</v>
      </c>
      <c r="AS23" s="104">
        <f t="shared" si="43"/>
        <v>0</v>
      </c>
      <c r="AT23" s="104">
        <f t="shared" si="44"/>
        <v>0</v>
      </c>
      <c r="AU23" s="104">
        <f t="shared" si="45"/>
        <v>0</v>
      </c>
      <c r="AV23" s="104">
        <f t="shared" si="46"/>
        <v>0</v>
      </c>
      <c r="AW23" s="104">
        <f t="shared" si="47"/>
        <v>0</v>
      </c>
      <c r="AX23" s="104">
        <f t="shared" si="48"/>
        <v>0</v>
      </c>
      <c r="AY23" s="104">
        <f t="shared" si="49"/>
        <v>0</v>
      </c>
      <c r="AZ23" s="104">
        <f t="shared" si="50"/>
        <v>0</v>
      </c>
    </row>
    <row r="24" spans="1:64" x14ac:dyDescent="0.25">
      <c r="A24" s="53" t="s">
        <v>726</v>
      </c>
      <c r="B24" s="529"/>
      <c r="C24" s="78"/>
      <c r="D24" s="406">
        <f>'กำลังคนNON VET'!F75+ปรับตำแหน่ง!E44</f>
        <v>0</v>
      </c>
      <c r="E24" s="71">
        <f t="shared" si="51"/>
        <v>0</v>
      </c>
      <c r="F24" s="78"/>
      <c r="G24" s="61">
        <f>'กำลังคนNON VET'!G75+ปรับตำแหน่ง!F44</f>
        <v>0</v>
      </c>
      <c r="H24" s="63">
        <f>G24+E24</f>
        <v>0</v>
      </c>
      <c r="I24" s="78"/>
      <c r="J24" s="406">
        <f>'กำลังคนNON VET'!H75+ปรับตำแหน่ง!G44</f>
        <v>0</v>
      </c>
      <c r="K24" s="71">
        <f>J24+H24</f>
        <v>0</v>
      </c>
      <c r="L24" s="405"/>
      <c r="M24" s="406">
        <f>'กำลังคนNON VET'!I75+ปรับตำแหน่ง!H44</f>
        <v>0</v>
      </c>
      <c r="N24" s="71">
        <f>M24+K24</f>
        <v>0</v>
      </c>
      <c r="O24" s="405"/>
      <c r="P24" s="406">
        <f>'กำลังคนNON VET'!J75+ปรับตำแหน่ง!I44</f>
        <v>0</v>
      </c>
      <c r="Q24" s="71">
        <f>P24+N24</f>
        <v>0</v>
      </c>
      <c r="R24" s="405"/>
      <c r="S24" s="406">
        <f>'กำลังคนNON VET'!K75+ปรับตำแหน่ง!J44</f>
        <v>0</v>
      </c>
      <c r="T24" s="71">
        <f>S24+Q24</f>
        <v>0</v>
      </c>
      <c r="U24" s="405"/>
      <c r="V24" s="406">
        <f>'กำลังคนNON VET'!L75+ปรับตำแหน่ง!K44</f>
        <v>0</v>
      </c>
      <c r="W24" s="71">
        <f>V24+T24</f>
        <v>0</v>
      </c>
      <c r="X24" s="405"/>
      <c r="Y24" s="406">
        <f>'กำลังคนNON VET'!M75+ปรับตำแหน่ง!L44</f>
        <v>0</v>
      </c>
      <c r="Z24" s="71">
        <f>Y24+W24</f>
        <v>0</v>
      </c>
      <c r="AA24" s="405"/>
      <c r="AB24" s="406">
        <f>'กำลังคนNON VET'!N75+ปรับตำแหน่ง!M44</f>
        <v>0</v>
      </c>
      <c r="AC24" s="71">
        <f>AB24+Z24</f>
        <v>0</v>
      </c>
      <c r="AD24" s="405"/>
      <c r="AE24" s="406">
        <f>'กำลังคนNON VET'!O75+ปรับตำแหน่ง!N44</f>
        <v>0</v>
      </c>
      <c r="AF24" s="71">
        <f>AE24+AC24</f>
        <v>0</v>
      </c>
      <c r="AG24" s="405"/>
      <c r="AH24" s="406">
        <f>'กำลังคนNON VET'!P75+ปรับตำแหน่ง!O44</f>
        <v>0</v>
      </c>
      <c r="AI24" s="71">
        <f>AH24+AF24</f>
        <v>0</v>
      </c>
      <c r="AJ24" s="405"/>
      <c r="AK24" s="406">
        <f>'กำลังคนNON VET'!Q75+ปรับตำแหน่ง!P44</f>
        <v>0</v>
      </c>
      <c r="AL24" s="71">
        <f>AK24+AI24</f>
        <v>0</v>
      </c>
      <c r="AM24" s="83">
        <f t="shared" si="52"/>
        <v>0</v>
      </c>
      <c r="AN24" s="159"/>
      <c r="AO24" s="104">
        <f t="shared" si="39"/>
        <v>0</v>
      </c>
      <c r="AP24" s="104">
        <f t="shared" si="40"/>
        <v>0</v>
      </c>
      <c r="AQ24" s="104">
        <f t="shared" si="41"/>
        <v>0</v>
      </c>
      <c r="AR24" s="104">
        <f t="shared" si="42"/>
        <v>0</v>
      </c>
      <c r="AS24" s="104">
        <f t="shared" si="43"/>
        <v>0</v>
      </c>
      <c r="AT24" s="104">
        <f t="shared" si="44"/>
        <v>0</v>
      </c>
      <c r="AU24" s="104">
        <f t="shared" si="45"/>
        <v>0</v>
      </c>
      <c r="AV24" s="104">
        <f t="shared" si="46"/>
        <v>0</v>
      </c>
      <c r="AW24" s="104">
        <f t="shared" si="47"/>
        <v>0</v>
      </c>
      <c r="AX24" s="104">
        <f t="shared" si="48"/>
        <v>0</v>
      </c>
      <c r="AY24" s="104">
        <f t="shared" si="49"/>
        <v>0</v>
      </c>
      <c r="AZ24" s="104">
        <f t="shared" si="50"/>
        <v>0</v>
      </c>
    </row>
    <row r="25" spans="1:64" x14ac:dyDescent="0.25">
      <c r="A25" s="53" t="s">
        <v>49</v>
      </c>
      <c r="B25" s="529">
        <v>0.02</v>
      </c>
      <c r="C25" s="78"/>
      <c r="D25" s="61">
        <f>(D20+D21+D22)*$B$25</f>
        <v>0</v>
      </c>
      <c r="E25" s="63">
        <f t="shared" si="51"/>
        <v>0</v>
      </c>
      <c r="F25" s="78"/>
      <c r="G25" s="61">
        <f>(G20+G21+G22)*$B$25</f>
        <v>0</v>
      </c>
      <c r="H25" s="63">
        <f>G25+E25</f>
        <v>0</v>
      </c>
      <c r="I25" s="78"/>
      <c r="J25" s="61">
        <f>(J20+J21+J22)*$B$25</f>
        <v>0</v>
      </c>
      <c r="K25" s="63">
        <f>J25+H25</f>
        <v>0</v>
      </c>
      <c r="L25" s="78"/>
      <c r="M25" s="61">
        <f>(M20+M21+M22)*$B$25</f>
        <v>0</v>
      </c>
      <c r="N25" s="63">
        <f>M25+K25</f>
        <v>0</v>
      </c>
      <c r="O25" s="78"/>
      <c r="P25" s="61">
        <f>(P20+P21+P22)*$B$25</f>
        <v>0</v>
      </c>
      <c r="Q25" s="63">
        <f>P25+N25</f>
        <v>0</v>
      </c>
      <c r="R25" s="78"/>
      <c r="S25" s="61">
        <f>(S20+S21+S22)*$B$25</f>
        <v>0</v>
      </c>
      <c r="T25" s="63">
        <f>S25+Q25</f>
        <v>0</v>
      </c>
      <c r="U25" s="78"/>
      <c r="V25" s="61">
        <f>(V20+V21+V22)*$B$25</f>
        <v>0</v>
      </c>
      <c r="W25" s="63">
        <f>V25+T25</f>
        <v>0</v>
      </c>
      <c r="X25" s="78"/>
      <c r="Y25" s="61">
        <f>(Y20+Y21+Y22)*$B$25</f>
        <v>0</v>
      </c>
      <c r="Z25" s="63">
        <f>Y25+W25</f>
        <v>0</v>
      </c>
      <c r="AA25" s="78"/>
      <c r="AB25" s="61">
        <f>(AB20+AB21+AB22)*$B$25</f>
        <v>0</v>
      </c>
      <c r="AC25" s="63">
        <f>AB25+Z25</f>
        <v>0</v>
      </c>
      <c r="AD25" s="78"/>
      <c r="AE25" s="61">
        <f>(AE20+AE21+AE22)*$B$25</f>
        <v>0</v>
      </c>
      <c r="AF25" s="63">
        <f>AE25+AC25</f>
        <v>0</v>
      </c>
      <c r="AG25" s="78"/>
      <c r="AH25" s="61">
        <f>(AH20+AH21+AH22)*$B$25</f>
        <v>0</v>
      </c>
      <c r="AI25" s="63">
        <f>AH25+AF25</f>
        <v>0</v>
      </c>
      <c r="AJ25" s="78"/>
      <c r="AK25" s="61">
        <f>(AK20+AK21+AK22)*$B$25</f>
        <v>0</v>
      </c>
      <c r="AL25" s="63">
        <f>AK25+AI25</f>
        <v>0</v>
      </c>
      <c r="AM25" s="86">
        <f t="shared" si="52"/>
        <v>0</v>
      </c>
      <c r="AN25" s="159"/>
      <c r="AO25" s="104">
        <f t="shared" si="39"/>
        <v>0</v>
      </c>
      <c r="AP25" s="104">
        <f t="shared" si="40"/>
        <v>0</v>
      </c>
      <c r="AQ25" s="104">
        <f t="shared" si="41"/>
        <v>0</v>
      </c>
      <c r="AR25" s="104">
        <f t="shared" si="42"/>
        <v>0</v>
      </c>
      <c r="AS25" s="104">
        <f t="shared" si="43"/>
        <v>0</v>
      </c>
      <c r="AT25" s="104">
        <f t="shared" si="44"/>
        <v>0</v>
      </c>
      <c r="AU25" s="104">
        <f t="shared" si="45"/>
        <v>0</v>
      </c>
      <c r="AV25" s="104">
        <f t="shared" si="46"/>
        <v>0</v>
      </c>
      <c r="AW25" s="104">
        <f t="shared" si="47"/>
        <v>0</v>
      </c>
      <c r="AX25" s="104">
        <f t="shared" si="48"/>
        <v>0</v>
      </c>
      <c r="AY25" s="104">
        <f t="shared" si="49"/>
        <v>0</v>
      </c>
      <c r="AZ25" s="104">
        <f t="shared" si="50"/>
        <v>0</v>
      </c>
    </row>
    <row r="26" spans="1:64" x14ac:dyDescent="0.25">
      <c r="A26" s="53" t="s">
        <v>50</v>
      </c>
      <c r="B26" s="529">
        <v>0.15</v>
      </c>
      <c r="C26" s="78"/>
      <c r="D26" s="61">
        <f>(D20+D21+D22)*$B$26</f>
        <v>0</v>
      </c>
      <c r="E26" s="63">
        <f t="shared" si="51"/>
        <v>0</v>
      </c>
      <c r="F26" s="78"/>
      <c r="G26" s="61">
        <f>(G20+G21+G22)*$B$26</f>
        <v>0</v>
      </c>
      <c r="H26" s="63">
        <f>G26+E26</f>
        <v>0</v>
      </c>
      <c r="I26" s="78"/>
      <c r="J26" s="61">
        <f>(J20+J21+J22)*$B$26</f>
        <v>0</v>
      </c>
      <c r="K26" s="63">
        <f>J26+H26</f>
        <v>0</v>
      </c>
      <c r="L26" s="78"/>
      <c r="M26" s="61">
        <f>(M20+M21+M22)*$B$26</f>
        <v>0</v>
      </c>
      <c r="N26" s="63">
        <f>M26+K26</f>
        <v>0</v>
      </c>
      <c r="O26" s="78"/>
      <c r="P26" s="61">
        <f>(P20+P21+P22)*$B$26</f>
        <v>0</v>
      </c>
      <c r="Q26" s="63">
        <f>P26+N26</f>
        <v>0</v>
      </c>
      <c r="R26" s="78"/>
      <c r="S26" s="61">
        <f>(S20+S21+S22)*$B$26</f>
        <v>0</v>
      </c>
      <c r="T26" s="63">
        <f>S26+Q26</f>
        <v>0</v>
      </c>
      <c r="U26" s="78"/>
      <c r="V26" s="61">
        <f>(V20+V21+V22)*$B$26</f>
        <v>0</v>
      </c>
      <c r="W26" s="63">
        <f>V26+T26</f>
        <v>0</v>
      </c>
      <c r="X26" s="78"/>
      <c r="Y26" s="61">
        <f>(Y20+Y21+Y22)*$B$26</f>
        <v>0</v>
      </c>
      <c r="Z26" s="63">
        <f>Y26+W26</f>
        <v>0</v>
      </c>
      <c r="AA26" s="78"/>
      <c r="AB26" s="61">
        <f>(AB20+AB21+AB22)*$B$26</f>
        <v>0</v>
      </c>
      <c r="AC26" s="63">
        <f>AB26+Z26</f>
        <v>0</v>
      </c>
      <c r="AD26" s="78"/>
      <c r="AE26" s="61">
        <f>(AE20+AE21+AE22)*$B$26</f>
        <v>0</v>
      </c>
      <c r="AF26" s="63">
        <f>AE26+AC26</f>
        <v>0</v>
      </c>
      <c r="AG26" s="78"/>
      <c r="AH26" s="61">
        <f>(AH20+AH21+AH22)*$B$26</f>
        <v>0</v>
      </c>
      <c r="AI26" s="63">
        <f>AH26+AF26</f>
        <v>0</v>
      </c>
      <c r="AJ26" s="78"/>
      <c r="AK26" s="61">
        <f>(AK20+AK21+AK22)*$B$26</f>
        <v>0</v>
      </c>
      <c r="AL26" s="63">
        <f>AK26+AI26</f>
        <v>0</v>
      </c>
      <c r="AM26" s="86">
        <f t="shared" si="52"/>
        <v>0</v>
      </c>
      <c r="AN26" s="159"/>
      <c r="AO26" s="104">
        <f t="shared" si="39"/>
        <v>0</v>
      </c>
      <c r="AP26" s="104">
        <f t="shared" si="40"/>
        <v>0</v>
      </c>
      <c r="AQ26" s="104">
        <f t="shared" si="41"/>
        <v>0</v>
      </c>
      <c r="AR26" s="104">
        <f t="shared" si="42"/>
        <v>0</v>
      </c>
      <c r="AS26" s="104">
        <f t="shared" si="43"/>
        <v>0</v>
      </c>
      <c r="AT26" s="104">
        <f t="shared" si="44"/>
        <v>0</v>
      </c>
      <c r="AU26" s="104">
        <f t="shared" si="45"/>
        <v>0</v>
      </c>
      <c r="AV26" s="104">
        <f t="shared" si="46"/>
        <v>0</v>
      </c>
      <c r="AW26" s="104">
        <f t="shared" si="47"/>
        <v>0</v>
      </c>
      <c r="AX26" s="104">
        <f t="shared" si="48"/>
        <v>0</v>
      </c>
      <c r="AY26" s="104">
        <f t="shared" si="49"/>
        <v>0</v>
      </c>
      <c r="AZ26" s="104">
        <f t="shared" si="50"/>
        <v>0</v>
      </c>
    </row>
    <row r="27" spans="1:64" x14ac:dyDescent="0.25">
      <c r="A27" s="53" t="s">
        <v>51</v>
      </c>
      <c r="B27" s="529">
        <v>0.05</v>
      </c>
      <c r="C27" s="78"/>
      <c r="D27" s="61">
        <f>(D20+D21+D22)*$B$27</f>
        <v>0</v>
      </c>
      <c r="E27" s="63">
        <f t="shared" si="51"/>
        <v>0</v>
      </c>
      <c r="F27" s="78"/>
      <c r="G27" s="61">
        <f>(G20+G21+G22)*$B$27</f>
        <v>0</v>
      </c>
      <c r="H27" s="63">
        <f>G27+E27</f>
        <v>0</v>
      </c>
      <c r="I27" s="78"/>
      <c r="J27" s="61">
        <f>(J20+J21+J22)*$B$27</f>
        <v>0</v>
      </c>
      <c r="K27" s="63">
        <f>J27+H27</f>
        <v>0</v>
      </c>
      <c r="L27" s="78"/>
      <c r="M27" s="61">
        <f>(M20+M21+M22)*$B$27</f>
        <v>0</v>
      </c>
      <c r="N27" s="63">
        <f>M27+K27</f>
        <v>0</v>
      </c>
      <c r="O27" s="78"/>
      <c r="P27" s="61">
        <f>(P20+P21+P22)*$B$27</f>
        <v>0</v>
      </c>
      <c r="Q27" s="63">
        <f>P27+N27</f>
        <v>0</v>
      </c>
      <c r="R27" s="78"/>
      <c r="S27" s="61">
        <f>(S20+S21+S22)*$B$27</f>
        <v>0</v>
      </c>
      <c r="T27" s="63">
        <f>S27+Q27</f>
        <v>0</v>
      </c>
      <c r="U27" s="78"/>
      <c r="V27" s="61">
        <f>(V20+V21+V22)*$B$27</f>
        <v>0</v>
      </c>
      <c r="W27" s="63">
        <f>V27+T27</f>
        <v>0</v>
      </c>
      <c r="X27" s="78"/>
      <c r="Y27" s="61">
        <f>(Y20+Y21+Y22)*$B$27</f>
        <v>0</v>
      </c>
      <c r="Z27" s="63">
        <f>Y27+W27</f>
        <v>0</v>
      </c>
      <c r="AA27" s="78"/>
      <c r="AB27" s="61">
        <f>(AB20+AB21+AB22)*$B$27</f>
        <v>0</v>
      </c>
      <c r="AC27" s="63">
        <f>AB27+Z27</f>
        <v>0</v>
      </c>
      <c r="AD27" s="78"/>
      <c r="AE27" s="61">
        <f>(AE20+AE21+AE22)*$B$27</f>
        <v>0</v>
      </c>
      <c r="AF27" s="63">
        <f>AE27+AC27</f>
        <v>0</v>
      </c>
      <c r="AG27" s="78"/>
      <c r="AH27" s="61">
        <f>(AH20+AH21+AH22)*$B$27</f>
        <v>0</v>
      </c>
      <c r="AI27" s="63">
        <f>AH27+AF27</f>
        <v>0</v>
      </c>
      <c r="AJ27" s="78"/>
      <c r="AK27" s="61">
        <f>(AK20+AK21+AK22)*$B$27</f>
        <v>0</v>
      </c>
      <c r="AL27" s="63">
        <f>AK27+AI27</f>
        <v>0</v>
      </c>
      <c r="AM27" s="86">
        <f t="shared" si="52"/>
        <v>0</v>
      </c>
      <c r="AN27" s="159"/>
      <c r="AO27" s="104">
        <f t="shared" si="39"/>
        <v>0</v>
      </c>
      <c r="AP27" s="104">
        <f t="shared" si="40"/>
        <v>0</v>
      </c>
      <c r="AQ27" s="104">
        <f t="shared" si="41"/>
        <v>0</v>
      </c>
      <c r="AR27" s="104">
        <f t="shared" si="42"/>
        <v>0</v>
      </c>
      <c r="AS27" s="104">
        <f t="shared" si="43"/>
        <v>0</v>
      </c>
      <c r="AT27" s="104">
        <f t="shared" si="44"/>
        <v>0</v>
      </c>
      <c r="AU27" s="104">
        <f t="shared" si="45"/>
        <v>0</v>
      </c>
      <c r="AV27" s="104">
        <f t="shared" si="46"/>
        <v>0</v>
      </c>
      <c r="AW27" s="104">
        <f t="shared" si="47"/>
        <v>0</v>
      </c>
      <c r="AX27" s="104">
        <f t="shared" si="48"/>
        <v>0</v>
      </c>
      <c r="AY27" s="104">
        <f t="shared" si="49"/>
        <v>0</v>
      </c>
      <c r="AZ27" s="104">
        <f t="shared" si="50"/>
        <v>0</v>
      </c>
    </row>
    <row r="28" spans="1:64" x14ac:dyDescent="0.25">
      <c r="A28" s="53" t="s">
        <v>52</v>
      </c>
      <c r="B28" s="531">
        <v>0.03</v>
      </c>
      <c r="C28" s="78"/>
      <c r="D28" s="61">
        <f>(D7+D8+D9+D10+D11)*$B$28</f>
        <v>0</v>
      </c>
      <c r="E28" s="63">
        <f t="shared" si="51"/>
        <v>0</v>
      </c>
      <c r="F28" s="78"/>
      <c r="G28" s="61">
        <f>(G7+G8+G9+G10+G11)*$B$28</f>
        <v>0</v>
      </c>
      <c r="H28" s="63">
        <f>G28</f>
        <v>0</v>
      </c>
      <c r="I28" s="78"/>
      <c r="J28" s="61">
        <f>(J7+J8+J9+J10+J11)*$B$28</f>
        <v>0</v>
      </c>
      <c r="K28" s="63">
        <f>J28</f>
        <v>0</v>
      </c>
      <c r="L28" s="78"/>
      <c r="M28" s="61">
        <f>(M7+M8+M9+M10+M11)*$B$28</f>
        <v>0</v>
      </c>
      <c r="N28" s="63">
        <f>M28</f>
        <v>0</v>
      </c>
      <c r="O28" s="78"/>
      <c r="P28" s="61">
        <f>(P7+P8+P9+P10+P11)*$B$28</f>
        <v>0</v>
      </c>
      <c r="Q28" s="63">
        <f>P28</f>
        <v>0</v>
      </c>
      <c r="R28" s="78"/>
      <c r="S28" s="61">
        <f>(S7+S8+S9+S10+S11)*$B$28</f>
        <v>0</v>
      </c>
      <c r="T28" s="63">
        <f>S28</f>
        <v>0</v>
      </c>
      <c r="U28" s="78"/>
      <c r="V28" s="61">
        <f>(V7+V8+V9+V10+V11)*$B$28</f>
        <v>0</v>
      </c>
      <c r="W28" s="63">
        <f>V28</f>
        <v>0</v>
      </c>
      <c r="X28" s="78"/>
      <c r="Y28" s="61">
        <f>(Y7+Y8+Y9+Y10+Y11)*$B$28</f>
        <v>0</v>
      </c>
      <c r="Z28" s="63">
        <f>Y28</f>
        <v>0</v>
      </c>
      <c r="AA28" s="78"/>
      <c r="AB28" s="61">
        <f>(AB7+AB8+AB9+AB10+AB11)*$B$28</f>
        <v>0</v>
      </c>
      <c r="AC28" s="63">
        <f>AB28</f>
        <v>0</v>
      </c>
      <c r="AD28" s="78"/>
      <c r="AE28" s="61">
        <f>(AE7+AE8+AE9+AE10+AE11)*$B$28</f>
        <v>0</v>
      </c>
      <c r="AF28" s="63">
        <f>AE28</f>
        <v>0</v>
      </c>
      <c r="AG28" s="78"/>
      <c r="AH28" s="61">
        <f>(AH7+AH8+AH9+AH10+AH11)*$B$28</f>
        <v>0</v>
      </c>
      <c r="AI28" s="63">
        <f>AH28</f>
        <v>0</v>
      </c>
      <c r="AJ28" s="78"/>
      <c r="AK28" s="61">
        <f>(AK7+AK8+AK9+AK10+AK11)*$B$28</f>
        <v>0</v>
      </c>
      <c r="AL28" s="63">
        <f>AK28</f>
        <v>0</v>
      </c>
      <c r="AM28" s="86">
        <f t="shared" si="52"/>
        <v>0</v>
      </c>
      <c r="AN28" s="159"/>
      <c r="AO28" s="104">
        <f t="shared" si="39"/>
        <v>0</v>
      </c>
      <c r="AP28" s="104">
        <f t="shared" si="40"/>
        <v>0</v>
      </c>
      <c r="AQ28" s="104">
        <f t="shared" si="41"/>
        <v>0</v>
      </c>
      <c r="AR28" s="104">
        <f t="shared" si="42"/>
        <v>0</v>
      </c>
      <c r="AS28" s="104">
        <f t="shared" si="43"/>
        <v>0</v>
      </c>
      <c r="AT28" s="104">
        <f t="shared" si="44"/>
        <v>0</v>
      </c>
      <c r="AU28" s="104">
        <f t="shared" si="45"/>
        <v>0</v>
      </c>
      <c r="AV28" s="104">
        <f t="shared" si="46"/>
        <v>0</v>
      </c>
      <c r="AW28" s="104">
        <f t="shared" si="47"/>
        <v>0</v>
      </c>
      <c r="AX28" s="104">
        <f t="shared" si="48"/>
        <v>0</v>
      </c>
      <c r="AY28" s="104">
        <f t="shared" si="49"/>
        <v>0</v>
      </c>
      <c r="AZ28" s="104">
        <f t="shared" si="50"/>
        <v>0</v>
      </c>
    </row>
    <row r="29" spans="1:64" ht="12" thickBot="1" x14ac:dyDescent="0.3">
      <c r="A29" s="53" t="s">
        <v>53</v>
      </c>
      <c r="B29" s="532">
        <v>0.01</v>
      </c>
      <c r="C29" s="79"/>
      <c r="D29" s="80">
        <f>(D7+D8+D9+D10+D11)*$B$29</f>
        <v>0</v>
      </c>
      <c r="E29" s="65">
        <f t="shared" si="51"/>
        <v>0</v>
      </c>
      <c r="F29" s="79"/>
      <c r="G29" s="80">
        <f>(G7+G8+G9+G10+G11)*$B$29</f>
        <v>0</v>
      </c>
      <c r="H29" s="65">
        <f>G29</f>
        <v>0</v>
      </c>
      <c r="I29" s="79"/>
      <c r="J29" s="80">
        <f>(J7+J8+J9+J10+J11)*$B$29</f>
        <v>0</v>
      </c>
      <c r="K29" s="65">
        <f>J29</f>
        <v>0</v>
      </c>
      <c r="L29" s="79"/>
      <c r="M29" s="80">
        <f>(M7+M8+M9+M10+M11)*$B$29</f>
        <v>0</v>
      </c>
      <c r="N29" s="65">
        <f>M29</f>
        <v>0</v>
      </c>
      <c r="O29" s="79"/>
      <c r="P29" s="80">
        <f>(P7+P8+P9+P10+P11)*$B$29</f>
        <v>0</v>
      </c>
      <c r="Q29" s="65">
        <f>P29</f>
        <v>0</v>
      </c>
      <c r="R29" s="79"/>
      <c r="S29" s="80">
        <f>(S7+S8+S9+S10+S11)*$B$29</f>
        <v>0</v>
      </c>
      <c r="T29" s="65">
        <f>S29</f>
        <v>0</v>
      </c>
      <c r="U29" s="79"/>
      <c r="V29" s="80">
        <f>(V7+V8+V9+V10+V11)*$B$29</f>
        <v>0</v>
      </c>
      <c r="W29" s="65">
        <f>V29</f>
        <v>0</v>
      </c>
      <c r="X29" s="79"/>
      <c r="Y29" s="80">
        <f>(Y7+Y8+Y9+Y10+Y11)*$B$29</f>
        <v>0</v>
      </c>
      <c r="Z29" s="65">
        <f>Y29</f>
        <v>0</v>
      </c>
      <c r="AA29" s="79"/>
      <c r="AB29" s="80">
        <f>(AB7+AB8+AB9+AB10+AB11)*$B$29</f>
        <v>0</v>
      </c>
      <c r="AC29" s="65">
        <f>AB29</f>
        <v>0</v>
      </c>
      <c r="AD29" s="79"/>
      <c r="AE29" s="80">
        <f>(AE7+AE8+AE9+AE10+AE11)*$B$29</f>
        <v>0</v>
      </c>
      <c r="AF29" s="65">
        <f>AE29</f>
        <v>0</v>
      </c>
      <c r="AG29" s="79"/>
      <c r="AH29" s="80">
        <f>(AH7+AH8+AH9+AH10+AH11)*$B$29</f>
        <v>0</v>
      </c>
      <c r="AI29" s="65">
        <f>AH29</f>
        <v>0</v>
      </c>
      <c r="AJ29" s="79"/>
      <c r="AK29" s="80">
        <f>(AK7+AK8+AK9+AK10+AK11)*$B$29</f>
        <v>0</v>
      </c>
      <c r="AL29" s="65">
        <f>AK29</f>
        <v>0</v>
      </c>
      <c r="AM29" s="87">
        <f t="shared" si="52"/>
        <v>0</v>
      </c>
      <c r="AN29" s="159"/>
      <c r="AO29" s="104">
        <f t="shared" si="39"/>
        <v>0</v>
      </c>
      <c r="AP29" s="104">
        <f t="shared" si="40"/>
        <v>0</v>
      </c>
      <c r="AQ29" s="104">
        <f t="shared" si="41"/>
        <v>0</v>
      </c>
      <c r="AR29" s="104">
        <f t="shared" si="42"/>
        <v>0</v>
      </c>
      <c r="AS29" s="104">
        <f t="shared" si="43"/>
        <v>0</v>
      </c>
      <c r="AT29" s="104">
        <f t="shared" si="44"/>
        <v>0</v>
      </c>
      <c r="AU29" s="104">
        <f t="shared" si="45"/>
        <v>0</v>
      </c>
      <c r="AV29" s="104">
        <f t="shared" si="46"/>
        <v>0</v>
      </c>
      <c r="AW29" s="104">
        <f t="shared" si="47"/>
        <v>0</v>
      </c>
      <c r="AX29" s="104">
        <f t="shared" si="48"/>
        <v>0</v>
      </c>
      <c r="AY29" s="104">
        <f t="shared" si="49"/>
        <v>0</v>
      </c>
      <c r="AZ29" s="104">
        <f t="shared" si="50"/>
        <v>0</v>
      </c>
    </row>
    <row r="30" spans="1:64" x14ac:dyDescent="0.25">
      <c r="A30" s="100" t="s">
        <v>11</v>
      </c>
      <c r="B30" s="527"/>
      <c r="C30" s="258"/>
      <c r="D30" s="259"/>
      <c r="E30" s="260"/>
      <c r="F30" s="258"/>
      <c r="G30" s="259"/>
      <c r="H30" s="260"/>
      <c r="I30" s="258"/>
      <c r="J30" s="259"/>
      <c r="K30" s="260"/>
      <c r="L30" s="258"/>
      <c r="M30" s="259"/>
      <c r="N30" s="260"/>
      <c r="O30" s="258"/>
      <c r="P30" s="259"/>
      <c r="Q30" s="260"/>
      <c r="R30" s="258"/>
      <c r="S30" s="259"/>
      <c r="T30" s="260"/>
      <c r="U30" s="258"/>
      <c r="V30" s="259"/>
      <c r="W30" s="260"/>
      <c r="X30" s="258"/>
      <c r="Y30" s="259"/>
      <c r="Z30" s="260"/>
      <c r="AA30" s="258"/>
      <c r="AB30" s="259"/>
      <c r="AC30" s="260"/>
      <c r="AD30" s="258"/>
      <c r="AE30" s="259"/>
      <c r="AF30" s="260"/>
      <c r="AG30" s="258"/>
      <c r="AH30" s="259"/>
      <c r="AI30" s="260"/>
      <c r="AJ30" s="258"/>
      <c r="AK30" s="259"/>
      <c r="AL30" s="260"/>
      <c r="AM30" s="261"/>
      <c r="AN30" s="159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</row>
    <row r="31" spans="1:64" x14ac:dyDescent="0.25">
      <c r="A31" s="101" t="s">
        <v>54</v>
      </c>
      <c r="B31" s="753" t="s">
        <v>662</v>
      </c>
      <c r="C31" s="460"/>
      <c r="D31" s="461"/>
      <c r="E31" s="63">
        <f>D31+'บริหารโดยส่วนกลาง (ไม่ต้องกรอก)'!E7</f>
        <v>0</v>
      </c>
      <c r="F31" s="460"/>
      <c r="G31" s="461"/>
      <c r="H31" s="63">
        <f>G31+'บริหารโดยส่วนกลาง (ไม่ต้องกรอก)'!H7</f>
        <v>0</v>
      </c>
      <c r="I31" s="460"/>
      <c r="J31" s="461"/>
      <c r="K31" s="63">
        <f>J31+'บริหารโดยส่วนกลาง (ไม่ต้องกรอก)'!K7</f>
        <v>0</v>
      </c>
      <c r="L31" s="460"/>
      <c r="M31" s="461"/>
      <c r="N31" s="63">
        <f>M31+'บริหารโดยส่วนกลาง (ไม่ต้องกรอก)'!N7</f>
        <v>0</v>
      </c>
      <c r="O31" s="460"/>
      <c r="P31" s="461"/>
      <c r="Q31" s="63">
        <f>P31+'บริหารโดยส่วนกลาง (ไม่ต้องกรอก)'!Q7</f>
        <v>0</v>
      </c>
      <c r="R31" s="460"/>
      <c r="S31" s="461"/>
      <c r="T31" s="63">
        <f>S31+'บริหารโดยส่วนกลาง (ไม่ต้องกรอก)'!T7</f>
        <v>0</v>
      </c>
      <c r="U31" s="460"/>
      <c r="V31" s="461"/>
      <c r="W31" s="63">
        <f>V31+'บริหารโดยส่วนกลาง (ไม่ต้องกรอก)'!W7</f>
        <v>0</v>
      </c>
      <c r="X31" s="460"/>
      <c r="Y31" s="461"/>
      <c r="Z31" s="63">
        <f>Y31+'บริหารโดยส่วนกลาง (ไม่ต้องกรอก)'!Z7</f>
        <v>0</v>
      </c>
      <c r="AA31" s="460"/>
      <c r="AB31" s="461"/>
      <c r="AC31" s="63">
        <f>AB31+'บริหารโดยส่วนกลาง (ไม่ต้องกรอก)'!AC7</f>
        <v>0</v>
      </c>
      <c r="AD31" s="460"/>
      <c r="AE31" s="461"/>
      <c r="AF31" s="63">
        <f>AE31+'บริหารโดยส่วนกลาง (ไม่ต้องกรอก)'!AF7</f>
        <v>0</v>
      </c>
      <c r="AG31" s="460"/>
      <c r="AH31" s="461"/>
      <c r="AI31" s="63">
        <f>AH31+'บริหารโดยส่วนกลาง (ไม่ต้องกรอก)'!AI7</f>
        <v>0</v>
      </c>
      <c r="AJ31" s="460"/>
      <c r="AK31" s="461"/>
      <c r="AL31" s="63">
        <f>AK31+'บริหารโดยส่วนกลาง (ไม่ต้องกรอก)'!AL7</f>
        <v>0</v>
      </c>
      <c r="AM31" s="86">
        <f>SUM(D31,G31,J31,M31,P31,S31,V31,Y31,AB31,AE31,AH31,AK31)</f>
        <v>0</v>
      </c>
      <c r="AN31" s="159"/>
      <c r="AO31" s="104">
        <f>E31</f>
        <v>0</v>
      </c>
      <c r="AP31" s="104">
        <f>H31</f>
        <v>0</v>
      </c>
      <c r="AQ31" s="104">
        <f>K31</f>
        <v>0</v>
      </c>
      <c r="AR31" s="104">
        <f>N31</f>
        <v>0</v>
      </c>
      <c r="AS31" s="104">
        <f>Q31</f>
        <v>0</v>
      </c>
      <c r="AT31" s="104">
        <f>T31</f>
        <v>0</v>
      </c>
      <c r="AU31" s="104">
        <f>W31</f>
        <v>0</v>
      </c>
      <c r="AV31" s="104">
        <f>Z31</f>
        <v>0</v>
      </c>
      <c r="AW31" s="104">
        <f>AC31</f>
        <v>0</v>
      </c>
      <c r="AX31" s="104">
        <f>AF31</f>
        <v>0</v>
      </c>
      <c r="AY31" s="104">
        <f>AI31</f>
        <v>0</v>
      </c>
      <c r="AZ31" s="104">
        <f>AL31</f>
        <v>0</v>
      </c>
    </row>
    <row r="32" spans="1:64" x14ac:dyDescent="0.25">
      <c r="A32" s="101" t="s">
        <v>55</v>
      </c>
      <c r="B32" s="754"/>
      <c r="C32" s="460"/>
      <c r="D32" s="461"/>
      <c r="E32" s="63">
        <f>D32+'บริหารโดยส่วนกลาง (ไม่ต้องกรอก)'!E8</f>
        <v>0</v>
      </c>
      <c r="F32" s="460"/>
      <c r="G32" s="461"/>
      <c r="H32" s="63">
        <f>G32+'บริหารโดยส่วนกลาง (ไม่ต้องกรอก)'!H8</f>
        <v>0</v>
      </c>
      <c r="I32" s="460"/>
      <c r="J32" s="461"/>
      <c r="K32" s="63">
        <f>J32+'บริหารโดยส่วนกลาง (ไม่ต้องกรอก)'!K8</f>
        <v>0</v>
      </c>
      <c r="L32" s="460"/>
      <c r="M32" s="461"/>
      <c r="N32" s="63">
        <f>M32+'บริหารโดยส่วนกลาง (ไม่ต้องกรอก)'!N8</f>
        <v>0</v>
      </c>
      <c r="O32" s="460"/>
      <c r="P32" s="461"/>
      <c r="Q32" s="63">
        <f>P32+'บริหารโดยส่วนกลาง (ไม่ต้องกรอก)'!Q8</f>
        <v>0</v>
      </c>
      <c r="R32" s="460"/>
      <c r="S32" s="461"/>
      <c r="T32" s="63">
        <f>S32+'บริหารโดยส่วนกลาง (ไม่ต้องกรอก)'!T8</f>
        <v>0</v>
      </c>
      <c r="U32" s="460"/>
      <c r="V32" s="461"/>
      <c r="W32" s="63">
        <f>V32+'บริหารโดยส่วนกลาง (ไม่ต้องกรอก)'!W8</f>
        <v>0</v>
      </c>
      <c r="X32" s="460"/>
      <c r="Y32" s="461"/>
      <c r="Z32" s="63">
        <f>Y32+'บริหารโดยส่วนกลาง (ไม่ต้องกรอก)'!Z8</f>
        <v>0</v>
      </c>
      <c r="AA32" s="460"/>
      <c r="AB32" s="461"/>
      <c r="AC32" s="63">
        <f>AB32+'บริหารโดยส่วนกลาง (ไม่ต้องกรอก)'!AC8</f>
        <v>0</v>
      </c>
      <c r="AD32" s="460"/>
      <c r="AE32" s="461"/>
      <c r="AF32" s="63">
        <f>AE32+'บริหารโดยส่วนกลาง (ไม่ต้องกรอก)'!AF8</f>
        <v>0</v>
      </c>
      <c r="AG32" s="460"/>
      <c r="AH32" s="461"/>
      <c r="AI32" s="63">
        <f>AH32+'บริหารโดยส่วนกลาง (ไม่ต้องกรอก)'!AI8</f>
        <v>0</v>
      </c>
      <c r="AJ32" s="460"/>
      <c r="AK32" s="461"/>
      <c r="AL32" s="63">
        <f>AK32+'บริหารโดยส่วนกลาง (ไม่ต้องกรอก)'!AL8</f>
        <v>0</v>
      </c>
      <c r="AM32" s="86">
        <f>SUM(D32,G32,J32,M32,P32,S32,V32,Y32,AB32,AE32,AH32,AK32)</f>
        <v>0</v>
      </c>
      <c r="AN32" s="159"/>
      <c r="AO32" s="104">
        <f>E32</f>
        <v>0</v>
      </c>
      <c r="AP32" s="104">
        <f>H32</f>
        <v>0</v>
      </c>
      <c r="AQ32" s="104">
        <f>K32</f>
        <v>0</v>
      </c>
      <c r="AR32" s="104">
        <f>N32</f>
        <v>0</v>
      </c>
      <c r="AS32" s="104">
        <f>Q32</f>
        <v>0</v>
      </c>
      <c r="AT32" s="104">
        <f>T32</f>
        <v>0</v>
      </c>
      <c r="AU32" s="104">
        <f>W32</f>
        <v>0</v>
      </c>
      <c r="AV32" s="104">
        <f>Z32</f>
        <v>0</v>
      </c>
      <c r="AW32" s="104">
        <f>AC32</f>
        <v>0</v>
      </c>
      <c r="AX32" s="104">
        <f>AF32</f>
        <v>0</v>
      </c>
      <c r="AY32" s="104">
        <f>AI32</f>
        <v>0</v>
      </c>
      <c r="AZ32" s="104">
        <f>AL32</f>
        <v>0</v>
      </c>
    </row>
    <row r="33" spans="1:64" ht="12" thickBot="1" x14ac:dyDescent="0.3">
      <c r="A33" s="102" t="s">
        <v>56</v>
      </c>
      <c r="B33" s="755"/>
      <c r="C33" s="462"/>
      <c r="D33" s="463"/>
      <c r="E33" s="65">
        <f>D33+'บริหารโดยส่วนกลาง (ไม่ต้องกรอก)'!E9</f>
        <v>0</v>
      </c>
      <c r="F33" s="462"/>
      <c r="G33" s="463"/>
      <c r="H33" s="65">
        <f>G33+'บริหารโดยส่วนกลาง (ไม่ต้องกรอก)'!H9</f>
        <v>0</v>
      </c>
      <c r="I33" s="462"/>
      <c r="J33" s="463"/>
      <c r="K33" s="65">
        <f>J33+'บริหารโดยส่วนกลาง (ไม่ต้องกรอก)'!K9</f>
        <v>0</v>
      </c>
      <c r="L33" s="462"/>
      <c r="M33" s="463"/>
      <c r="N33" s="65">
        <f>M33+'บริหารโดยส่วนกลาง (ไม่ต้องกรอก)'!N9</f>
        <v>0</v>
      </c>
      <c r="O33" s="462"/>
      <c r="P33" s="463"/>
      <c r="Q33" s="65">
        <f>P33+'บริหารโดยส่วนกลาง (ไม่ต้องกรอก)'!Q9</f>
        <v>0</v>
      </c>
      <c r="R33" s="462"/>
      <c r="S33" s="463"/>
      <c r="T33" s="65">
        <f>S33+'บริหารโดยส่วนกลาง (ไม่ต้องกรอก)'!T9</f>
        <v>0</v>
      </c>
      <c r="U33" s="462"/>
      <c r="V33" s="463"/>
      <c r="W33" s="65">
        <f>V33+'บริหารโดยส่วนกลาง (ไม่ต้องกรอก)'!W9</f>
        <v>0</v>
      </c>
      <c r="X33" s="462"/>
      <c r="Y33" s="463"/>
      <c r="Z33" s="65">
        <f>Y33+'บริหารโดยส่วนกลาง (ไม่ต้องกรอก)'!Z9</f>
        <v>0</v>
      </c>
      <c r="AA33" s="462"/>
      <c r="AB33" s="463"/>
      <c r="AC33" s="65">
        <f>AB33+'บริหารโดยส่วนกลาง (ไม่ต้องกรอก)'!AC9</f>
        <v>0</v>
      </c>
      <c r="AD33" s="462"/>
      <c r="AE33" s="463"/>
      <c r="AF33" s="65">
        <f>AE33+'บริหารโดยส่วนกลาง (ไม่ต้องกรอก)'!AF9</f>
        <v>0</v>
      </c>
      <c r="AG33" s="462"/>
      <c r="AH33" s="463"/>
      <c r="AI33" s="65">
        <f>AH33+'บริหารโดยส่วนกลาง (ไม่ต้องกรอก)'!AI9</f>
        <v>0</v>
      </c>
      <c r="AJ33" s="462"/>
      <c r="AK33" s="463"/>
      <c r="AL33" s="65">
        <f>AK33+'บริหารโดยส่วนกลาง (ไม่ต้องกรอก)'!AL9</f>
        <v>0</v>
      </c>
      <c r="AM33" s="87">
        <f>SUM(D33,G33,J33,M33,P33,S33,V33,Y33,AB33,AE33,AH33,AK33)</f>
        <v>0</v>
      </c>
      <c r="AN33" s="159"/>
      <c r="AO33" s="104">
        <f>E33</f>
        <v>0</v>
      </c>
      <c r="AP33" s="104">
        <f>H33</f>
        <v>0</v>
      </c>
      <c r="AQ33" s="104">
        <f>K33</f>
        <v>0</v>
      </c>
      <c r="AR33" s="104">
        <f>N33</f>
        <v>0</v>
      </c>
      <c r="AS33" s="104">
        <f>Q33</f>
        <v>0</v>
      </c>
      <c r="AT33" s="104">
        <f>T33</f>
        <v>0</v>
      </c>
      <c r="AU33" s="104">
        <f>W33</f>
        <v>0</v>
      </c>
      <c r="AV33" s="104">
        <f>Z33</f>
        <v>0</v>
      </c>
      <c r="AW33" s="104">
        <f>AC33</f>
        <v>0</v>
      </c>
      <c r="AX33" s="104">
        <f>AF33</f>
        <v>0</v>
      </c>
      <c r="AY33" s="104">
        <f>AI33</f>
        <v>0</v>
      </c>
      <c r="AZ33" s="104">
        <f>AL33</f>
        <v>0</v>
      </c>
    </row>
    <row r="34" spans="1:64" x14ac:dyDescent="0.25">
      <c r="A34" s="534" t="s">
        <v>13</v>
      </c>
      <c r="B34" s="531"/>
      <c r="C34" s="74"/>
      <c r="D34" s="66"/>
      <c r="E34" s="67"/>
      <c r="F34" s="74"/>
      <c r="G34" s="66"/>
      <c r="H34" s="67"/>
      <c r="I34" s="74"/>
      <c r="J34" s="66"/>
      <c r="K34" s="67"/>
      <c r="L34" s="74"/>
      <c r="M34" s="66"/>
      <c r="N34" s="67"/>
      <c r="O34" s="74"/>
      <c r="P34" s="66"/>
      <c r="Q34" s="67"/>
      <c r="R34" s="74"/>
      <c r="S34" s="66"/>
      <c r="T34" s="67"/>
      <c r="U34" s="74"/>
      <c r="V34" s="66"/>
      <c r="W34" s="67"/>
      <c r="X34" s="74"/>
      <c r="Y34" s="66"/>
      <c r="Z34" s="67"/>
      <c r="AA34" s="74"/>
      <c r="AB34" s="66"/>
      <c r="AC34" s="67"/>
      <c r="AD34" s="74"/>
      <c r="AE34" s="66"/>
      <c r="AF34" s="67"/>
      <c r="AG34" s="74"/>
      <c r="AH34" s="66"/>
      <c r="AI34" s="67"/>
      <c r="AJ34" s="74"/>
      <c r="AK34" s="66"/>
      <c r="AL34" s="67"/>
      <c r="AM34" s="85"/>
      <c r="AN34" s="159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</row>
    <row r="35" spans="1:64" x14ac:dyDescent="0.25">
      <c r="A35" s="101" t="s">
        <v>57</v>
      </c>
      <c r="B35" s="533"/>
      <c r="C35" s="75"/>
      <c r="D35" s="62"/>
      <c r="E35" s="63">
        <f>D35</f>
        <v>0</v>
      </c>
      <c r="F35" s="75"/>
      <c r="G35" s="62"/>
      <c r="H35" s="63">
        <f>G35</f>
        <v>0</v>
      </c>
      <c r="I35" s="75"/>
      <c r="J35" s="62"/>
      <c r="K35" s="63">
        <f>J35</f>
        <v>0</v>
      </c>
      <c r="L35" s="75"/>
      <c r="M35" s="62"/>
      <c r="N35" s="63">
        <f>M35</f>
        <v>0</v>
      </c>
      <c r="O35" s="75"/>
      <c r="P35" s="62"/>
      <c r="Q35" s="63">
        <f>P35</f>
        <v>0</v>
      </c>
      <c r="R35" s="75"/>
      <c r="S35" s="62"/>
      <c r="T35" s="63">
        <f>S35</f>
        <v>0</v>
      </c>
      <c r="U35" s="75"/>
      <c r="V35" s="62"/>
      <c r="W35" s="63">
        <f>V35</f>
        <v>0</v>
      </c>
      <c r="X35" s="75"/>
      <c r="Y35" s="62"/>
      <c r="Z35" s="63">
        <f>Y35</f>
        <v>0</v>
      </c>
      <c r="AA35" s="75"/>
      <c r="AB35" s="62"/>
      <c r="AC35" s="63">
        <f>AB35</f>
        <v>0</v>
      </c>
      <c r="AD35" s="75"/>
      <c r="AE35" s="62"/>
      <c r="AF35" s="63">
        <f>AE35</f>
        <v>0</v>
      </c>
      <c r="AG35" s="75"/>
      <c r="AH35" s="62"/>
      <c r="AI35" s="63">
        <f>AH35</f>
        <v>0</v>
      </c>
      <c r="AJ35" s="75"/>
      <c r="AK35" s="62"/>
      <c r="AL35" s="63">
        <f>AK35</f>
        <v>0</v>
      </c>
      <c r="AM35" s="86">
        <f>SUM(D35,G35,J35,M35,P35,S35,V35,Y35,AB35,AE35,AH35,AK35)</f>
        <v>0</v>
      </c>
      <c r="AN35" s="159"/>
      <c r="AO35" s="104">
        <f>E35</f>
        <v>0</v>
      </c>
      <c r="AP35" s="104">
        <f>H35</f>
        <v>0</v>
      </c>
      <c r="AQ35" s="104">
        <f>K35</f>
        <v>0</v>
      </c>
      <c r="AR35" s="104">
        <f>N35</f>
        <v>0</v>
      </c>
      <c r="AS35" s="104">
        <f>Q35</f>
        <v>0</v>
      </c>
      <c r="AT35" s="104">
        <f>T35</f>
        <v>0</v>
      </c>
      <c r="AU35" s="104">
        <f>W35</f>
        <v>0</v>
      </c>
      <c r="AV35" s="104">
        <f>Z35</f>
        <v>0</v>
      </c>
      <c r="AW35" s="104">
        <f>AC35</f>
        <v>0</v>
      </c>
      <c r="AX35" s="104">
        <f>AF35</f>
        <v>0</v>
      </c>
      <c r="AY35" s="104">
        <f>AI35</f>
        <v>0</v>
      </c>
      <c r="AZ35" s="104">
        <f>AL35</f>
        <v>0</v>
      </c>
    </row>
    <row r="36" spans="1:64" x14ac:dyDescent="0.25">
      <c r="A36" s="101" t="s">
        <v>58</v>
      </c>
      <c r="B36" s="529"/>
      <c r="C36" s="75"/>
      <c r="D36" s="62"/>
      <c r="E36" s="63">
        <f>D36</f>
        <v>0</v>
      </c>
      <c r="F36" s="75"/>
      <c r="G36" s="62"/>
      <c r="H36" s="63">
        <f>G36</f>
        <v>0</v>
      </c>
      <c r="I36" s="75"/>
      <c r="J36" s="62"/>
      <c r="K36" s="63">
        <f>J36</f>
        <v>0</v>
      </c>
      <c r="L36" s="75"/>
      <c r="M36" s="62"/>
      <c r="N36" s="63">
        <f>M36</f>
        <v>0</v>
      </c>
      <c r="O36" s="75"/>
      <c r="P36" s="62"/>
      <c r="Q36" s="63">
        <f>P36</f>
        <v>0</v>
      </c>
      <c r="R36" s="75"/>
      <c r="S36" s="62"/>
      <c r="T36" s="63">
        <f>S36</f>
        <v>0</v>
      </c>
      <c r="U36" s="75"/>
      <c r="V36" s="62"/>
      <c r="W36" s="63">
        <f>V36</f>
        <v>0</v>
      </c>
      <c r="X36" s="75"/>
      <c r="Y36" s="62"/>
      <c r="Z36" s="63">
        <f>Y36</f>
        <v>0</v>
      </c>
      <c r="AA36" s="75"/>
      <c r="AB36" s="62"/>
      <c r="AC36" s="63">
        <f>AB36</f>
        <v>0</v>
      </c>
      <c r="AD36" s="75"/>
      <c r="AE36" s="62"/>
      <c r="AF36" s="63">
        <f>AE36</f>
        <v>0</v>
      </c>
      <c r="AG36" s="75"/>
      <c r="AH36" s="62"/>
      <c r="AI36" s="63">
        <f>AH36</f>
        <v>0</v>
      </c>
      <c r="AJ36" s="75"/>
      <c r="AK36" s="62"/>
      <c r="AL36" s="63">
        <f>AK36</f>
        <v>0</v>
      </c>
      <c r="AM36" s="86">
        <f>SUM(D36,G36,J36,M36,P36,S36,V36,Y36,AB36,AE36,AH36,AK36)</f>
        <v>0</v>
      </c>
      <c r="AN36" s="159"/>
      <c r="AO36" s="104">
        <f>E36</f>
        <v>0</v>
      </c>
      <c r="AP36" s="104">
        <f>H36</f>
        <v>0</v>
      </c>
      <c r="AQ36" s="104">
        <f>K36</f>
        <v>0</v>
      </c>
      <c r="AR36" s="104">
        <f>N36</f>
        <v>0</v>
      </c>
      <c r="AS36" s="104">
        <f>Q36</f>
        <v>0</v>
      </c>
      <c r="AT36" s="104">
        <f>T36</f>
        <v>0</v>
      </c>
      <c r="AU36" s="104">
        <f>W36</f>
        <v>0</v>
      </c>
      <c r="AV36" s="104">
        <f>Z36</f>
        <v>0</v>
      </c>
      <c r="AW36" s="104">
        <f>AC36</f>
        <v>0</v>
      </c>
      <c r="AX36" s="104">
        <f>AF36</f>
        <v>0</v>
      </c>
      <c r="AY36" s="104">
        <f>AI36</f>
        <v>0</v>
      </c>
      <c r="AZ36" s="104">
        <f>AL36</f>
        <v>0</v>
      </c>
    </row>
    <row r="37" spans="1:64" ht="12" thickBot="1" x14ac:dyDescent="0.3">
      <c r="A37" s="102" t="s">
        <v>59</v>
      </c>
      <c r="B37" s="530"/>
      <c r="C37" s="76"/>
      <c r="D37" s="68"/>
      <c r="E37" s="69">
        <f>D37</f>
        <v>0</v>
      </c>
      <c r="F37" s="76"/>
      <c r="G37" s="68"/>
      <c r="H37" s="69">
        <f>G37</f>
        <v>0</v>
      </c>
      <c r="I37" s="76"/>
      <c r="J37" s="68"/>
      <c r="K37" s="69">
        <f>J37</f>
        <v>0</v>
      </c>
      <c r="L37" s="76"/>
      <c r="M37" s="68"/>
      <c r="N37" s="69">
        <f>M37</f>
        <v>0</v>
      </c>
      <c r="O37" s="76"/>
      <c r="P37" s="68"/>
      <c r="Q37" s="69">
        <f>P37</f>
        <v>0</v>
      </c>
      <c r="R37" s="76"/>
      <c r="S37" s="68"/>
      <c r="T37" s="69">
        <f>S37</f>
        <v>0</v>
      </c>
      <c r="U37" s="76"/>
      <c r="V37" s="68"/>
      <c r="W37" s="69">
        <f>V37</f>
        <v>0</v>
      </c>
      <c r="X37" s="76"/>
      <c r="Y37" s="68"/>
      <c r="Z37" s="69">
        <f>Y37</f>
        <v>0</v>
      </c>
      <c r="AA37" s="76"/>
      <c r="AB37" s="68"/>
      <c r="AC37" s="69">
        <f>AB37</f>
        <v>0</v>
      </c>
      <c r="AD37" s="76"/>
      <c r="AE37" s="68"/>
      <c r="AF37" s="69">
        <f>AE37</f>
        <v>0</v>
      </c>
      <c r="AG37" s="76"/>
      <c r="AH37" s="68"/>
      <c r="AI37" s="69">
        <f>AH37</f>
        <v>0</v>
      </c>
      <c r="AJ37" s="76"/>
      <c r="AK37" s="68"/>
      <c r="AL37" s="69">
        <f>AK37</f>
        <v>0</v>
      </c>
      <c r="AM37" s="82">
        <f>SUM(D37,G37,J37,M37,P37,S37,V37,Y37,AB37,AE37,AH37,AK37)</f>
        <v>0</v>
      </c>
      <c r="AN37" s="159"/>
      <c r="AO37" s="104">
        <f>E37</f>
        <v>0</v>
      </c>
      <c r="AP37" s="104">
        <f>H37</f>
        <v>0</v>
      </c>
      <c r="AQ37" s="104">
        <f>K37</f>
        <v>0</v>
      </c>
      <c r="AR37" s="104">
        <f>N37</f>
        <v>0</v>
      </c>
      <c r="AS37" s="104">
        <f>Q37</f>
        <v>0</v>
      </c>
      <c r="AT37" s="104">
        <f>T37</f>
        <v>0</v>
      </c>
      <c r="AU37" s="104">
        <f>W37</f>
        <v>0</v>
      </c>
      <c r="AV37" s="104">
        <f>Z37</f>
        <v>0</v>
      </c>
      <c r="AW37" s="104">
        <f>AC37</f>
        <v>0</v>
      </c>
      <c r="AX37" s="104">
        <f>AF37</f>
        <v>0</v>
      </c>
      <c r="AY37" s="104">
        <f>AI37</f>
        <v>0</v>
      </c>
      <c r="AZ37" s="104">
        <f>AL37</f>
        <v>0</v>
      </c>
    </row>
    <row r="38" spans="1:64" s="12" customFormat="1" x14ac:dyDescent="0.25">
      <c r="A38" s="54" t="s">
        <v>14</v>
      </c>
      <c r="B38" s="527"/>
      <c r="C38" s="258"/>
      <c r="D38" s="259"/>
      <c r="E38" s="448"/>
      <c r="F38" s="258"/>
      <c r="G38" s="259"/>
      <c r="H38" s="448"/>
      <c r="I38" s="258"/>
      <c r="J38" s="259"/>
      <c r="K38" s="260"/>
      <c r="L38" s="453"/>
      <c r="M38" s="259"/>
      <c r="N38" s="448"/>
      <c r="O38" s="258"/>
      <c r="P38" s="259"/>
      <c r="Q38" s="260"/>
      <c r="R38" s="453"/>
      <c r="S38" s="259"/>
      <c r="T38" s="448"/>
      <c r="U38" s="258"/>
      <c r="V38" s="259"/>
      <c r="W38" s="260"/>
      <c r="X38" s="453"/>
      <c r="Y38" s="259"/>
      <c r="Z38" s="448"/>
      <c r="AA38" s="258"/>
      <c r="AB38" s="259"/>
      <c r="AC38" s="260"/>
      <c r="AD38" s="453"/>
      <c r="AE38" s="259"/>
      <c r="AF38" s="448"/>
      <c r="AG38" s="258"/>
      <c r="AH38" s="259"/>
      <c r="AI38" s="260"/>
      <c r="AJ38" s="453"/>
      <c r="AK38" s="259"/>
      <c r="AL38" s="448"/>
      <c r="AM38" s="261"/>
      <c r="AN38" s="452"/>
      <c r="AO38" s="104"/>
      <c r="AP38" s="104"/>
      <c r="AQ38" s="104"/>
      <c r="AR38" s="104"/>
      <c r="AS38" s="104"/>
      <c r="AT38" s="104"/>
      <c r="AU38" s="104"/>
      <c r="AV38" s="104"/>
      <c r="AW38" s="104"/>
      <c r="AX38" s="104"/>
      <c r="AY38" s="104"/>
      <c r="AZ38" s="104"/>
      <c r="BA38" s="2"/>
      <c r="BC38" s="2"/>
      <c r="BD38" s="2"/>
      <c r="BE38" s="2"/>
      <c r="BF38" s="2"/>
      <c r="BG38" s="2"/>
      <c r="BH38" s="2"/>
      <c r="BI38" s="2"/>
      <c r="BJ38" s="2"/>
      <c r="BK38" s="2"/>
      <c r="BL38" s="2"/>
    </row>
    <row r="39" spans="1:64" x14ac:dyDescent="0.25">
      <c r="A39" s="53" t="s">
        <v>15</v>
      </c>
      <c r="B39" s="529"/>
      <c r="C39" s="446"/>
      <c r="D39" s="445"/>
      <c r="E39" s="449"/>
      <c r="F39" s="446"/>
      <c r="G39" s="445"/>
      <c r="H39" s="449"/>
      <c r="I39" s="446"/>
      <c r="J39" s="445"/>
      <c r="K39" s="447"/>
      <c r="L39" s="454"/>
      <c r="M39" s="445"/>
      <c r="N39" s="449"/>
      <c r="O39" s="446"/>
      <c r="P39" s="445"/>
      <c r="Q39" s="447"/>
      <c r="R39" s="454"/>
      <c r="S39" s="445"/>
      <c r="T39" s="449"/>
      <c r="U39" s="446"/>
      <c r="V39" s="445"/>
      <c r="W39" s="447"/>
      <c r="X39" s="454"/>
      <c r="Y39" s="445"/>
      <c r="Z39" s="449"/>
      <c r="AA39" s="446"/>
      <c r="AB39" s="445"/>
      <c r="AC39" s="447"/>
      <c r="AD39" s="454"/>
      <c r="AE39" s="445"/>
      <c r="AF39" s="449"/>
      <c r="AG39" s="446"/>
      <c r="AH39" s="445"/>
      <c r="AI39" s="447"/>
      <c r="AJ39" s="454"/>
      <c r="AK39" s="445"/>
      <c r="AL39" s="449"/>
      <c r="AM39" s="455"/>
      <c r="AN39" s="452"/>
      <c r="AO39" s="104">
        <f>E39</f>
        <v>0</v>
      </c>
      <c r="AP39" s="104">
        <f>H39</f>
        <v>0</v>
      </c>
      <c r="AQ39" s="104">
        <f>K39</f>
        <v>0</v>
      </c>
      <c r="AR39" s="104">
        <f>N39</f>
        <v>0</v>
      </c>
      <c r="AS39" s="104">
        <f>Q39</f>
        <v>0</v>
      </c>
      <c r="AT39" s="104">
        <f>T39</f>
        <v>0</v>
      </c>
      <c r="AU39" s="104">
        <f>W39</f>
        <v>0</v>
      </c>
      <c r="AV39" s="104">
        <f>Z39</f>
        <v>0</v>
      </c>
      <c r="AW39" s="104">
        <f>AC39</f>
        <v>0</v>
      </c>
      <c r="AX39" s="104">
        <f>AF39</f>
        <v>0</v>
      </c>
      <c r="AY39" s="104">
        <f>AI39</f>
        <v>0</v>
      </c>
      <c r="AZ39" s="104">
        <f>AL39</f>
        <v>0</v>
      </c>
    </row>
    <row r="40" spans="1:64" x14ac:dyDescent="0.25">
      <c r="A40" s="53" t="s">
        <v>60</v>
      </c>
      <c r="B40" s="753" t="s">
        <v>662</v>
      </c>
      <c r="C40" s="460"/>
      <c r="D40" s="461"/>
      <c r="E40" s="450">
        <f>D40+'บริหารโดยส่วนกลาง (ไม่ต้องกรอก)'!E11</f>
        <v>0</v>
      </c>
      <c r="F40" s="464"/>
      <c r="G40" s="465"/>
      <c r="H40" s="450">
        <f>G40+'บริหารโดยส่วนกลาง (ไม่ต้องกรอก)'!H11</f>
        <v>0</v>
      </c>
      <c r="I40" s="460"/>
      <c r="J40" s="461"/>
      <c r="K40" s="450">
        <f>J40+'บริหารโดยส่วนกลาง (ไม่ต้องกรอก)'!K11</f>
        <v>0</v>
      </c>
      <c r="L40" s="460"/>
      <c r="M40" s="461"/>
      <c r="N40" s="450">
        <f>M40+'บริหารโดยส่วนกลาง (ไม่ต้องกรอก)'!N11</f>
        <v>0</v>
      </c>
      <c r="O40" s="460"/>
      <c r="P40" s="461"/>
      <c r="Q40" s="450">
        <f>P40+'บริหารโดยส่วนกลาง (ไม่ต้องกรอก)'!Q11</f>
        <v>0</v>
      </c>
      <c r="R40" s="460"/>
      <c r="S40" s="461"/>
      <c r="T40" s="450">
        <f>S40+'บริหารโดยส่วนกลาง (ไม่ต้องกรอก)'!T11</f>
        <v>0</v>
      </c>
      <c r="U40" s="460"/>
      <c r="V40" s="461"/>
      <c r="W40" s="450">
        <f>V40+'บริหารโดยส่วนกลาง (ไม่ต้องกรอก)'!W11</f>
        <v>0</v>
      </c>
      <c r="X40" s="460"/>
      <c r="Y40" s="461"/>
      <c r="Z40" s="450">
        <f>Y40+'บริหารโดยส่วนกลาง (ไม่ต้องกรอก)'!Z11</f>
        <v>0</v>
      </c>
      <c r="AA40" s="460"/>
      <c r="AB40" s="461"/>
      <c r="AC40" s="450">
        <f>AB40+'บริหารโดยส่วนกลาง (ไม่ต้องกรอก)'!AC11</f>
        <v>0</v>
      </c>
      <c r="AD40" s="460"/>
      <c r="AE40" s="461"/>
      <c r="AF40" s="450">
        <f>AE40+'บริหารโดยส่วนกลาง (ไม่ต้องกรอก)'!AF11</f>
        <v>0</v>
      </c>
      <c r="AG40" s="460"/>
      <c r="AH40" s="461"/>
      <c r="AI40" s="450">
        <f>AH40+'บริหารโดยส่วนกลาง (ไม่ต้องกรอก)'!AI11</f>
        <v>0</v>
      </c>
      <c r="AJ40" s="460"/>
      <c r="AK40" s="461"/>
      <c r="AL40" s="450">
        <f>AK40+'บริหารโดยส่วนกลาง (ไม่ต้องกรอก)'!AL11</f>
        <v>0</v>
      </c>
      <c r="AM40" s="86">
        <f>SUM(D40,G40,J40,M40,P40,S40,V40,Y40,AB40,AE40,AH40,AK40)</f>
        <v>0</v>
      </c>
      <c r="AN40" s="452"/>
      <c r="AO40" s="104">
        <f>E40</f>
        <v>0</v>
      </c>
      <c r="AP40" s="104">
        <f>H40</f>
        <v>0</v>
      </c>
      <c r="AQ40" s="104">
        <f>K40</f>
        <v>0</v>
      </c>
      <c r="AR40" s="104">
        <f>N40</f>
        <v>0</v>
      </c>
      <c r="AS40" s="104">
        <f>Q40</f>
        <v>0</v>
      </c>
      <c r="AT40" s="104">
        <f>T40</f>
        <v>0</v>
      </c>
      <c r="AU40" s="104">
        <f>W40</f>
        <v>0</v>
      </c>
      <c r="AV40" s="104">
        <f>Z40</f>
        <v>0</v>
      </c>
      <c r="AW40" s="104">
        <f>AC40</f>
        <v>0</v>
      </c>
      <c r="AX40" s="104">
        <f>AF40</f>
        <v>0</v>
      </c>
      <c r="AY40" s="104">
        <f>AI40</f>
        <v>0</v>
      </c>
      <c r="AZ40" s="104">
        <f>AL40</f>
        <v>0</v>
      </c>
    </row>
    <row r="41" spans="1:64" x14ac:dyDescent="0.25">
      <c r="A41" s="53" t="s">
        <v>61</v>
      </c>
      <c r="B41" s="754"/>
      <c r="C41" s="460"/>
      <c r="D41" s="461"/>
      <c r="E41" s="450">
        <f>D41+'บริหารโดยส่วนกลาง (ไม่ต้องกรอก)'!E12</f>
        <v>0</v>
      </c>
      <c r="F41" s="464"/>
      <c r="G41" s="465"/>
      <c r="H41" s="450">
        <f>G41+'บริหารโดยส่วนกลาง (ไม่ต้องกรอก)'!H12</f>
        <v>0</v>
      </c>
      <c r="I41" s="460"/>
      <c r="J41" s="461"/>
      <c r="K41" s="450">
        <f>J41+'บริหารโดยส่วนกลาง (ไม่ต้องกรอก)'!K12</f>
        <v>0</v>
      </c>
      <c r="L41" s="460"/>
      <c r="M41" s="461"/>
      <c r="N41" s="450">
        <f>M41+'บริหารโดยส่วนกลาง (ไม่ต้องกรอก)'!N12</f>
        <v>0</v>
      </c>
      <c r="O41" s="460"/>
      <c r="P41" s="461"/>
      <c r="Q41" s="450">
        <f>P41+'บริหารโดยส่วนกลาง (ไม่ต้องกรอก)'!Q12</f>
        <v>0</v>
      </c>
      <c r="R41" s="460"/>
      <c r="S41" s="461"/>
      <c r="T41" s="450">
        <f>S41+'บริหารโดยส่วนกลาง (ไม่ต้องกรอก)'!T12</f>
        <v>0</v>
      </c>
      <c r="U41" s="460"/>
      <c r="V41" s="461"/>
      <c r="W41" s="450">
        <f>V41+'บริหารโดยส่วนกลาง (ไม่ต้องกรอก)'!W12</f>
        <v>0</v>
      </c>
      <c r="X41" s="460"/>
      <c r="Y41" s="461"/>
      <c r="Z41" s="450">
        <f>Y41+'บริหารโดยส่วนกลาง (ไม่ต้องกรอก)'!Z12</f>
        <v>0</v>
      </c>
      <c r="AA41" s="460"/>
      <c r="AB41" s="461"/>
      <c r="AC41" s="450">
        <f>AB41+'บริหารโดยส่วนกลาง (ไม่ต้องกรอก)'!AC12</f>
        <v>0</v>
      </c>
      <c r="AD41" s="460"/>
      <c r="AE41" s="461"/>
      <c r="AF41" s="450">
        <f>AE41+'บริหารโดยส่วนกลาง (ไม่ต้องกรอก)'!AF12</f>
        <v>0</v>
      </c>
      <c r="AG41" s="460"/>
      <c r="AH41" s="461"/>
      <c r="AI41" s="450">
        <f>AH41+'บริหารโดยส่วนกลาง (ไม่ต้องกรอก)'!AI12</f>
        <v>0</v>
      </c>
      <c r="AJ41" s="460"/>
      <c r="AK41" s="461"/>
      <c r="AL41" s="450">
        <f>AK41+'บริหารโดยส่วนกลาง (ไม่ต้องกรอก)'!AL12</f>
        <v>0</v>
      </c>
      <c r="AM41" s="86">
        <f>SUM(D41,G41,J41,M41,P41,S41,V41,Y41,AB41,AE41,AH41,AK41)</f>
        <v>0</v>
      </c>
      <c r="AN41" s="452"/>
      <c r="AO41" s="104">
        <f>E41</f>
        <v>0</v>
      </c>
      <c r="AP41" s="104">
        <f>H41</f>
        <v>0</v>
      </c>
      <c r="AQ41" s="104">
        <f>K41</f>
        <v>0</v>
      </c>
      <c r="AR41" s="104">
        <f>N41</f>
        <v>0</v>
      </c>
      <c r="AS41" s="104">
        <f>Q41</f>
        <v>0</v>
      </c>
      <c r="AT41" s="104">
        <f>T41</f>
        <v>0</v>
      </c>
      <c r="AU41" s="104">
        <f>W41</f>
        <v>0</v>
      </c>
      <c r="AV41" s="104">
        <f>Z41</f>
        <v>0</v>
      </c>
      <c r="AW41" s="104">
        <f>AC41</f>
        <v>0</v>
      </c>
      <c r="AX41" s="104">
        <f>AF41</f>
        <v>0</v>
      </c>
      <c r="AY41" s="104">
        <f>AI41</f>
        <v>0</v>
      </c>
      <c r="AZ41" s="104">
        <f>AL41</f>
        <v>0</v>
      </c>
    </row>
    <row r="42" spans="1:64" ht="12" thickBot="1" x14ac:dyDescent="0.3">
      <c r="A42" s="53" t="s">
        <v>62</v>
      </c>
      <c r="B42" s="755"/>
      <c r="C42" s="462"/>
      <c r="D42" s="463"/>
      <c r="E42" s="451">
        <f>D42+'บริหารโดยส่วนกลาง (ไม่ต้องกรอก)'!E13</f>
        <v>0</v>
      </c>
      <c r="F42" s="466"/>
      <c r="G42" s="467"/>
      <c r="H42" s="451">
        <f>G42+'บริหารโดยส่วนกลาง (ไม่ต้องกรอก)'!H13</f>
        <v>0</v>
      </c>
      <c r="I42" s="462"/>
      <c r="J42" s="463"/>
      <c r="K42" s="451">
        <f>J42+'บริหารโดยส่วนกลาง (ไม่ต้องกรอก)'!K13</f>
        <v>0</v>
      </c>
      <c r="L42" s="462"/>
      <c r="M42" s="463"/>
      <c r="N42" s="451">
        <f>M42+'บริหารโดยส่วนกลาง (ไม่ต้องกรอก)'!N13</f>
        <v>0</v>
      </c>
      <c r="O42" s="462"/>
      <c r="P42" s="463"/>
      <c r="Q42" s="451">
        <f>P42+'บริหารโดยส่วนกลาง (ไม่ต้องกรอก)'!Q13</f>
        <v>0</v>
      </c>
      <c r="R42" s="462"/>
      <c r="S42" s="463"/>
      <c r="T42" s="451">
        <f>S42+'บริหารโดยส่วนกลาง (ไม่ต้องกรอก)'!T13</f>
        <v>0</v>
      </c>
      <c r="U42" s="462"/>
      <c r="V42" s="463"/>
      <c r="W42" s="451">
        <f>V42+'บริหารโดยส่วนกลาง (ไม่ต้องกรอก)'!W13</f>
        <v>0</v>
      </c>
      <c r="X42" s="462"/>
      <c r="Y42" s="463"/>
      <c r="Z42" s="451">
        <f>Y42+'บริหารโดยส่วนกลาง (ไม่ต้องกรอก)'!Z13</f>
        <v>0</v>
      </c>
      <c r="AA42" s="462"/>
      <c r="AB42" s="463"/>
      <c r="AC42" s="451">
        <f>AB42+'บริหารโดยส่วนกลาง (ไม่ต้องกรอก)'!AC13</f>
        <v>0</v>
      </c>
      <c r="AD42" s="462"/>
      <c r="AE42" s="463"/>
      <c r="AF42" s="451">
        <f>AE42+'บริหารโดยส่วนกลาง (ไม่ต้องกรอก)'!AF13</f>
        <v>0</v>
      </c>
      <c r="AG42" s="462"/>
      <c r="AH42" s="463"/>
      <c r="AI42" s="451">
        <f>AH42+'บริหารโดยส่วนกลาง (ไม่ต้องกรอก)'!AI13</f>
        <v>0</v>
      </c>
      <c r="AJ42" s="462"/>
      <c r="AK42" s="463"/>
      <c r="AL42" s="451">
        <f>AK42+'บริหารโดยส่วนกลาง (ไม่ต้องกรอก)'!AL13</f>
        <v>0</v>
      </c>
      <c r="AM42" s="87">
        <f>SUM(D42,G42,J42,M42,P42,S42,V42,Y42,AB42,AE42,AH42,AK42)</f>
        <v>0</v>
      </c>
      <c r="AN42" s="452"/>
      <c r="AO42" s="104">
        <f>E42</f>
        <v>0</v>
      </c>
      <c r="AP42" s="104">
        <f>H42</f>
        <v>0</v>
      </c>
      <c r="AQ42" s="104">
        <f>K42</f>
        <v>0</v>
      </c>
      <c r="AR42" s="104">
        <f>N42</f>
        <v>0</v>
      </c>
      <c r="AS42" s="104">
        <f>Q42</f>
        <v>0</v>
      </c>
      <c r="AT42" s="104">
        <f>T42</f>
        <v>0</v>
      </c>
      <c r="AU42" s="104">
        <f>W42</f>
        <v>0</v>
      </c>
      <c r="AV42" s="104">
        <f>Z42</f>
        <v>0</v>
      </c>
      <c r="AW42" s="104">
        <f>AC42</f>
        <v>0</v>
      </c>
      <c r="AX42" s="104">
        <f>AF42</f>
        <v>0</v>
      </c>
      <c r="AY42" s="104">
        <f>AI42</f>
        <v>0</v>
      </c>
      <c r="AZ42" s="104">
        <f>AL42</f>
        <v>0</v>
      </c>
    </row>
    <row r="43" spans="1:64" s="12" customFormat="1" x14ac:dyDescent="0.25">
      <c r="A43" s="100" t="s">
        <v>16</v>
      </c>
      <c r="B43" s="527"/>
      <c r="C43" s="74"/>
      <c r="D43" s="66"/>
      <c r="E43" s="67"/>
      <c r="F43" s="74"/>
      <c r="G43" s="66"/>
      <c r="H43" s="67"/>
      <c r="I43" s="74"/>
      <c r="J43" s="66"/>
      <c r="K43" s="67"/>
      <c r="L43" s="74"/>
      <c r="M43" s="66"/>
      <c r="N43" s="67"/>
      <c r="O43" s="74"/>
      <c r="P43" s="66"/>
      <c r="Q43" s="67"/>
      <c r="R43" s="74"/>
      <c r="S43" s="66"/>
      <c r="T43" s="67"/>
      <c r="U43" s="74"/>
      <c r="V43" s="66"/>
      <c r="W43" s="67"/>
      <c r="X43" s="74"/>
      <c r="Y43" s="66"/>
      <c r="Z43" s="67"/>
      <c r="AA43" s="74"/>
      <c r="AB43" s="66"/>
      <c r="AC43" s="67"/>
      <c r="AD43" s="74"/>
      <c r="AE43" s="66"/>
      <c r="AF43" s="67"/>
      <c r="AG43" s="74"/>
      <c r="AH43" s="66"/>
      <c r="AI43" s="67"/>
      <c r="AJ43" s="74"/>
      <c r="AK43" s="66"/>
      <c r="AL43" s="67"/>
      <c r="AM43" s="85"/>
      <c r="AN43" s="159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2"/>
      <c r="BC43" s="2"/>
      <c r="BD43" s="2"/>
      <c r="BE43" s="2"/>
      <c r="BF43" s="2"/>
      <c r="BG43" s="2"/>
      <c r="BH43" s="2"/>
      <c r="BI43" s="2"/>
      <c r="BJ43" s="2"/>
      <c r="BK43" s="2"/>
      <c r="BL43" s="2"/>
    </row>
    <row r="44" spans="1:64" x14ac:dyDescent="0.25">
      <c r="A44" s="101" t="s">
        <v>63</v>
      </c>
      <c r="B44" s="756" t="s">
        <v>662</v>
      </c>
      <c r="C44" s="464"/>
      <c r="D44" s="465"/>
      <c r="E44" s="63">
        <f>D44+'บริหารโดยส่วนกลาง (ไม่ต้องกรอก)'!E15</f>
        <v>0</v>
      </c>
      <c r="F44" s="464"/>
      <c r="G44" s="465"/>
      <c r="H44" s="63">
        <f>G44+'บริหารโดยส่วนกลาง (ไม่ต้องกรอก)'!H15</f>
        <v>0</v>
      </c>
      <c r="I44" s="464"/>
      <c r="J44" s="465"/>
      <c r="K44" s="63">
        <f>J44+'บริหารโดยส่วนกลาง (ไม่ต้องกรอก)'!K15</f>
        <v>0</v>
      </c>
      <c r="L44" s="464"/>
      <c r="M44" s="465"/>
      <c r="N44" s="63">
        <f>M44+'บริหารโดยส่วนกลาง (ไม่ต้องกรอก)'!N15</f>
        <v>0</v>
      </c>
      <c r="O44" s="464"/>
      <c r="P44" s="465"/>
      <c r="Q44" s="63">
        <f>P44+'บริหารโดยส่วนกลาง (ไม่ต้องกรอก)'!Q15</f>
        <v>0</v>
      </c>
      <c r="R44" s="464"/>
      <c r="S44" s="465"/>
      <c r="T44" s="63">
        <f>S44+'บริหารโดยส่วนกลาง (ไม่ต้องกรอก)'!T15</f>
        <v>0</v>
      </c>
      <c r="U44" s="464"/>
      <c r="V44" s="465"/>
      <c r="W44" s="63">
        <f>V44+'บริหารโดยส่วนกลาง (ไม่ต้องกรอก)'!W15</f>
        <v>0</v>
      </c>
      <c r="X44" s="464"/>
      <c r="Y44" s="465"/>
      <c r="Z44" s="63">
        <f>Y44+'บริหารโดยส่วนกลาง (ไม่ต้องกรอก)'!Z15</f>
        <v>0</v>
      </c>
      <c r="AA44" s="464"/>
      <c r="AB44" s="465"/>
      <c r="AC44" s="63">
        <f>AB44+'บริหารโดยส่วนกลาง (ไม่ต้องกรอก)'!AC15</f>
        <v>0</v>
      </c>
      <c r="AD44" s="464"/>
      <c r="AE44" s="465"/>
      <c r="AF44" s="63">
        <f>AE44+'บริหารโดยส่วนกลาง (ไม่ต้องกรอก)'!AF15</f>
        <v>0</v>
      </c>
      <c r="AG44" s="464"/>
      <c r="AH44" s="465"/>
      <c r="AI44" s="63">
        <f>AH44+'บริหารโดยส่วนกลาง (ไม่ต้องกรอก)'!AI15</f>
        <v>0</v>
      </c>
      <c r="AJ44" s="464"/>
      <c r="AK44" s="465"/>
      <c r="AL44" s="63">
        <f>AK44+'บริหารโดยส่วนกลาง (ไม่ต้องกรอก)'!AL15</f>
        <v>0</v>
      </c>
      <c r="AM44" s="86">
        <f t="shared" ref="AM44:AM50" si="53">SUM(D44,G44,J44,M44,P44,S44,V44,Y44,AB44,AE44,AH44,AK44)</f>
        <v>0</v>
      </c>
      <c r="AN44" s="159"/>
      <c r="AO44" s="104">
        <f t="shared" ref="AO44:AO50" si="54">E44</f>
        <v>0</v>
      </c>
      <c r="AP44" s="104">
        <f t="shared" ref="AP44:AP50" si="55">H44</f>
        <v>0</v>
      </c>
      <c r="AQ44" s="104">
        <f t="shared" ref="AQ44:AQ50" si="56">K44</f>
        <v>0</v>
      </c>
      <c r="AR44" s="104">
        <f t="shared" ref="AR44:AR50" si="57">N44</f>
        <v>0</v>
      </c>
      <c r="AS44" s="104">
        <f t="shared" ref="AS44:AS50" si="58">Q44</f>
        <v>0</v>
      </c>
      <c r="AT44" s="104">
        <f t="shared" ref="AT44:AT50" si="59">T44</f>
        <v>0</v>
      </c>
      <c r="AU44" s="104">
        <f t="shared" ref="AU44:AU50" si="60">W44</f>
        <v>0</v>
      </c>
      <c r="AV44" s="104">
        <f t="shared" ref="AV44:AV50" si="61">Z44</f>
        <v>0</v>
      </c>
      <c r="AW44" s="104">
        <f t="shared" ref="AW44:AW50" si="62">AC44</f>
        <v>0</v>
      </c>
      <c r="AX44" s="104">
        <f t="shared" ref="AX44:AX50" si="63">AF44</f>
        <v>0</v>
      </c>
      <c r="AY44" s="104">
        <f t="shared" ref="AY44:AY50" si="64">AI44</f>
        <v>0</v>
      </c>
      <c r="AZ44" s="104">
        <f t="shared" ref="AZ44:AZ50" si="65">AL44</f>
        <v>0</v>
      </c>
    </row>
    <row r="45" spans="1:64" x14ac:dyDescent="0.25">
      <c r="A45" s="101" t="s">
        <v>64</v>
      </c>
      <c r="B45" s="757"/>
      <c r="C45" s="464"/>
      <c r="D45" s="465"/>
      <c r="E45" s="63">
        <f>D45+'บริหารโดยส่วนกลาง (ไม่ต้องกรอก)'!E16</f>
        <v>0</v>
      </c>
      <c r="F45" s="464"/>
      <c r="G45" s="465"/>
      <c r="H45" s="63">
        <f>G45+'บริหารโดยส่วนกลาง (ไม่ต้องกรอก)'!H16</f>
        <v>0</v>
      </c>
      <c r="I45" s="464"/>
      <c r="J45" s="465"/>
      <c r="K45" s="63">
        <f>J45+'บริหารโดยส่วนกลาง (ไม่ต้องกรอก)'!K16</f>
        <v>0</v>
      </c>
      <c r="L45" s="464"/>
      <c r="M45" s="465"/>
      <c r="N45" s="63">
        <f>M45+'บริหารโดยส่วนกลาง (ไม่ต้องกรอก)'!N16</f>
        <v>0</v>
      </c>
      <c r="O45" s="464"/>
      <c r="P45" s="465"/>
      <c r="Q45" s="63">
        <f>P45+'บริหารโดยส่วนกลาง (ไม่ต้องกรอก)'!Q16</f>
        <v>0</v>
      </c>
      <c r="R45" s="464"/>
      <c r="S45" s="465"/>
      <c r="T45" s="63">
        <f>S45+'บริหารโดยส่วนกลาง (ไม่ต้องกรอก)'!T16</f>
        <v>0</v>
      </c>
      <c r="U45" s="464"/>
      <c r="V45" s="465"/>
      <c r="W45" s="63">
        <f>V45+'บริหารโดยส่วนกลาง (ไม่ต้องกรอก)'!W16</f>
        <v>0</v>
      </c>
      <c r="X45" s="464"/>
      <c r="Y45" s="465"/>
      <c r="Z45" s="63">
        <f>Y45+'บริหารโดยส่วนกลาง (ไม่ต้องกรอก)'!Z16</f>
        <v>0</v>
      </c>
      <c r="AA45" s="464"/>
      <c r="AB45" s="465"/>
      <c r="AC45" s="63">
        <f>AB45+'บริหารโดยส่วนกลาง (ไม่ต้องกรอก)'!AC16</f>
        <v>0</v>
      </c>
      <c r="AD45" s="464"/>
      <c r="AE45" s="465"/>
      <c r="AF45" s="63">
        <f>AE45+'บริหารโดยส่วนกลาง (ไม่ต้องกรอก)'!AF16</f>
        <v>0</v>
      </c>
      <c r="AG45" s="464"/>
      <c r="AH45" s="465"/>
      <c r="AI45" s="63">
        <f>AH45+'บริหารโดยส่วนกลาง (ไม่ต้องกรอก)'!AI16</f>
        <v>0</v>
      </c>
      <c r="AJ45" s="464"/>
      <c r="AK45" s="465"/>
      <c r="AL45" s="63">
        <f>AK45+'บริหารโดยส่วนกลาง (ไม่ต้องกรอก)'!AL16</f>
        <v>0</v>
      </c>
      <c r="AM45" s="86">
        <f t="shared" si="53"/>
        <v>0</v>
      </c>
      <c r="AN45" s="159"/>
      <c r="AO45" s="104">
        <f t="shared" si="54"/>
        <v>0</v>
      </c>
      <c r="AP45" s="104">
        <f t="shared" si="55"/>
        <v>0</v>
      </c>
      <c r="AQ45" s="104">
        <f t="shared" si="56"/>
        <v>0</v>
      </c>
      <c r="AR45" s="104">
        <f t="shared" si="57"/>
        <v>0</v>
      </c>
      <c r="AS45" s="104">
        <f t="shared" si="58"/>
        <v>0</v>
      </c>
      <c r="AT45" s="104">
        <f t="shared" si="59"/>
        <v>0</v>
      </c>
      <c r="AU45" s="104">
        <f t="shared" si="60"/>
        <v>0</v>
      </c>
      <c r="AV45" s="104">
        <f t="shared" si="61"/>
        <v>0</v>
      </c>
      <c r="AW45" s="104">
        <f t="shared" si="62"/>
        <v>0</v>
      </c>
      <c r="AX45" s="104">
        <f t="shared" si="63"/>
        <v>0</v>
      </c>
      <c r="AY45" s="104">
        <f t="shared" si="64"/>
        <v>0</v>
      </c>
      <c r="AZ45" s="104">
        <f t="shared" si="65"/>
        <v>0</v>
      </c>
    </row>
    <row r="46" spans="1:64" x14ac:dyDescent="0.25">
      <c r="A46" s="101" t="s">
        <v>65</v>
      </c>
      <c r="B46" s="757"/>
      <c r="C46" s="464"/>
      <c r="D46" s="465"/>
      <c r="E46" s="63">
        <f>D46+'บริหารโดยส่วนกลาง (ไม่ต้องกรอก)'!E17</f>
        <v>0</v>
      </c>
      <c r="F46" s="464"/>
      <c r="G46" s="465"/>
      <c r="H46" s="63">
        <f>G46+'บริหารโดยส่วนกลาง (ไม่ต้องกรอก)'!H17</f>
        <v>0</v>
      </c>
      <c r="I46" s="464"/>
      <c r="J46" s="465"/>
      <c r="K46" s="63">
        <f>J46+'บริหารโดยส่วนกลาง (ไม่ต้องกรอก)'!K17</f>
        <v>0</v>
      </c>
      <c r="L46" s="464"/>
      <c r="M46" s="465"/>
      <c r="N46" s="63">
        <f>M46+'บริหารโดยส่วนกลาง (ไม่ต้องกรอก)'!N17</f>
        <v>0</v>
      </c>
      <c r="O46" s="464"/>
      <c r="P46" s="465"/>
      <c r="Q46" s="63">
        <f>P46+'บริหารโดยส่วนกลาง (ไม่ต้องกรอก)'!Q17</f>
        <v>0</v>
      </c>
      <c r="R46" s="464"/>
      <c r="S46" s="465"/>
      <c r="T46" s="63">
        <f>S46+'บริหารโดยส่วนกลาง (ไม่ต้องกรอก)'!T17</f>
        <v>0</v>
      </c>
      <c r="U46" s="464"/>
      <c r="V46" s="465"/>
      <c r="W46" s="63">
        <f>V46+'บริหารโดยส่วนกลาง (ไม่ต้องกรอก)'!W17</f>
        <v>0</v>
      </c>
      <c r="X46" s="464"/>
      <c r="Y46" s="465"/>
      <c r="Z46" s="63">
        <f>Y46+'บริหารโดยส่วนกลาง (ไม่ต้องกรอก)'!Z17</f>
        <v>0</v>
      </c>
      <c r="AA46" s="464"/>
      <c r="AB46" s="465"/>
      <c r="AC46" s="63">
        <f>AB46+'บริหารโดยส่วนกลาง (ไม่ต้องกรอก)'!AC17</f>
        <v>0</v>
      </c>
      <c r="AD46" s="464"/>
      <c r="AE46" s="465"/>
      <c r="AF46" s="63">
        <f>AE46+'บริหารโดยส่วนกลาง (ไม่ต้องกรอก)'!AF17</f>
        <v>0</v>
      </c>
      <c r="AG46" s="464"/>
      <c r="AH46" s="465"/>
      <c r="AI46" s="63">
        <f>AH46+'บริหารโดยส่วนกลาง (ไม่ต้องกรอก)'!AI17</f>
        <v>0</v>
      </c>
      <c r="AJ46" s="464"/>
      <c r="AK46" s="465"/>
      <c r="AL46" s="63">
        <f>AK46+'บริหารโดยส่วนกลาง (ไม่ต้องกรอก)'!AL17</f>
        <v>0</v>
      </c>
      <c r="AM46" s="86">
        <f t="shared" si="53"/>
        <v>0</v>
      </c>
      <c r="AN46" s="159"/>
      <c r="AO46" s="104">
        <f t="shared" si="54"/>
        <v>0</v>
      </c>
      <c r="AP46" s="104">
        <f t="shared" si="55"/>
        <v>0</v>
      </c>
      <c r="AQ46" s="104">
        <f t="shared" si="56"/>
        <v>0</v>
      </c>
      <c r="AR46" s="104">
        <f t="shared" si="57"/>
        <v>0</v>
      </c>
      <c r="AS46" s="104">
        <f t="shared" si="58"/>
        <v>0</v>
      </c>
      <c r="AT46" s="104">
        <f t="shared" si="59"/>
        <v>0</v>
      </c>
      <c r="AU46" s="104">
        <f t="shared" si="60"/>
        <v>0</v>
      </c>
      <c r="AV46" s="104">
        <f t="shared" si="61"/>
        <v>0</v>
      </c>
      <c r="AW46" s="104">
        <f t="shared" si="62"/>
        <v>0</v>
      </c>
      <c r="AX46" s="104">
        <f t="shared" si="63"/>
        <v>0</v>
      </c>
      <c r="AY46" s="104">
        <f t="shared" si="64"/>
        <v>0</v>
      </c>
      <c r="AZ46" s="104">
        <f t="shared" si="65"/>
        <v>0</v>
      </c>
    </row>
    <row r="47" spans="1:64" x14ac:dyDescent="0.25">
      <c r="A47" s="101" t="s">
        <v>66</v>
      </c>
      <c r="B47" s="757"/>
      <c r="C47" s="464"/>
      <c r="D47" s="465"/>
      <c r="E47" s="63">
        <f>D47+'บริหารโดยส่วนกลาง (ไม่ต้องกรอก)'!E18</f>
        <v>0</v>
      </c>
      <c r="F47" s="464"/>
      <c r="G47" s="465"/>
      <c r="H47" s="63">
        <f>G47+'บริหารโดยส่วนกลาง (ไม่ต้องกรอก)'!H18</f>
        <v>0</v>
      </c>
      <c r="I47" s="464"/>
      <c r="J47" s="465"/>
      <c r="K47" s="63">
        <f>J47+'บริหารโดยส่วนกลาง (ไม่ต้องกรอก)'!K18</f>
        <v>0</v>
      </c>
      <c r="L47" s="464"/>
      <c r="M47" s="465"/>
      <c r="N47" s="63">
        <f>M47+'บริหารโดยส่วนกลาง (ไม่ต้องกรอก)'!N18</f>
        <v>0</v>
      </c>
      <c r="O47" s="464"/>
      <c r="P47" s="465"/>
      <c r="Q47" s="63">
        <f>P47+'บริหารโดยส่วนกลาง (ไม่ต้องกรอก)'!Q18</f>
        <v>0</v>
      </c>
      <c r="R47" s="464"/>
      <c r="S47" s="465"/>
      <c r="T47" s="63">
        <f>S47+'บริหารโดยส่วนกลาง (ไม่ต้องกรอก)'!T18</f>
        <v>0</v>
      </c>
      <c r="U47" s="464"/>
      <c r="V47" s="465"/>
      <c r="W47" s="63">
        <f>V47+'บริหารโดยส่วนกลาง (ไม่ต้องกรอก)'!W18</f>
        <v>0</v>
      </c>
      <c r="X47" s="464"/>
      <c r="Y47" s="465"/>
      <c r="Z47" s="63">
        <f>Y47+'บริหารโดยส่วนกลาง (ไม่ต้องกรอก)'!Z18</f>
        <v>0</v>
      </c>
      <c r="AA47" s="464"/>
      <c r="AB47" s="465"/>
      <c r="AC47" s="63">
        <f>AB47+'บริหารโดยส่วนกลาง (ไม่ต้องกรอก)'!AC18</f>
        <v>0</v>
      </c>
      <c r="AD47" s="464"/>
      <c r="AE47" s="465"/>
      <c r="AF47" s="63">
        <f>AE47+'บริหารโดยส่วนกลาง (ไม่ต้องกรอก)'!AF18</f>
        <v>0</v>
      </c>
      <c r="AG47" s="464"/>
      <c r="AH47" s="465"/>
      <c r="AI47" s="63">
        <f>AH47+'บริหารโดยส่วนกลาง (ไม่ต้องกรอก)'!AI18</f>
        <v>0</v>
      </c>
      <c r="AJ47" s="464"/>
      <c r="AK47" s="465"/>
      <c r="AL47" s="63">
        <f>AK47+'บริหารโดยส่วนกลาง (ไม่ต้องกรอก)'!AL18</f>
        <v>0</v>
      </c>
      <c r="AM47" s="86">
        <f t="shared" si="53"/>
        <v>0</v>
      </c>
      <c r="AN47" s="159"/>
      <c r="AO47" s="104">
        <f t="shared" si="54"/>
        <v>0</v>
      </c>
      <c r="AP47" s="104">
        <f t="shared" si="55"/>
        <v>0</v>
      </c>
      <c r="AQ47" s="104">
        <f t="shared" si="56"/>
        <v>0</v>
      </c>
      <c r="AR47" s="104">
        <f t="shared" si="57"/>
        <v>0</v>
      </c>
      <c r="AS47" s="104">
        <f t="shared" si="58"/>
        <v>0</v>
      </c>
      <c r="AT47" s="104">
        <f t="shared" si="59"/>
        <v>0</v>
      </c>
      <c r="AU47" s="104">
        <f t="shared" si="60"/>
        <v>0</v>
      </c>
      <c r="AV47" s="104">
        <f t="shared" si="61"/>
        <v>0</v>
      </c>
      <c r="AW47" s="104">
        <f t="shared" si="62"/>
        <v>0</v>
      </c>
      <c r="AX47" s="104">
        <f t="shared" si="63"/>
        <v>0</v>
      </c>
      <c r="AY47" s="104">
        <f t="shared" si="64"/>
        <v>0</v>
      </c>
      <c r="AZ47" s="104">
        <f t="shared" si="65"/>
        <v>0</v>
      </c>
    </row>
    <row r="48" spans="1:64" x14ac:dyDescent="0.25">
      <c r="A48" s="101" t="s">
        <v>67</v>
      </c>
      <c r="B48" s="757"/>
      <c r="C48" s="464"/>
      <c r="D48" s="465"/>
      <c r="E48" s="63">
        <f>D48+'บริหารโดยส่วนกลาง (ไม่ต้องกรอก)'!E19</f>
        <v>0</v>
      </c>
      <c r="F48" s="464"/>
      <c r="G48" s="465"/>
      <c r="H48" s="63">
        <f>G48+'บริหารโดยส่วนกลาง (ไม่ต้องกรอก)'!H19</f>
        <v>0</v>
      </c>
      <c r="I48" s="464"/>
      <c r="J48" s="465"/>
      <c r="K48" s="63">
        <f>J48+'บริหารโดยส่วนกลาง (ไม่ต้องกรอก)'!K19</f>
        <v>0</v>
      </c>
      <c r="L48" s="464"/>
      <c r="M48" s="465"/>
      <c r="N48" s="63">
        <f>M48+'บริหารโดยส่วนกลาง (ไม่ต้องกรอก)'!N19</f>
        <v>0</v>
      </c>
      <c r="O48" s="464"/>
      <c r="P48" s="465"/>
      <c r="Q48" s="63">
        <f>P48+'บริหารโดยส่วนกลาง (ไม่ต้องกรอก)'!Q19</f>
        <v>0</v>
      </c>
      <c r="R48" s="464"/>
      <c r="S48" s="465"/>
      <c r="T48" s="63">
        <f>S48+'บริหารโดยส่วนกลาง (ไม่ต้องกรอก)'!T19</f>
        <v>0</v>
      </c>
      <c r="U48" s="464"/>
      <c r="V48" s="465"/>
      <c r="W48" s="63">
        <f>V48+'บริหารโดยส่วนกลาง (ไม่ต้องกรอก)'!W19</f>
        <v>0</v>
      </c>
      <c r="X48" s="464"/>
      <c r="Y48" s="465"/>
      <c r="Z48" s="63">
        <f>Y48+'บริหารโดยส่วนกลาง (ไม่ต้องกรอก)'!Z19</f>
        <v>0</v>
      </c>
      <c r="AA48" s="464"/>
      <c r="AB48" s="465"/>
      <c r="AC48" s="63">
        <f>AB48+'บริหารโดยส่วนกลาง (ไม่ต้องกรอก)'!AC19</f>
        <v>0</v>
      </c>
      <c r="AD48" s="464"/>
      <c r="AE48" s="465"/>
      <c r="AF48" s="63">
        <f>AE48+'บริหารโดยส่วนกลาง (ไม่ต้องกรอก)'!AF19</f>
        <v>0</v>
      </c>
      <c r="AG48" s="464"/>
      <c r="AH48" s="465"/>
      <c r="AI48" s="63">
        <f>AH48+'บริหารโดยส่วนกลาง (ไม่ต้องกรอก)'!AI19</f>
        <v>0</v>
      </c>
      <c r="AJ48" s="464"/>
      <c r="AK48" s="465"/>
      <c r="AL48" s="63">
        <f>AK48+'บริหารโดยส่วนกลาง (ไม่ต้องกรอก)'!AL19</f>
        <v>0</v>
      </c>
      <c r="AM48" s="86">
        <f t="shared" si="53"/>
        <v>0</v>
      </c>
      <c r="AN48" s="159"/>
      <c r="AO48" s="104">
        <f t="shared" si="54"/>
        <v>0</v>
      </c>
      <c r="AP48" s="104">
        <f t="shared" si="55"/>
        <v>0</v>
      </c>
      <c r="AQ48" s="104">
        <f t="shared" si="56"/>
        <v>0</v>
      </c>
      <c r="AR48" s="104">
        <f t="shared" si="57"/>
        <v>0</v>
      </c>
      <c r="AS48" s="104">
        <f t="shared" si="58"/>
        <v>0</v>
      </c>
      <c r="AT48" s="104">
        <f t="shared" si="59"/>
        <v>0</v>
      </c>
      <c r="AU48" s="104">
        <f t="shared" si="60"/>
        <v>0</v>
      </c>
      <c r="AV48" s="104">
        <f t="shared" si="61"/>
        <v>0</v>
      </c>
      <c r="AW48" s="104">
        <f t="shared" si="62"/>
        <v>0</v>
      </c>
      <c r="AX48" s="104">
        <f t="shared" si="63"/>
        <v>0</v>
      </c>
      <c r="AY48" s="104">
        <f t="shared" si="64"/>
        <v>0</v>
      </c>
      <c r="AZ48" s="104">
        <f t="shared" si="65"/>
        <v>0</v>
      </c>
    </row>
    <row r="49" spans="1:64" x14ac:dyDescent="0.25">
      <c r="A49" s="101" t="s">
        <v>68</v>
      </c>
      <c r="B49" s="757"/>
      <c r="C49" s="464"/>
      <c r="D49" s="465"/>
      <c r="E49" s="63">
        <f>D49+'บริหารโดยส่วนกลาง (ไม่ต้องกรอก)'!E20</f>
        <v>0</v>
      </c>
      <c r="F49" s="464"/>
      <c r="G49" s="465"/>
      <c r="H49" s="63">
        <f>G49+'บริหารโดยส่วนกลาง (ไม่ต้องกรอก)'!H20</f>
        <v>0</v>
      </c>
      <c r="I49" s="464"/>
      <c r="J49" s="465"/>
      <c r="K49" s="63">
        <f>J49+'บริหารโดยส่วนกลาง (ไม่ต้องกรอก)'!K20</f>
        <v>0</v>
      </c>
      <c r="L49" s="464"/>
      <c r="M49" s="465"/>
      <c r="N49" s="63">
        <f>M49+'บริหารโดยส่วนกลาง (ไม่ต้องกรอก)'!N20</f>
        <v>0</v>
      </c>
      <c r="O49" s="464"/>
      <c r="P49" s="465"/>
      <c r="Q49" s="63">
        <f>P49+'บริหารโดยส่วนกลาง (ไม่ต้องกรอก)'!Q20</f>
        <v>0</v>
      </c>
      <c r="R49" s="464"/>
      <c r="S49" s="465"/>
      <c r="T49" s="63">
        <f>S49+'บริหารโดยส่วนกลาง (ไม่ต้องกรอก)'!T20</f>
        <v>0</v>
      </c>
      <c r="U49" s="464"/>
      <c r="V49" s="465"/>
      <c r="W49" s="63">
        <f>V49+'บริหารโดยส่วนกลาง (ไม่ต้องกรอก)'!W20</f>
        <v>0</v>
      </c>
      <c r="X49" s="464"/>
      <c r="Y49" s="465"/>
      <c r="Z49" s="63">
        <f>Y49+'บริหารโดยส่วนกลาง (ไม่ต้องกรอก)'!Z20</f>
        <v>0</v>
      </c>
      <c r="AA49" s="464"/>
      <c r="AB49" s="465"/>
      <c r="AC49" s="63">
        <f>AB49+'บริหารโดยส่วนกลาง (ไม่ต้องกรอก)'!AC20</f>
        <v>0</v>
      </c>
      <c r="AD49" s="464"/>
      <c r="AE49" s="465"/>
      <c r="AF49" s="63">
        <f>AE49+'บริหารโดยส่วนกลาง (ไม่ต้องกรอก)'!AF20</f>
        <v>0</v>
      </c>
      <c r="AG49" s="464"/>
      <c r="AH49" s="465"/>
      <c r="AI49" s="63">
        <f>AH49+'บริหารโดยส่วนกลาง (ไม่ต้องกรอก)'!AI20</f>
        <v>0</v>
      </c>
      <c r="AJ49" s="464"/>
      <c r="AK49" s="465"/>
      <c r="AL49" s="63">
        <f>AK49+'บริหารโดยส่วนกลาง (ไม่ต้องกรอก)'!AL20</f>
        <v>0</v>
      </c>
      <c r="AM49" s="86">
        <f t="shared" si="53"/>
        <v>0</v>
      </c>
      <c r="AN49" s="159"/>
      <c r="AO49" s="104">
        <f t="shared" si="54"/>
        <v>0</v>
      </c>
      <c r="AP49" s="104">
        <f t="shared" si="55"/>
        <v>0</v>
      </c>
      <c r="AQ49" s="104">
        <f t="shared" si="56"/>
        <v>0</v>
      </c>
      <c r="AR49" s="104">
        <f t="shared" si="57"/>
        <v>0</v>
      </c>
      <c r="AS49" s="104">
        <f t="shared" si="58"/>
        <v>0</v>
      </c>
      <c r="AT49" s="104">
        <f t="shared" si="59"/>
        <v>0</v>
      </c>
      <c r="AU49" s="104">
        <f t="shared" si="60"/>
        <v>0</v>
      </c>
      <c r="AV49" s="104">
        <f t="shared" si="61"/>
        <v>0</v>
      </c>
      <c r="AW49" s="104">
        <f t="shared" si="62"/>
        <v>0</v>
      </c>
      <c r="AX49" s="104">
        <f t="shared" si="63"/>
        <v>0</v>
      </c>
      <c r="AY49" s="104">
        <f t="shared" si="64"/>
        <v>0</v>
      </c>
      <c r="AZ49" s="104">
        <f t="shared" si="65"/>
        <v>0</v>
      </c>
    </row>
    <row r="50" spans="1:64" ht="12" thickBot="1" x14ac:dyDescent="0.3">
      <c r="A50" s="102" t="s">
        <v>69</v>
      </c>
      <c r="B50" s="758"/>
      <c r="C50" s="466"/>
      <c r="D50" s="467"/>
      <c r="E50" s="65">
        <f>D50+'บริหารโดยส่วนกลาง (ไม่ต้องกรอก)'!E21</f>
        <v>0</v>
      </c>
      <c r="F50" s="466"/>
      <c r="G50" s="467"/>
      <c r="H50" s="65">
        <f>G50+'บริหารโดยส่วนกลาง (ไม่ต้องกรอก)'!H21</f>
        <v>0</v>
      </c>
      <c r="I50" s="466"/>
      <c r="J50" s="467"/>
      <c r="K50" s="65">
        <f>J50+'บริหารโดยส่วนกลาง (ไม่ต้องกรอก)'!K21</f>
        <v>0</v>
      </c>
      <c r="L50" s="466"/>
      <c r="M50" s="467"/>
      <c r="N50" s="65">
        <f>M50+'บริหารโดยส่วนกลาง (ไม่ต้องกรอก)'!N21</f>
        <v>0</v>
      </c>
      <c r="O50" s="466"/>
      <c r="P50" s="467"/>
      <c r="Q50" s="65">
        <f>P50+'บริหารโดยส่วนกลาง (ไม่ต้องกรอก)'!Q21</f>
        <v>0</v>
      </c>
      <c r="R50" s="466"/>
      <c r="S50" s="467"/>
      <c r="T50" s="65">
        <f>S50+'บริหารโดยส่วนกลาง (ไม่ต้องกรอก)'!T21</f>
        <v>0</v>
      </c>
      <c r="U50" s="466"/>
      <c r="V50" s="467"/>
      <c r="W50" s="65">
        <f>V50+'บริหารโดยส่วนกลาง (ไม่ต้องกรอก)'!W21</f>
        <v>0</v>
      </c>
      <c r="X50" s="466"/>
      <c r="Y50" s="467"/>
      <c r="Z50" s="65">
        <f>Y50+'บริหารโดยส่วนกลาง (ไม่ต้องกรอก)'!Z21</f>
        <v>0</v>
      </c>
      <c r="AA50" s="466"/>
      <c r="AB50" s="467"/>
      <c r="AC50" s="65">
        <f>AB50+'บริหารโดยส่วนกลาง (ไม่ต้องกรอก)'!AC21</f>
        <v>0</v>
      </c>
      <c r="AD50" s="466"/>
      <c r="AE50" s="467"/>
      <c r="AF50" s="65">
        <f>AE50+'บริหารโดยส่วนกลาง (ไม่ต้องกรอก)'!AF21</f>
        <v>0</v>
      </c>
      <c r="AG50" s="466"/>
      <c r="AH50" s="467"/>
      <c r="AI50" s="65">
        <f>AH50+'บริหารโดยส่วนกลาง (ไม่ต้องกรอก)'!AI21</f>
        <v>0</v>
      </c>
      <c r="AJ50" s="466"/>
      <c r="AK50" s="467"/>
      <c r="AL50" s="65">
        <f>AK50+'บริหารโดยส่วนกลาง (ไม่ต้องกรอก)'!AL21</f>
        <v>0</v>
      </c>
      <c r="AM50" s="87">
        <f t="shared" si="53"/>
        <v>0</v>
      </c>
      <c r="AN50" s="159"/>
      <c r="AO50" s="104">
        <f t="shared" si="54"/>
        <v>0</v>
      </c>
      <c r="AP50" s="104">
        <f t="shared" si="55"/>
        <v>0</v>
      </c>
      <c r="AQ50" s="104">
        <f t="shared" si="56"/>
        <v>0</v>
      </c>
      <c r="AR50" s="104">
        <f t="shared" si="57"/>
        <v>0</v>
      </c>
      <c r="AS50" s="104">
        <f t="shared" si="58"/>
        <v>0</v>
      </c>
      <c r="AT50" s="104">
        <f t="shared" si="59"/>
        <v>0</v>
      </c>
      <c r="AU50" s="104">
        <f t="shared" si="60"/>
        <v>0</v>
      </c>
      <c r="AV50" s="104">
        <f t="shared" si="61"/>
        <v>0</v>
      </c>
      <c r="AW50" s="104">
        <f t="shared" si="62"/>
        <v>0</v>
      </c>
      <c r="AX50" s="104">
        <f t="shared" si="63"/>
        <v>0</v>
      </c>
      <c r="AY50" s="104">
        <f t="shared" si="64"/>
        <v>0</v>
      </c>
      <c r="AZ50" s="104">
        <f t="shared" si="65"/>
        <v>0</v>
      </c>
    </row>
    <row r="51" spans="1:64" s="12" customFormat="1" x14ac:dyDescent="0.25">
      <c r="A51" s="54" t="s">
        <v>17</v>
      </c>
      <c r="B51" s="527"/>
      <c r="C51" s="74"/>
      <c r="D51" s="66"/>
      <c r="E51" s="67"/>
      <c r="F51" s="74"/>
      <c r="G51" s="66"/>
      <c r="H51" s="67"/>
      <c r="I51" s="74"/>
      <c r="J51" s="66"/>
      <c r="K51" s="67"/>
      <c r="L51" s="74"/>
      <c r="M51" s="66"/>
      <c r="N51" s="67"/>
      <c r="O51" s="74"/>
      <c r="P51" s="66"/>
      <c r="Q51" s="67"/>
      <c r="R51" s="74"/>
      <c r="S51" s="66"/>
      <c r="T51" s="67"/>
      <c r="U51" s="74"/>
      <c r="V51" s="66"/>
      <c r="W51" s="67"/>
      <c r="X51" s="74"/>
      <c r="Y51" s="66"/>
      <c r="Z51" s="67"/>
      <c r="AA51" s="74"/>
      <c r="AB51" s="66"/>
      <c r="AC51" s="67"/>
      <c r="AD51" s="74"/>
      <c r="AE51" s="66"/>
      <c r="AF51" s="67"/>
      <c r="AG51" s="74"/>
      <c r="AH51" s="66"/>
      <c r="AI51" s="67"/>
      <c r="AJ51" s="74"/>
      <c r="AK51" s="66"/>
      <c r="AL51" s="67"/>
      <c r="AM51" s="85"/>
      <c r="AN51" s="159"/>
      <c r="AO51" s="104"/>
      <c r="AP51" s="104"/>
      <c r="AQ51" s="104"/>
      <c r="AR51" s="104"/>
      <c r="AS51" s="104"/>
      <c r="AT51" s="104"/>
      <c r="AU51" s="104"/>
      <c r="AV51" s="104"/>
      <c r="AW51" s="104"/>
      <c r="AX51" s="104"/>
      <c r="AY51" s="104"/>
      <c r="AZ51" s="104"/>
      <c r="BA51" s="2"/>
      <c r="BC51" s="2"/>
      <c r="BD51" s="2"/>
      <c r="BE51" s="2"/>
      <c r="BF51" s="2"/>
      <c r="BG51" s="2"/>
      <c r="BH51" s="2"/>
      <c r="BI51" s="2"/>
      <c r="BJ51" s="2"/>
      <c r="BK51" s="2"/>
      <c r="BL51" s="2"/>
    </row>
    <row r="52" spans="1:64" x14ac:dyDescent="0.25">
      <c r="A52" s="53" t="s">
        <v>70</v>
      </c>
      <c r="B52" s="529"/>
      <c r="C52" s="75"/>
      <c r="D52" s="62"/>
      <c r="E52" s="63">
        <f>D52</f>
        <v>0</v>
      </c>
      <c r="F52" s="75"/>
      <c r="G52" s="62"/>
      <c r="H52" s="63">
        <f>G52</f>
        <v>0</v>
      </c>
      <c r="I52" s="75"/>
      <c r="J52" s="62"/>
      <c r="K52" s="63">
        <f>J52</f>
        <v>0</v>
      </c>
      <c r="L52" s="75"/>
      <c r="M52" s="62"/>
      <c r="N52" s="63">
        <f>M52</f>
        <v>0</v>
      </c>
      <c r="O52" s="75"/>
      <c r="P52" s="62"/>
      <c r="Q52" s="63">
        <f>P52</f>
        <v>0</v>
      </c>
      <c r="R52" s="75"/>
      <c r="S52" s="62"/>
      <c r="T52" s="63">
        <f>S52</f>
        <v>0</v>
      </c>
      <c r="U52" s="75"/>
      <c r="V52" s="62"/>
      <c r="W52" s="63">
        <f>V52</f>
        <v>0</v>
      </c>
      <c r="X52" s="75"/>
      <c r="Y52" s="62"/>
      <c r="Z52" s="63">
        <f>Y52</f>
        <v>0</v>
      </c>
      <c r="AA52" s="75"/>
      <c r="AB52" s="62"/>
      <c r="AC52" s="63">
        <f>AB52</f>
        <v>0</v>
      </c>
      <c r="AD52" s="75"/>
      <c r="AE52" s="62"/>
      <c r="AF52" s="63">
        <f>AE52</f>
        <v>0</v>
      </c>
      <c r="AG52" s="75"/>
      <c r="AH52" s="62"/>
      <c r="AI52" s="63">
        <f>AH52</f>
        <v>0</v>
      </c>
      <c r="AJ52" s="75"/>
      <c r="AK52" s="62"/>
      <c r="AL52" s="63">
        <f>AK52</f>
        <v>0</v>
      </c>
      <c r="AM52" s="86">
        <f>SUM(D52,G52,J52,M52,P52,S52,V52,Y52,AB52,AE52,AH52,AK52)</f>
        <v>0</v>
      </c>
      <c r="AN52" s="159"/>
      <c r="AO52" s="104">
        <f>E52</f>
        <v>0</v>
      </c>
      <c r="AP52" s="104">
        <f>H52</f>
        <v>0</v>
      </c>
      <c r="AQ52" s="104">
        <f>K52</f>
        <v>0</v>
      </c>
      <c r="AR52" s="104">
        <f>N52</f>
        <v>0</v>
      </c>
      <c r="AS52" s="104">
        <f>Q52</f>
        <v>0</v>
      </c>
      <c r="AT52" s="104">
        <f>T52</f>
        <v>0</v>
      </c>
      <c r="AU52" s="104">
        <f>W52</f>
        <v>0</v>
      </c>
      <c r="AV52" s="104">
        <f>Z52</f>
        <v>0</v>
      </c>
      <c r="AW52" s="104">
        <f>AC52</f>
        <v>0</v>
      </c>
      <c r="AX52" s="104">
        <f>AF52</f>
        <v>0</v>
      </c>
      <c r="AY52" s="104">
        <f>AI52</f>
        <v>0</v>
      </c>
      <c r="AZ52" s="104">
        <f>AL52</f>
        <v>0</v>
      </c>
    </row>
    <row r="53" spans="1:64" x14ac:dyDescent="0.25">
      <c r="A53" s="53" t="s">
        <v>71</v>
      </c>
      <c r="B53" s="529"/>
      <c r="C53" s="75"/>
      <c r="D53" s="62"/>
      <c r="E53" s="63">
        <f>D53</f>
        <v>0</v>
      </c>
      <c r="F53" s="75"/>
      <c r="G53" s="62"/>
      <c r="H53" s="63">
        <f>G53</f>
        <v>0</v>
      </c>
      <c r="I53" s="75"/>
      <c r="J53" s="62"/>
      <c r="K53" s="63">
        <f>J53</f>
        <v>0</v>
      </c>
      <c r="L53" s="75"/>
      <c r="M53" s="62"/>
      <c r="N53" s="63">
        <f>M53</f>
        <v>0</v>
      </c>
      <c r="O53" s="75"/>
      <c r="P53" s="62"/>
      <c r="Q53" s="63">
        <f>P53</f>
        <v>0</v>
      </c>
      <c r="R53" s="75"/>
      <c r="S53" s="62"/>
      <c r="T53" s="63">
        <f>S53</f>
        <v>0</v>
      </c>
      <c r="U53" s="75"/>
      <c r="V53" s="62"/>
      <c r="W53" s="63">
        <f>V53</f>
        <v>0</v>
      </c>
      <c r="X53" s="75"/>
      <c r="Y53" s="62"/>
      <c r="Z53" s="63">
        <f>Y53</f>
        <v>0</v>
      </c>
      <c r="AA53" s="75"/>
      <c r="AB53" s="62"/>
      <c r="AC53" s="63">
        <f>AB53</f>
        <v>0</v>
      </c>
      <c r="AD53" s="75"/>
      <c r="AE53" s="62"/>
      <c r="AF53" s="63">
        <f>AE53</f>
        <v>0</v>
      </c>
      <c r="AG53" s="75"/>
      <c r="AH53" s="62"/>
      <c r="AI53" s="63">
        <f>AH53</f>
        <v>0</v>
      </c>
      <c r="AJ53" s="75"/>
      <c r="AK53" s="62"/>
      <c r="AL53" s="63">
        <f>AK53</f>
        <v>0</v>
      </c>
      <c r="AM53" s="86">
        <f>SUM(D53,G53,J53,M53,P53,S53,V53,Y53,AB53,AE53,AH53,AK53)</f>
        <v>0</v>
      </c>
      <c r="AN53" s="159"/>
      <c r="AO53" s="104">
        <f>E53</f>
        <v>0</v>
      </c>
      <c r="AP53" s="104">
        <f>H53</f>
        <v>0</v>
      </c>
      <c r="AQ53" s="104">
        <f>K53</f>
        <v>0</v>
      </c>
      <c r="AR53" s="104">
        <f>N53</f>
        <v>0</v>
      </c>
      <c r="AS53" s="104">
        <f>Q53</f>
        <v>0</v>
      </c>
      <c r="AT53" s="104">
        <f>T53</f>
        <v>0</v>
      </c>
      <c r="AU53" s="104">
        <f>W53</f>
        <v>0</v>
      </c>
      <c r="AV53" s="104">
        <f>Z53</f>
        <v>0</v>
      </c>
      <c r="AW53" s="104">
        <f>AC53</f>
        <v>0</v>
      </c>
      <c r="AX53" s="104">
        <f>AF53</f>
        <v>0</v>
      </c>
      <c r="AY53" s="104">
        <f>AI53</f>
        <v>0</v>
      </c>
      <c r="AZ53" s="104">
        <f>AL53</f>
        <v>0</v>
      </c>
    </row>
    <row r="54" spans="1:64" ht="12" thickBot="1" x14ac:dyDescent="0.3">
      <c r="A54" s="53" t="s">
        <v>72</v>
      </c>
      <c r="B54" s="528"/>
      <c r="C54" s="76"/>
      <c r="D54" s="68"/>
      <c r="E54" s="69">
        <f>D54</f>
        <v>0</v>
      </c>
      <c r="F54" s="76"/>
      <c r="G54" s="68"/>
      <c r="H54" s="69">
        <f>G54</f>
        <v>0</v>
      </c>
      <c r="I54" s="76"/>
      <c r="J54" s="68"/>
      <c r="K54" s="69">
        <f>J54</f>
        <v>0</v>
      </c>
      <c r="L54" s="76"/>
      <c r="M54" s="68"/>
      <c r="N54" s="69">
        <f>M54</f>
        <v>0</v>
      </c>
      <c r="O54" s="76"/>
      <c r="P54" s="68"/>
      <c r="Q54" s="69">
        <f>P54</f>
        <v>0</v>
      </c>
      <c r="R54" s="76"/>
      <c r="S54" s="68"/>
      <c r="T54" s="69">
        <f>S54</f>
        <v>0</v>
      </c>
      <c r="U54" s="76"/>
      <c r="V54" s="68"/>
      <c r="W54" s="69">
        <f>V54</f>
        <v>0</v>
      </c>
      <c r="X54" s="76"/>
      <c r="Y54" s="68"/>
      <c r="Z54" s="69">
        <f>Y54</f>
        <v>0</v>
      </c>
      <c r="AA54" s="76"/>
      <c r="AB54" s="68"/>
      <c r="AC54" s="69">
        <f>AB54</f>
        <v>0</v>
      </c>
      <c r="AD54" s="76"/>
      <c r="AE54" s="68"/>
      <c r="AF54" s="69">
        <f>AE54</f>
        <v>0</v>
      </c>
      <c r="AG54" s="76"/>
      <c r="AH54" s="68"/>
      <c r="AI54" s="69">
        <f>AH54</f>
        <v>0</v>
      </c>
      <c r="AJ54" s="76"/>
      <c r="AK54" s="68"/>
      <c r="AL54" s="69">
        <f>AK54</f>
        <v>0</v>
      </c>
      <c r="AM54" s="82">
        <f>SUM(D54,G54,J54,M54,P54,S54,V54,Y54,AB54,AE54,AH54,AK54)</f>
        <v>0</v>
      </c>
      <c r="AN54" s="159"/>
      <c r="AO54" s="104">
        <f>E54</f>
        <v>0</v>
      </c>
      <c r="AP54" s="104">
        <f>H54</f>
        <v>0</v>
      </c>
      <c r="AQ54" s="104">
        <f>K54</f>
        <v>0</v>
      </c>
      <c r="AR54" s="104">
        <f>N54</f>
        <v>0</v>
      </c>
      <c r="AS54" s="104">
        <f>Q54</f>
        <v>0</v>
      </c>
      <c r="AT54" s="104">
        <f>T54</f>
        <v>0</v>
      </c>
      <c r="AU54" s="104">
        <f>W54</f>
        <v>0</v>
      </c>
      <c r="AV54" s="104">
        <f>Z54</f>
        <v>0</v>
      </c>
      <c r="AW54" s="104">
        <f>AC54</f>
        <v>0</v>
      </c>
      <c r="AX54" s="104">
        <f>AF54</f>
        <v>0</v>
      </c>
      <c r="AY54" s="104">
        <f>AI54</f>
        <v>0</v>
      </c>
      <c r="AZ54" s="104">
        <f>AL54</f>
        <v>0</v>
      </c>
    </row>
    <row r="55" spans="1:64" x14ac:dyDescent="0.25">
      <c r="A55" s="100" t="s">
        <v>18</v>
      </c>
      <c r="B55" s="527"/>
      <c r="C55" s="258"/>
      <c r="D55" s="259"/>
      <c r="E55" s="260"/>
      <c r="F55" s="258"/>
      <c r="G55" s="259"/>
      <c r="H55" s="260"/>
      <c r="I55" s="258"/>
      <c r="J55" s="259"/>
      <c r="K55" s="260"/>
      <c r="L55" s="258"/>
      <c r="M55" s="259"/>
      <c r="N55" s="260"/>
      <c r="O55" s="258"/>
      <c r="P55" s="259"/>
      <c r="Q55" s="260"/>
      <c r="R55" s="258"/>
      <c r="S55" s="259"/>
      <c r="T55" s="260"/>
      <c r="U55" s="258"/>
      <c r="V55" s="259"/>
      <c r="W55" s="260"/>
      <c r="X55" s="258"/>
      <c r="Y55" s="259"/>
      <c r="Z55" s="260"/>
      <c r="AA55" s="258"/>
      <c r="AB55" s="259"/>
      <c r="AC55" s="260"/>
      <c r="AD55" s="258"/>
      <c r="AE55" s="259"/>
      <c r="AF55" s="260"/>
      <c r="AG55" s="258"/>
      <c r="AH55" s="259"/>
      <c r="AI55" s="260"/>
      <c r="AJ55" s="258"/>
      <c r="AK55" s="259"/>
      <c r="AL55" s="260"/>
      <c r="AM55" s="261"/>
      <c r="AN55" s="159"/>
      <c r="AO55" s="104"/>
      <c r="AP55" s="104"/>
      <c r="AQ55" s="104"/>
      <c r="AR55" s="104"/>
      <c r="AS55" s="104"/>
      <c r="AT55" s="104"/>
      <c r="AU55" s="104"/>
      <c r="AV55" s="104"/>
      <c r="AW55" s="104"/>
      <c r="AX55" s="104"/>
      <c r="AY55" s="104"/>
      <c r="AZ55" s="104"/>
    </row>
    <row r="56" spans="1:64" x14ac:dyDescent="0.25">
      <c r="A56" s="101" t="s">
        <v>73</v>
      </c>
      <c r="B56" s="529"/>
      <c r="C56" s="75"/>
      <c r="D56" s="62"/>
      <c r="E56" s="63">
        <f>D56</f>
        <v>0</v>
      </c>
      <c r="F56" s="75"/>
      <c r="G56" s="62"/>
      <c r="H56" s="63">
        <f>G56</f>
        <v>0</v>
      </c>
      <c r="I56" s="75"/>
      <c r="J56" s="62"/>
      <c r="K56" s="63">
        <f>J56</f>
        <v>0</v>
      </c>
      <c r="L56" s="75"/>
      <c r="M56" s="62"/>
      <c r="N56" s="63">
        <f>M56</f>
        <v>0</v>
      </c>
      <c r="O56" s="75"/>
      <c r="P56" s="62"/>
      <c r="Q56" s="63">
        <f>P56</f>
        <v>0</v>
      </c>
      <c r="R56" s="75"/>
      <c r="S56" s="62"/>
      <c r="T56" s="63">
        <f>S56</f>
        <v>0</v>
      </c>
      <c r="U56" s="75"/>
      <c r="V56" s="62"/>
      <c r="W56" s="63">
        <f>V56</f>
        <v>0</v>
      </c>
      <c r="X56" s="75"/>
      <c r="Y56" s="62"/>
      <c r="Z56" s="63">
        <f>Y56</f>
        <v>0</v>
      </c>
      <c r="AA56" s="75"/>
      <c r="AB56" s="62"/>
      <c r="AC56" s="63">
        <f>AB56</f>
        <v>0</v>
      </c>
      <c r="AD56" s="75"/>
      <c r="AE56" s="62"/>
      <c r="AF56" s="63">
        <f>AE56</f>
        <v>0</v>
      </c>
      <c r="AG56" s="75"/>
      <c r="AH56" s="62"/>
      <c r="AI56" s="63">
        <f>AH56</f>
        <v>0</v>
      </c>
      <c r="AJ56" s="75"/>
      <c r="AK56" s="62"/>
      <c r="AL56" s="63">
        <f>AK56</f>
        <v>0</v>
      </c>
      <c r="AM56" s="86">
        <f>SUM(D56,G56,J56,M56,P56,S56,V56,Y56,AB56,AE56,AH56,AK56)</f>
        <v>0</v>
      </c>
      <c r="AN56" s="159"/>
      <c r="AO56" s="104">
        <f>E56</f>
        <v>0</v>
      </c>
      <c r="AP56" s="104">
        <f>H56</f>
        <v>0</v>
      </c>
      <c r="AQ56" s="104">
        <f>K56</f>
        <v>0</v>
      </c>
      <c r="AR56" s="104">
        <f>N56</f>
        <v>0</v>
      </c>
      <c r="AS56" s="104">
        <f>Q56</f>
        <v>0</v>
      </c>
      <c r="AT56" s="104">
        <f>T56</f>
        <v>0</v>
      </c>
      <c r="AU56" s="104">
        <f>W56</f>
        <v>0</v>
      </c>
      <c r="AV56" s="104">
        <f>Z56</f>
        <v>0</v>
      </c>
      <c r="AW56" s="104">
        <f>AC56</f>
        <v>0</v>
      </c>
      <c r="AX56" s="104">
        <f>AF56</f>
        <v>0</v>
      </c>
      <c r="AY56" s="104">
        <f>AI56</f>
        <v>0</v>
      </c>
      <c r="AZ56" s="104">
        <f>AL56</f>
        <v>0</v>
      </c>
    </row>
    <row r="57" spans="1:64" x14ac:dyDescent="0.25">
      <c r="A57" s="101" t="s">
        <v>74</v>
      </c>
      <c r="B57" s="529"/>
      <c r="C57" s="75"/>
      <c r="D57" s="62"/>
      <c r="E57" s="63">
        <f>D57</f>
        <v>0</v>
      </c>
      <c r="F57" s="75"/>
      <c r="G57" s="62"/>
      <c r="H57" s="63">
        <f>G57</f>
        <v>0</v>
      </c>
      <c r="I57" s="75"/>
      <c r="J57" s="62"/>
      <c r="K57" s="63">
        <f>J57</f>
        <v>0</v>
      </c>
      <c r="L57" s="75"/>
      <c r="M57" s="62"/>
      <c r="N57" s="63">
        <f>M57</f>
        <v>0</v>
      </c>
      <c r="O57" s="75"/>
      <c r="P57" s="62"/>
      <c r="Q57" s="63">
        <f>P57</f>
        <v>0</v>
      </c>
      <c r="R57" s="75"/>
      <c r="S57" s="62"/>
      <c r="T57" s="63">
        <f>S57</f>
        <v>0</v>
      </c>
      <c r="U57" s="75"/>
      <c r="V57" s="62"/>
      <c r="W57" s="63">
        <f>V57</f>
        <v>0</v>
      </c>
      <c r="X57" s="75"/>
      <c r="Y57" s="62"/>
      <c r="Z57" s="63">
        <f>Y57</f>
        <v>0</v>
      </c>
      <c r="AA57" s="75"/>
      <c r="AB57" s="62"/>
      <c r="AC57" s="63">
        <f>AB57</f>
        <v>0</v>
      </c>
      <c r="AD57" s="75"/>
      <c r="AE57" s="62"/>
      <c r="AF57" s="63">
        <f>AE57</f>
        <v>0</v>
      </c>
      <c r="AG57" s="75"/>
      <c r="AH57" s="62"/>
      <c r="AI57" s="63">
        <f>AH57</f>
        <v>0</v>
      </c>
      <c r="AJ57" s="75"/>
      <c r="AK57" s="62"/>
      <c r="AL57" s="63">
        <f>AK57</f>
        <v>0</v>
      </c>
      <c r="AM57" s="86">
        <f>SUM(D57,G57,J57,M57,P57,S57,V57,Y57,AB57,AE57,AH57,AK57)</f>
        <v>0</v>
      </c>
      <c r="AN57" s="159"/>
      <c r="AO57" s="104">
        <f>E57</f>
        <v>0</v>
      </c>
      <c r="AP57" s="104">
        <f>H57</f>
        <v>0</v>
      </c>
      <c r="AQ57" s="104">
        <f>K57</f>
        <v>0</v>
      </c>
      <c r="AR57" s="104">
        <f>N57</f>
        <v>0</v>
      </c>
      <c r="AS57" s="104">
        <f>Q57</f>
        <v>0</v>
      </c>
      <c r="AT57" s="104">
        <f>T57</f>
        <v>0</v>
      </c>
      <c r="AU57" s="104">
        <f>W57</f>
        <v>0</v>
      </c>
      <c r="AV57" s="104">
        <f>Z57</f>
        <v>0</v>
      </c>
      <c r="AW57" s="104">
        <f>AC57</f>
        <v>0</v>
      </c>
      <c r="AX57" s="104">
        <f>AF57</f>
        <v>0</v>
      </c>
      <c r="AY57" s="104">
        <f>AI57</f>
        <v>0</v>
      </c>
      <c r="AZ57" s="104">
        <f>AL57</f>
        <v>0</v>
      </c>
    </row>
    <row r="58" spans="1:64" ht="12" thickBot="1" x14ac:dyDescent="0.3">
      <c r="A58" s="102" t="s">
        <v>75</v>
      </c>
      <c r="B58" s="530"/>
      <c r="C58" s="77"/>
      <c r="D58" s="64"/>
      <c r="E58" s="65">
        <f>D58</f>
        <v>0</v>
      </c>
      <c r="F58" s="77"/>
      <c r="G58" s="64"/>
      <c r="H58" s="65">
        <f>G58</f>
        <v>0</v>
      </c>
      <c r="I58" s="77"/>
      <c r="J58" s="64"/>
      <c r="K58" s="65">
        <f>J58</f>
        <v>0</v>
      </c>
      <c r="L58" s="77"/>
      <c r="M58" s="64"/>
      <c r="N58" s="65">
        <f>M58</f>
        <v>0</v>
      </c>
      <c r="O58" s="77"/>
      <c r="P58" s="64"/>
      <c r="Q58" s="65">
        <f>P58</f>
        <v>0</v>
      </c>
      <c r="R58" s="77"/>
      <c r="S58" s="64"/>
      <c r="T58" s="65">
        <f>S58</f>
        <v>0</v>
      </c>
      <c r="U58" s="77"/>
      <c r="V58" s="64"/>
      <c r="W58" s="65">
        <f>V58</f>
        <v>0</v>
      </c>
      <c r="X58" s="77"/>
      <c r="Y58" s="64"/>
      <c r="Z58" s="65">
        <f>Y58</f>
        <v>0</v>
      </c>
      <c r="AA58" s="77"/>
      <c r="AB58" s="64"/>
      <c r="AC58" s="65">
        <f>AB58</f>
        <v>0</v>
      </c>
      <c r="AD58" s="77"/>
      <c r="AE58" s="64"/>
      <c r="AF58" s="65">
        <f>AE58</f>
        <v>0</v>
      </c>
      <c r="AG58" s="77"/>
      <c r="AH58" s="64"/>
      <c r="AI58" s="65">
        <f>AH58</f>
        <v>0</v>
      </c>
      <c r="AJ58" s="77"/>
      <c r="AK58" s="64"/>
      <c r="AL58" s="65">
        <f>AK58</f>
        <v>0</v>
      </c>
      <c r="AM58" s="87">
        <f>SUM(D58,G58,J58,M58,P58,S58,V58,Y58,AB58,AE58,AH58,AK58)</f>
        <v>0</v>
      </c>
      <c r="AN58" s="159"/>
      <c r="AO58" s="104">
        <f>E58</f>
        <v>0</v>
      </c>
      <c r="AP58" s="104">
        <f>H58</f>
        <v>0</v>
      </c>
      <c r="AQ58" s="104">
        <f>K58</f>
        <v>0</v>
      </c>
      <c r="AR58" s="104">
        <f>N58</f>
        <v>0</v>
      </c>
      <c r="AS58" s="104">
        <f>Q58</f>
        <v>0</v>
      </c>
      <c r="AT58" s="104">
        <f>T58</f>
        <v>0</v>
      </c>
      <c r="AU58" s="104">
        <f>W58</f>
        <v>0</v>
      </c>
      <c r="AV58" s="104">
        <f>Z58</f>
        <v>0</v>
      </c>
      <c r="AW58" s="104">
        <f>AC58</f>
        <v>0</v>
      </c>
      <c r="AX58" s="104">
        <f>AF58</f>
        <v>0</v>
      </c>
      <c r="AY58" s="104">
        <f>AI58</f>
        <v>0</v>
      </c>
      <c r="AZ58" s="104">
        <f>AL58</f>
        <v>0</v>
      </c>
    </row>
    <row r="59" spans="1:64" x14ac:dyDescent="0.25">
      <c r="A59" s="54" t="s">
        <v>19</v>
      </c>
      <c r="B59" s="527"/>
      <c r="C59" s="258"/>
      <c r="D59" s="259"/>
      <c r="E59" s="260"/>
      <c r="F59" s="258"/>
      <c r="G59" s="259"/>
      <c r="H59" s="260"/>
      <c r="I59" s="258"/>
      <c r="J59" s="259"/>
      <c r="K59" s="260"/>
      <c r="L59" s="258"/>
      <c r="M59" s="259"/>
      <c r="N59" s="260"/>
      <c r="O59" s="258"/>
      <c r="P59" s="259"/>
      <c r="Q59" s="260"/>
      <c r="R59" s="258"/>
      <c r="S59" s="259"/>
      <c r="T59" s="260"/>
      <c r="U59" s="258"/>
      <c r="V59" s="259"/>
      <c r="W59" s="260"/>
      <c r="X59" s="258"/>
      <c r="Y59" s="259"/>
      <c r="Z59" s="260"/>
      <c r="AA59" s="258"/>
      <c r="AB59" s="259"/>
      <c r="AC59" s="260"/>
      <c r="AD59" s="258"/>
      <c r="AE59" s="259"/>
      <c r="AF59" s="260"/>
      <c r="AG59" s="258"/>
      <c r="AH59" s="259"/>
      <c r="AI59" s="260"/>
      <c r="AJ59" s="258"/>
      <c r="AK59" s="259"/>
      <c r="AL59" s="260"/>
      <c r="AM59" s="261"/>
      <c r="AN59" s="159"/>
      <c r="AO59" s="104"/>
      <c r="AP59" s="104"/>
      <c r="AQ59" s="104"/>
      <c r="AR59" s="104"/>
      <c r="AS59" s="104"/>
      <c r="AT59" s="104"/>
      <c r="AU59" s="104"/>
      <c r="AV59" s="104"/>
      <c r="AW59" s="104"/>
      <c r="AX59" s="104"/>
      <c r="AY59" s="104"/>
      <c r="AZ59" s="104"/>
    </row>
    <row r="60" spans="1:64" x14ac:dyDescent="0.25">
      <c r="A60" s="53" t="s">
        <v>76</v>
      </c>
      <c r="B60" s="529"/>
      <c r="C60" s="75"/>
      <c r="D60" s="62"/>
      <c r="E60" s="63">
        <f t="shared" ref="E60:E68" si="66">D60</f>
        <v>0</v>
      </c>
      <c r="F60" s="75"/>
      <c r="G60" s="62"/>
      <c r="H60" s="63">
        <f t="shared" ref="H60:H68" si="67">G60</f>
        <v>0</v>
      </c>
      <c r="I60" s="75"/>
      <c r="J60" s="62"/>
      <c r="K60" s="63">
        <f t="shared" ref="K60:K68" si="68">J60</f>
        <v>0</v>
      </c>
      <c r="L60" s="457"/>
      <c r="M60" s="62"/>
      <c r="N60" s="63">
        <f t="shared" ref="N60:N68" si="69">M60</f>
        <v>0</v>
      </c>
      <c r="O60" s="75"/>
      <c r="P60" s="62"/>
      <c r="Q60" s="63">
        <f t="shared" ref="Q60:Q68" si="70">P60</f>
        <v>0</v>
      </c>
      <c r="R60" s="75"/>
      <c r="S60" s="62"/>
      <c r="T60" s="63">
        <f t="shared" ref="T60:T68" si="71">S60</f>
        <v>0</v>
      </c>
      <c r="U60" s="75"/>
      <c r="V60" s="62"/>
      <c r="W60" s="63">
        <f t="shared" ref="W60:W68" si="72">V60</f>
        <v>0</v>
      </c>
      <c r="X60" s="75"/>
      <c r="Y60" s="62"/>
      <c r="Z60" s="63">
        <f t="shared" ref="Z60:Z68" si="73">Y60</f>
        <v>0</v>
      </c>
      <c r="AA60" s="75"/>
      <c r="AB60" s="62"/>
      <c r="AC60" s="63">
        <f t="shared" ref="AC60:AC68" si="74">AB60</f>
        <v>0</v>
      </c>
      <c r="AD60" s="75"/>
      <c r="AE60" s="62"/>
      <c r="AF60" s="63">
        <f t="shared" ref="AF60:AF68" si="75">AE60</f>
        <v>0</v>
      </c>
      <c r="AG60" s="75"/>
      <c r="AH60" s="62"/>
      <c r="AI60" s="63">
        <f t="shared" ref="AI60:AI68" si="76">AH60</f>
        <v>0</v>
      </c>
      <c r="AJ60" s="457"/>
      <c r="AK60" s="62"/>
      <c r="AL60" s="63">
        <f t="shared" ref="AL60:AL68" si="77">AK60</f>
        <v>0</v>
      </c>
      <c r="AM60" s="86">
        <f t="shared" ref="AM60:AM68" si="78">SUM(D60,G60,J60,M60,P60,S60,V60,Y60,AB60,AE60,AH60,AK60)</f>
        <v>0</v>
      </c>
      <c r="AN60" s="159"/>
      <c r="AO60" s="104">
        <f t="shared" ref="AO60:AO68" si="79">E60</f>
        <v>0</v>
      </c>
      <c r="AP60" s="104">
        <f t="shared" ref="AP60:AP68" si="80">H60</f>
        <v>0</v>
      </c>
      <c r="AQ60" s="104">
        <f t="shared" ref="AQ60:AQ68" si="81">K60</f>
        <v>0</v>
      </c>
      <c r="AR60" s="104">
        <f t="shared" ref="AR60:AR68" si="82">N60</f>
        <v>0</v>
      </c>
      <c r="AS60" s="104">
        <f t="shared" ref="AS60:AS68" si="83">Q60</f>
        <v>0</v>
      </c>
      <c r="AT60" s="104">
        <f t="shared" ref="AT60:AT68" si="84">T60</f>
        <v>0</v>
      </c>
      <c r="AU60" s="104">
        <f t="shared" ref="AU60:AU68" si="85">W60</f>
        <v>0</v>
      </c>
      <c r="AV60" s="104">
        <f t="shared" ref="AV60:AV68" si="86">Z60</f>
        <v>0</v>
      </c>
      <c r="AW60" s="104">
        <f t="shared" ref="AW60:AW68" si="87">AC60</f>
        <v>0</v>
      </c>
      <c r="AX60" s="104">
        <f t="shared" ref="AX60:AX68" si="88">AF60</f>
        <v>0</v>
      </c>
      <c r="AY60" s="104">
        <f t="shared" ref="AY60:AY68" si="89">AI60</f>
        <v>0</v>
      </c>
      <c r="AZ60" s="104">
        <f t="shared" ref="AZ60:AZ68" si="90">AL60</f>
        <v>0</v>
      </c>
    </row>
    <row r="61" spans="1:64" x14ac:dyDescent="0.25">
      <c r="A61" s="53" t="s">
        <v>77</v>
      </c>
      <c r="B61" s="529"/>
      <c r="C61" s="75"/>
      <c r="D61" s="62"/>
      <c r="E61" s="63">
        <f t="shared" si="66"/>
        <v>0</v>
      </c>
      <c r="F61" s="456"/>
      <c r="G61" s="62"/>
      <c r="H61" s="63">
        <f t="shared" si="67"/>
        <v>0</v>
      </c>
      <c r="I61" s="75"/>
      <c r="J61" s="62"/>
      <c r="K61" s="63">
        <f t="shared" si="68"/>
        <v>0</v>
      </c>
      <c r="L61" s="75"/>
      <c r="M61" s="62"/>
      <c r="N61" s="63">
        <f t="shared" si="69"/>
        <v>0</v>
      </c>
      <c r="O61" s="75"/>
      <c r="P61" s="62"/>
      <c r="Q61" s="63">
        <f t="shared" si="70"/>
        <v>0</v>
      </c>
      <c r="R61" s="75"/>
      <c r="S61" s="62"/>
      <c r="T61" s="63">
        <f t="shared" si="71"/>
        <v>0</v>
      </c>
      <c r="U61" s="75"/>
      <c r="V61" s="62"/>
      <c r="W61" s="63">
        <f t="shared" si="72"/>
        <v>0</v>
      </c>
      <c r="X61" s="75"/>
      <c r="Y61" s="62"/>
      <c r="Z61" s="63">
        <f t="shared" si="73"/>
        <v>0</v>
      </c>
      <c r="AA61" s="75"/>
      <c r="AB61" s="62"/>
      <c r="AC61" s="63">
        <f t="shared" si="74"/>
        <v>0</v>
      </c>
      <c r="AD61" s="75"/>
      <c r="AE61" s="62"/>
      <c r="AF61" s="63">
        <f t="shared" si="75"/>
        <v>0</v>
      </c>
      <c r="AG61" s="75"/>
      <c r="AH61" s="62"/>
      <c r="AI61" s="63">
        <f t="shared" si="76"/>
        <v>0</v>
      </c>
      <c r="AJ61" s="75"/>
      <c r="AK61" s="62"/>
      <c r="AL61" s="63">
        <f t="shared" si="77"/>
        <v>0</v>
      </c>
      <c r="AM61" s="86">
        <f t="shared" si="78"/>
        <v>0</v>
      </c>
      <c r="AN61" s="159"/>
      <c r="AO61" s="104">
        <f t="shared" si="79"/>
        <v>0</v>
      </c>
      <c r="AP61" s="104">
        <f t="shared" si="80"/>
        <v>0</v>
      </c>
      <c r="AQ61" s="104">
        <f t="shared" si="81"/>
        <v>0</v>
      </c>
      <c r="AR61" s="104">
        <f t="shared" si="82"/>
        <v>0</v>
      </c>
      <c r="AS61" s="104">
        <f t="shared" si="83"/>
        <v>0</v>
      </c>
      <c r="AT61" s="104">
        <f t="shared" si="84"/>
        <v>0</v>
      </c>
      <c r="AU61" s="104">
        <f t="shared" si="85"/>
        <v>0</v>
      </c>
      <c r="AV61" s="104">
        <f t="shared" si="86"/>
        <v>0</v>
      </c>
      <c r="AW61" s="104">
        <f t="shared" si="87"/>
        <v>0</v>
      </c>
      <c r="AX61" s="104">
        <f t="shared" si="88"/>
        <v>0</v>
      </c>
      <c r="AY61" s="104">
        <f t="shared" si="89"/>
        <v>0</v>
      </c>
      <c r="AZ61" s="104">
        <f t="shared" si="90"/>
        <v>0</v>
      </c>
    </row>
    <row r="62" spans="1:64" x14ac:dyDescent="0.25">
      <c r="A62" s="53" t="s">
        <v>78</v>
      </c>
      <c r="B62" s="529"/>
      <c r="C62" s="75"/>
      <c r="D62" s="62"/>
      <c r="E62" s="63">
        <f t="shared" si="66"/>
        <v>0</v>
      </c>
      <c r="F62" s="75"/>
      <c r="G62" s="62"/>
      <c r="H62" s="63">
        <f t="shared" si="67"/>
        <v>0</v>
      </c>
      <c r="I62" s="75"/>
      <c r="J62" s="62"/>
      <c r="K62" s="63">
        <f t="shared" si="68"/>
        <v>0</v>
      </c>
      <c r="L62" s="75"/>
      <c r="M62" s="62"/>
      <c r="N62" s="63">
        <f t="shared" si="69"/>
        <v>0</v>
      </c>
      <c r="O62" s="75"/>
      <c r="P62" s="62"/>
      <c r="Q62" s="63">
        <f t="shared" si="70"/>
        <v>0</v>
      </c>
      <c r="R62" s="75"/>
      <c r="S62" s="62"/>
      <c r="T62" s="63">
        <f t="shared" si="71"/>
        <v>0</v>
      </c>
      <c r="U62" s="75"/>
      <c r="V62" s="62"/>
      <c r="W62" s="63">
        <f t="shared" si="72"/>
        <v>0</v>
      </c>
      <c r="X62" s="75"/>
      <c r="Y62" s="62"/>
      <c r="Z62" s="63">
        <f t="shared" si="73"/>
        <v>0</v>
      </c>
      <c r="AA62" s="75"/>
      <c r="AB62" s="62"/>
      <c r="AC62" s="63">
        <f t="shared" si="74"/>
        <v>0</v>
      </c>
      <c r="AD62" s="75"/>
      <c r="AE62" s="62"/>
      <c r="AF62" s="63">
        <f t="shared" si="75"/>
        <v>0</v>
      </c>
      <c r="AG62" s="75"/>
      <c r="AH62" s="62"/>
      <c r="AI62" s="63">
        <f t="shared" si="76"/>
        <v>0</v>
      </c>
      <c r="AJ62" s="75"/>
      <c r="AK62" s="62"/>
      <c r="AL62" s="63">
        <f t="shared" si="77"/>
        <v>0</v>
      </c>
      <c r="AM62" s="86">
        <f t="shared" si="78"/>
        <v>0</v>
      </c>
      <c r="AN62" s="159"/>
      <c r="AO62" s="104">
        <f t="shared" si="79"/>
        <v>0</v>
      </c>
      <c r="AP62" s="104">
        <f t="shared" si="80"/>
        <v>0</v>
      </c>
      <c r="AQ62" s="104">
        <f t="shared" si="81"/>
        <v>0</v>
      </c>
      <c r="AR62" s="104">
        <f t="shared" si="82"/>
        <v>0</v>
      </c>
      <c r="AS62" s="104">
        <f t="shared" si="83"/>
        <v>0</v>
      </c>
      <c r="AT62" s="104">
        <f t="shared" si="84"/>
        <v>0</v>
      </c>
      <c r="AU62" s="104">
        <f t="shared" si="85"/>
        <v>0</v>
      </c>
      <c r="AV62" s="104">
        <f t="shared" si="86"/>
        <v>0</v>
      </c>
      <c r="AW62" s="104">
        <f t="shared" si="87"/>
        <v>0</v>
      </c>
      <c r="AX62" s="104">
        <f t="shared" si="88"/>
        <v>0</v>
      </c>
      <c r="AY62" s="104">
        <f t="shared" si="89"/>
        <v>0</v>
      </c>
      <c r="AZ62" s="104">
        <f t="shared" si="90"/>
        <v>0</v>
      </c>
    </row>
    <row r="63" spans="1:64" x14ac:dyDescent="0.25">
      <c r="A63" s="53" t="s">
        <v>79</v>
      </c>
      <c r="B63" s="529"/>
      <c r="C63" s="75"/>
      <c r="D63" s="62"/>
      <c r="E63" s="63">
        <f t="shared" si="66"/>
        <v>0</v>
      </c>
      <c r="F63" s="75"/>
      <c r="G63" s="62"/>
      <c r="H63" s="63">
        <f t="shared" si="67"/>
        <v>0</v>
      </c>
      <c r="I63" s="75"/>
      <c r="J63" s="62"/>
      <c r="K63" s="63">
        <f t="shared" si="68"/>
        <v>0</v>
      </c>
      <c r="L63" s="75"/>
      <c r="M63" s="62"/>
      <c r="N63" s="63">
        <f t="shared" si="69"/>
        <v>0</v>
      </c>
      <c r="O63" s="75"/>
      <c r="P63" s="62"/>
      <c r="Q63" s="63">
        <f t="shared" si="70"/>
        <v>0</v>
      </c>
      <c r="R63" s="75"/>
      <c r="S63" s="62"/>
      <c r="T63" s="63">
        <f t="shared" si="71"/>
        <v>0</v>
      </c>
      <c r="U63" s="75"/>
      <c r="V63" s="62"/>
      <c r="W63" s="63">
        <f t="shared" si="72"/>
        <v>0</v>
      </c>
      <c r="X63" s="75"/>
      <c r="Y63" s="62"/>
      <c r="Z63" s="63">
        <f t="shared" si="73"/>
        <v>0</v>
      </c>
      <c r="AA63" s="75"/>
      <c r="AB63" s="62"/>
      <c r="AC63" s="63">
        <f t="shared" si="74"/>
        <v>0</v>
      </c>
      <c r="AD63" s="75"/>
      <c r="AE63" s="62"/>
      <c r="AF63" s="63">
        <f t="shared" si="75"/>
        <v>0</v>
      </c>
      <c r="AG63" s="75"/>
      <c r="AH63" s="62"/>
      <c r="AI63" s="63">
        <f t="shared" si="76"/>
        <v>0</v>
      </c>
      <c r="AJ63" s="75"/>
      <c r="AK63" s="62"/>
      <c r="AL63" s="63">
        <f t="shared" si="77"/>
        <v>0</v>
      </c>
      <c r="AM63" s="86">
        <f t="shared" si="78"/>
        <v>0</v>
      </c>
      <c r="AN63" s="159"/>
      <c r="AO63" s="104">
        <f t="shared" si="79"/>
        <v>0</v>
      </c>
      <c r="AP63" s="104">
        <f t="shared" si="80"/>
        <v>0</v>
      </c>
      <c r="AQ63" s="104">
        <f t="shared" si="81"/>
        <v>0</v>
      </c>
      <c r="AR63" s="104">
        <f t="shared" si="82"/>
        <v>0</v>
      </c>
      <c r="AS63" s="104">
        <f t="shared" si="83"/>
        <v>0</v>
      </c>
      <c r="AT63" s="104">
        <f t="shared" si="84"/>
        <v>0</v>
      </c>
      <c r="AU63" s="104">
        <f t="shared" si="85"/>
        <v>0</v>
      </c>
      <c r="AV63" s="104">
        <f t="shared" si="86"/>
        <v>0</v>
      </c>
      <c r="AW63" s="104">
        <f t="shared" si="87"/>
        <v>0</v>
      </c>
      <c r="AX63" s="104">
        <f t="shared" si="88"/>
        <v>0</v>
      </c>
      <c r="AY63" s="104">
        <f t="shared" si="89"/>
        <v>0</v>
      </c>
      <c r="AZ63" s="104">
        <f t="shared" si="90"/>
        <v>0</v>
      </c>
    </row>
    <row r="64" spans="1:64" x14ac:dyDescent="0.25">
      <c r="A64" s="53" t="s">
        <v>80</v>
      </c>
      <c r="B64" s="529"/>
      <c r="C64" s="75"/>
      <c r="D64" s="62"/>
      <c r="E64" s="63">
        <f t="shared" si="66"/>
        <v>0</v>
      </c>
      <c r="F64" s="75"/>
      <c r="G64" s="62"/>
      <c r="H64" s="63">
        <f t="shared" si="67"/>
        <v>0</v>
      </c>
      <c r="I64" s="75"/>
      <c r="J64" s="62"/>
      <c r="K64" s="63">
        <f t="shared" si="68"/>
        <v>0</v>
      </c>
      <c r="L64" s="75"/>
      <c r="M64" s="62"/>
      <c r="N64" s="63">
        <f t="shared" si="69"/>
        <v>0</v>
      </c>
      <c r="O64" s="75"/>
      <c r="P64" s="62"/>
      <c r="Q64" s="63">
        <f t="shared" si="70"/>
        <v>0</v>
      </c>
      <c r="R64" s="75"/>
      <c r="S64" s="62"/>
      <c r="T64" s="63">
        <f t="shared" si="71"/>
        <v>0</v>
      </c>
      <c r="U64" s="75"/>
      <c r="V64" s="62"/>
      <c r="W64" s="63">
        <f t="shared" si="72"/>
        <v>0</v>
      </c>
      <c r="X64" s="75"/>
      <c r="Y64" s="62"/>
      <c r="Z64" s="63">
        <f t="shared" si="73"/>
        <v>0</v>
      </c>
      <c r="AA64" s="75"/>
      <c r="AB64" s="62"/>
      <c r="AC64" s="63">
        <f t="shared" si="74"/>
        <v>0</v>
      </c>
      <c r="AD64" s="75"/>
      <c r="AE64" s="62"/>
      <c r="AF64" s="63">
        <f t="shared" si="75"/>
        <v>0</v>
      </c>
      <c r="AG64" s="75"/>
      <c r="AH64" s="62"/>
      <c r="AI64" s="63">
        <f t="shared" si="76"/>
        <v>0</v>
      </c>
      <c r="AJ64" s="75"/>
      <c r="AK64" s="62"/>
      <c r="AL64" s="63">
        <f t="shared" si="77"/>
        <v>0</v>
      </c>
      <c r="AM64" s="86">
        <f t="shared" si="78"/>
        <v>0</v>
      </c>
      <c r="AN64" s="159"/>
      <c r="AO64" s="104">
        <f t="shared" si="79"/>
        <v>0</v>
      </c>
      <c r="AP64" s="104">
        <f t="shared" si="80"/>
        <v>0</v>
      </c>
      <c r="AQ64" s="104">
        <f t="shared" si="81"/>
        <v>0</v>
      </c>
      <c r="AR64" s="104">
        <f t="shared" si="82"/>
        <v>0</v>
      </c>
      <c r="AS64" s="104">
        <f t="shared" si="83"/>
        <v>0</v>
      </c>
      <c r="AT64" s="104">
        <f t="shared" si="84"/>
        <v>0</v>
      </c>
      <c r="AU64" s="104">
        <f t="shared" si="85"/>
        <v>0</v>
      </c>
      <c r="AV64" s="104">
        <f t="shared" si="86"/>
        <v>0</v>
      </c>
      <c r="AW64" s="104">
        <f t="shared" si="87"/>
        <v>0</v>
      </c>
      <c r="AX64" s="104">
        <f t="shared" si="88"/>
        <v>0</v>
      </c>
      <c r="AY64" s="104">
        <f t="shared" si="89"/>
        <v>0</v>
      </c>
      <c r="AZ64" s="104">
        <f t="shared" si="90"/>
        <v>0</v>
      </c>
    </row>
    <row r="65" spans="1:53" x14ac:dyDescent="0.25">
      <c r="A65" s="53" t="s">
        <v>81</v>
      </c>
      <c r="B65" s="529"/>
      <c r="C65" s="75"/>
      <c r="D65" s="62"/>
      <c r="E65" s="63">
        <f t="shared" si="66"/>
        <v>0</v>
      </c>
      <c r="F65" s="75"/>
      <c r="G65" s="62"/>
      <c r="H65" s="63">
        <f t="shared" si="67"/>
        <v>0</v>
      </c>
      <c r="I65" s="75"/>
      <c r="J65" s="62"/>
      <c r="K65" s="63">
        <f t="shared" si="68"/>
        <v>0</v>
      </c>
      <c r="L65" s="75"/>
      <c r="M65" s="62"/>
      <c r="N65" s="63">
        <f t="shared" si="69"/>
        <v>0</v>
      </c>
      <c r="O65" s="75"/>
      <c r="P65" s="62"/>
      <c r="Q65" s="63">
        <f t="shared" si="70"/>
        <v>0</v>
      </c>
      <c r="R65" s="75"/>
      <c r="S65" s="62"/>
      <c r="T65" s="63">
        <f t="shared" si="71"/>
        <v>0</v>
      </c>
      <c r="U65" s="75"/>
      <c r="V65" s="62"/>
      <c r="W65" s="63">
        <f t="shared" si="72"/>
        <v>0</v>
      </c>
      <c r="X65" s="75"/>
      <c r="Y65" s="62"/>
      <c r="Z65" s="63">
        <f t="shared" si="73"/>
        <v>0</v>
      </c>
      <c r="AA65" s="75"/>
      <c r="AB65" s="62"/>
      <c r="AC65" s="63">
        <f t="shared" si="74"/>
        <v>0</v>
      </c>
      <c r="AD65" s="75"/>
      <c r="AE65" s="62"/>
      <c r="AF65" s="63">
        <f t="shared" si="75"/>
        <v>0</v>
      </c>
      <c r="AG65" s="75"/>
      <c r="AH65" s="62"/>
      <c r="AI65" s="63">
        <f t="shared" si="76"/>
        <v>0</v>
      </c>
      <c r="AJ65" s="75"/>
      <c r="AK65" s="62"/>
      <c r="AL65" s="63">
        <f t="shared" si="77"/>
        <v>0</v>
      </c>
      <c r="AM65" s="86">
        <f t="shared" si="78"/>
        <v>0</v>
      </c>
      <c r="AN65" s="159"/>
      <c r="AO65" s="104">
        <f t="shared" si="79"/>
        <v>0</v>
      </c>
      <c r="AP65" s="104">
        <f t="shared" si="80"/>
        <v>0</v>
      </c>
      <c r="AQ65" s="104">
        <f t="shared" si="81"/>
        <v>0</v>
      </c>
      <c r="AR65" s="104">
        <f t="shared" si="82"/>
        <v>0</v>
      </c>
      <c r="AS65" s="104">
        <f t="shared" si="83"/>
        <v>0</v>
      </c>
      <c r="AT65" s="104">
        <f t="shared" si="84"/>
        <v>0</v>
      </c>
      <c r="AU65" s="104">
        <f t="shared" si="85"/>
        <v>0</v>
      </c>
      <c r="AV65" s="104">
        <f t="shared" si="86"/>
        <v>0</v>
      </c>
      <c r="AW65" s="104">
        <f t="shared" si="87"/>
        <v>0</v>
      </c>
      <c r="AX65" s="104">
        <f t="shared" si="88"/>
        <v>0</v>
      </c>
      <c r="AY65" s="104">
        <f t="shared" si="89"/>
        <v>0</v>
      </c>
      <c r="AZ65" s="104">
        <f t="shared" si="90"/>
        <v>0</v>
      </c>
    </row>
    <row r="66" spans="1:53" x14ac:dyDescent="0.25">
      <c r="A66" s="53" t="s">
        <v>82</v>
      </c>
      <c r="B66" s="529"/>
      <c r="C66" s="75"/>
      <c r="D66" s="62"/>
      <c r="E66" s="63">
        <f t="shared" si="66"/>
        <v>0</v>
      </c>
      <c r="F66" s="75"/>
      <c r="G66" s="62"/>
      <c r="H66" s="63">
        <f t="shared" si="67"/>
        <v>0</v>
      </c>
      <c r="I66" s="75"/>
      <c r="J66" s="62"/>
      <c r="K66" s="63">
        <f t="shared" si="68"/>
        <v>0</v>
      </c>
      <c r="L66" s="75"/>
      <c r="M66" s="62"/>
      <c r="N66" s="63">
        <f t="shared" si="69"/>
        <v>0</v>
      </c>
      <c r="O66" s="75"/>
      <c r="P66" s="62"/>
      <c r="Q66" s="63">
        <f t="shared" si="70"/>
        <v>0</v>
      </c>
      <c r="R66" s="75"/>
      <c r="S66" s="62"/>
      <c r="T66" s="63">
        <f t="shared" si="71"/>
        <v>0</v>
      </c>
      <c r="U66" s="75"/>
      <c r="V66" s="62"/>
      <c r="W66" s="63">
        <f t="shared" si="72"/>
        <v>0</v>
      </c>
      <c r="X66" s="75"/>
      <c r="Y66" s="62"/>
      <c r="Z66" s="63">
        <f t="shared" si="73"/>
        <v>0</v>
      </c>
      <c r="AA66" s="75"/>
      <c r="AB66" s="62"/>
      <c r="AC66" s="63">
        <f t="shared" si="74"/>
        <v>0</v>
      </c>
      <c r="AD66" s="75"/>
      <c r="AE66" s="62"/>
      <c r="AF66" s="63">
        <f t="shared" si="75"/>
        <v>0</v>
      </c>
      <c r="AG66" s="75"/>
      <c r="AH66" s="62"/>
      <c r="AI66" s="63">
        <f t="shared" si="76"/>
        <v>0</v>
      </c>
      <c r="AJ66" s="75"/>
      <c r="AK66" s="62"/>
      <c r="AL66" s="63">
        <f t="shared" si="77"/>
        <v>0</v>
      </c>
      <c r="AM66" s="86">
        <f t="shared" si="78"/>
        <v>0</v>
      </c>
      <c r="AN66" s="159"/>
      <c r="AO66" s="104">
        <f t="shared" si="79"/>
        <v>0</v>
      </c>
      <c r="AP66" s="104">
        <f t="shared" si="80"/>
        <v>0</v>
      </c>
      <c r="AQ66" s="104">
        <f t="shared" si="81"/>
        <v>0</v>
      </c>
      <c r="AR66" s="104">
        <f t="shared" si="82"/>
        <v>0</v>
      </c>
      <c r="AS66" s="104">
        <f t="shared" si="83"/>
        <v>0</v>
      </c>
      <c r="AT66" s="104">
        <f t="shared" si="84"/>
        <v>0</v>
      </c>
      <c r="AU66" s="104">
        <f t="shared" si="85"/>
        <v>0</v>
      </c>
      <c r="AV66" s="104">
        <f t="shared" si="86"/>
        <v>0</v>
      </c>
      <c r="AW66" s="104">
        <f t="shared" si="87"/>
        <v>0</v>
      </c>
      <c r="AX66" s="104">
        <f t="shared" si="88"/>
        <v>0</v>
      </c>
      <c r="AY66" s="104">
        <f t="shared" si="89"/>
        <v>0</v>
      </c>
      <c r="AZ66" s="104">
        <f t="shared" si="90"/>
        <v>0</v>
      </c>
    </row>
    <row r="67" spans="1:53" x14ac:dyDescent="0.25">
      <c r="A67" s="53" t="s">
        <v>83</v>
      </c>
      <c r="B67" s="529"/>
      <c r="C67" s="75"/>
      <c r="D67" s="62"/>
      <c r="E67" s="63">
        <f t="shared" si="66"/>
        <v>0</v>
      </c>
      <c r="F67" s="75"/>
      <c r="G67" s="62"/>
      <c r="H67" s="63">
        <f t="shared" si="67"/>
        <v>0</v>
      </c>
      <c r="I67" s="75"/>
      <c r="J67" s="62"/>
      <c r="K67" s="63">
        <f t="shared" si="68"/>
        <v>0</v>
      </c>
      <c r="L67" s="75"/>
      <c r="M67" s="62"/>
      <c r="N67" s="63">
        <f t="shared" si="69"/>
        <v>0</v>
      </c>
      <c r="O67" s="75"/>
      <c r="P67" s="62"/>
      <c r="Q67" s="63">
        <f t="shared" si="70"/>
        <v>0</v>
      </c>
      <c r="R67" s="75"/>
      <c r="S67" s="62"/>
      <c r="T67" s="63">
        <f t="shared" si="71"/>
        <v>0</v>
      </c>
      <c r="U67" s="75"/>
      <c r="V67" s="62"/>
      <c r="W67" s="63">
        <f t="shared" si="72"/>
        <v>0</v>
      </c>
      <c r="X67" s="75"/>
      <c r="Y67" s="62"/>
      <c r="Z67" s="63">
        <f t="shared" si="73"/>
        <v>0</v>
      </c>
      <c r="AA67" s="75"/>
      <c r="AB67" s="62"/>
      <c r="AC67" s="63">
        <f t="shared" si="74"/>
        <v>0</v>
      </c>
      <c r="AD67" s="75"/>
      <c r="AE67" s="62"/>
      <c r="AF67" s="63">
        <f t="shared" si="75"/>
        <v>0</v>
      </c>
      <c r="AG67" s="75"/>
      <c r="AH67" s="62"/>
      <c r="AI67" s="63">
        <f t="shared" si="76"/>
        <v>0</v>
      </c>
      <c r="AJ67" s="75"/>
      <c r="AK67" s="62"/>
      <c r="AL67" s="63">
        <f t="shared" si="77"/>
        <v>0</v>
      </c>
      <c r="AM67" s="86">
        <f t="shared" si="78"/>
        <v>0</v>
      </c>
      <c r="AN67" s="159"/>
      <c r="AO67" s="104">
        <f t="shared" si="79"/>
        <v>0</v>
      </c>
      <c r="AP67" s="104">
        <f t="shared" si="80"/>
        <v>0</v>
      </c>
      <c r="AQ67" s="104">
        <f t="shared" si="81"/>
        <v>0</v>
      </c>
      <c r="AR67" s="104">
        <f t="shared" si="82"/>
        <v>0</v>
      </c>
      <c r="AS67" s="104">
        <f t="shared" si="83"/>
        <v>0</v>
      </c>
      <c r="AT67" s="104">
        <f t="shared" si="84"/>
        <v>0</v>
      </c>
      <c r="AU67" s="104">
        <f t="shared" si="85"/>
        <v>0</v>
      </c>
      <c r="AV67" s="104">
        <f t="shared" si="86"/>
        <v>0</v>
      </c>
      <c r="AW67" s="104">
        <f t="shared" si="87"/>
        <v>0</v>
      </c>
      <c r="AX67" s="104">
        <f t="shared" si="88"/>
        <v>0</v>
      </c>
      <c r="AY67" s="104">
        <f t="shared" si="89"/>
        <v>0</v>
      </c>
      <c r="AZ67" s="104">
        <f t="shared" si="90"/>
        <v>0</v>
      </c>
    </row>
    <row r="68" spans="1:53" ht="12" thickBot="1" x14ac:dyDescent="0.3">
      <c r="A68" s="715" t="s">
        <v>211</v>
      </c>
      <c r="B68" s="530"/>
      <c r="C68" s="77"/>
      <c r="D68" s="64"/>
      <c r="E68" s="65">
        <f t="shared" si="66"/>
        <v>0</v>
      </c>
      <c r="F68" s="77"/>
      <c r="G68" s="64"/>
      <c r="H68" s="65">
        <f t="shared" si="67"/>
        <v>0</v>
      </c>
      <c r="I68" s="77"/>
      <c r="J68" s="64"/>
      <c r="K68" s="65">
        <f t="shared" si="68"/>
        <v>0</v>
      </c>
      <c r="L68" s="77"/>
      <c r="M68" s="64"/>
      <c r="N68" s="65">
        <f t="shared" si="69"/>
        <v>0</v>
      </c>
      <c r="O68" s="77"/>
      <c r="P68" s="64"/>
      <c r="Q68" s="65">
        <f t="shared" si="70"/>
        <v>0</v>
      </c>
      <c r="R68" s="77"/>
      <c r="S68" s="64"/>
      <c r="T68" s="65">
        <f t="shared" si="71"/>
        <v>0</v>
      </c>
      <c r="U68" s="77"/>
      <c r="V68" s="64"/>
      <c r="W68" s="65">
        <f t="shared" si="72"/>
        <v>0</v>
      </c>
      <c r="X68" s="77"/>
      <c r="Y68" s="64"/>
      <c r="Z68" s="65">
        <f t="shared" si="73"/>
        <v>0</v>
      </c>
      <c r="AA68" s="77"/>
      <c r="AB68" s="64"/>
      <c r="AC68" s="65">
        <f t="shared" si="74"/>
        <v>0</v>
      </c>
      <c r="AD68" s="77"/>
      <c r="AE68" s="64"/>
      <c r="AF68" s="65">
        <f t="shared" si="75"/>
        <v>0</v>
      </c>
      <c r="AG68" s="77"/>
      <c r="AH68" s="64"/>
      <c r="AI68" s="65">
        <f t="shared" si="76"/>
        <v>0</v>
      </c>
      <c r="AJ68" s="77"/>
      <c r="AK68" s="64"/>
      <c r="AL68" s="65">
        <f t="shared" si="77"/>
        <v>0</v>
      </c>
      <c r="AM68" s="87">
        <f t="shared" si="78"/>
        <v>0</v>
      </c>
      <c r="AN68" s="159"/>
      <c r="AO68" s="104">
        <f t="shared" si="79"/>
        <v>0</v>
      </c>
      <c r="AP68" s="104">
        <f t="shared" si="80"/>
        <v>0</v>
      </c>
      <c r="AQ68" s="104">
        <f t="shared" si="81"/>
        <v>0</v>
      </c>
      <c r="AR68" s="104">
        <f t="shared" si="82"/>
        <v>0</v>
      </c>
      <c r="AS68" s="104">
        <f t="shared" si="83"/>
        <v>0</v>
      </c>
      <c r="AT68" s="104">
        <f t="shared" si="84"/>
        <v>0</v>
      </c>
      <c r="AU68" s="104">
        <f t="shared" si="85"/>
        <v>0</v>
      </c>
      <c r="AV68" s="104">
        <f t="shared" si="86"/>
        <v>0</v>
      </c>
      <c r="AW68" s="104">
        <f t="shared" si="87"/>
        <v>0</v>
      </c>
      <c r="AX68" s="104">
        <f t="shared" si="88"/>
        <v>0</v>
      </c>
      <c r="AY68" s="104">
        <f t="shared" si="89"/>
        <v>0</v>
      </c>
      <c r="AZ68" s="104">
        <f t="shared" si="90"/>
        <v>0</v>
      </c>
      <c r="BA68" s="12"/>
    </row>
    <row r="69" spans="1:53" x14ac:dyDescent="0.25">
      <c r="A69" s="100" t="s">
        <v>21</v>
      </c>
      <c r="B69" s="531"/>
      <c r="C69" s="74"/>
      <c r="D69" s="66"/>
      <c r="E69" s="67"/>
      <c r="F69" s="74"/>
      <c r="G69" s="66"/>
      <c r="H69" s="67"/>
      <c r="I69" s="74"/>
      <c r="J69" s="66"/>
      <c r="K69" s="67"/>
      <c r="L69" s="74"/>
      <c r="M69" s="66"/>
      <c r="N69" s="67"/>
      <c r="O69" s="74"/>
      <c r="P69" s="66"/>
      <c r="Q69" s="67"/>
      <c r="R69" s="74"/>
      <c r="S69" s="66"/>
      <c r="T69" s="67"/>
      <c r="U69" s="74"/>
      <c r="V69" s="66"/>
      <c r="W69" s="67"/>
      <c r="X69" s="74"/>
      <c r="Y69" s="66"/>
      <c r="Z69" s="67"/>
      <c r="AA69" s="74"/>
      <c r="AB69" s="66"/>
      <c r="AC69" s="67"/>
      <c r="AD69" s="74"/>
      <c r="AE69" s="66"/>
      <c r="AF69" s="67"/>
      <c r="AG69" s="74"/>
      <c r="AH69" s="66"/>
      <c r="AI69" s="67"/>
      <c r="AJ69" s="74"/>
      <c r="AK69" s="66"/>
      <c r="AL69" s="67"/>
      <c r="AM69" s="85"/>
      <c r="AN69" s="159"/>
      <c r="AO69" s="104"/>
      <c r="AP69" s="104"/>
      <c r="AQ69" s="104"/>
      <c r="AR69" s="104"/>
      <c r="AS69" s="104"/>
      <c r="AT69" s="104"/>
      <c r="AU69" s="104"/>
      <c r="AV69" s="104"/>
      <c r="AW69" s="104"/>
      <c r="AX69" s="104"/>
      <c r="AY69" s="104"/>
      <c r="AZ69" s="104"/>
    </row>
    <row r="70" spans="1:53" x14ac:dyDescent="0.25">
      <c r="A70" s="101" t="s">
        <v>84</v>
      </c>
      <c r="B70" s="529">
        <v>0.2</v>
      </c>
      <c r="C70" s="75"/>
      <c r="D70" s="62"/>
      <c r="E70" s="536">
        <f>((D70*$B70)/12)+'บริหารโดยส่วนกลาง (ไม่ต้องกรอก)'!E25</f>
        <v>0</v>
      </c>
      <c r="F70" s="75"/>
      <c r="G70" s="62"/>
      <c r="H70" s="63">
        <f>((G70*$B70)/12)+'บริหารโดยส่วนกลาง (ไม่ต้องกรอก)'!H25+E70</f>
        <v>0</v>
      </c>
      <c r="I70" s="75"/>
      <c r="J70" s="62"/>
      <c r="K70" s="63">
        <f>((J70*$B70)/12)+'บริหารโดยส่วนกลาง (ไม่ต้องกรอก)'!K25+H70</f>
        <v>0</v>
      </c>
      <c r="L70" s="75"/>
      <c r="M70" s="62"/>
      <c r="N70" s="63">
        <f>((M70*$B70)/12)+'บริหารโดยส่วนกลาง (ไม่ต้องกรอก)'!N25+K70</f>
        <v>0</v>
      </c>
      <c r="O70" s="75"/>
      <c r="P70" s="62"/>
      <c r="Q70" s="63">
        <f>((P70*$B70)/12)+'บริหารโดยส่วนกลาง (ไม่ต้องกรอก)'!Q25+N70</f>
        <v>0</v>
      </c>
      <c r="R70" s="75"/>
      <c r="S70" s="62"/>
      <c r="T70" s="63">
        <f>((S70*$B70)/12)+'บริหารโดยส่วนกลาง (ไม่ต้องกรอก)'!T25+Q70</f>
        <v>0</v>
      </c>
      <c r="U70" s="75"/>
      <c r="V70" s="62"/>
      <c r="W70" s="63">
        <f>((V70*$B70)/12)+'บริหารโดยส่วนกลาง (ไม่ต้องกรอก)'!W25+T70</f>
        <v>0</v>
      </c>
      <c r="X70" s="75"/>
      <c r="Y70" s="62"/>
      <c r="Z70" s="63">
        <f>((Y70*$B70)/12)+'บริหารโดยส่วนกลาง (ไม่ต้องกรอก)'!Z25+W70</f>
        <v>0</v>
      </c>
      <c r="AA70" s="75"/>
      <c r="AB70" s="62"/>
      <c r="AC70" s="63">
        <f>((AB70*$B70)/12)+'บริหารโดยส่วนกลาง (ไม่ต้องกรอก)'!AC25+Z70</f>
        <v>0</v>
      </c>
      <c r="AD70" s="75"/>
      <c r="AE70" s="62"/>
      <c r="AF70" s="63">
        <f>((AE70*$B70)/12)+'บริหารโดยส่วนกลาง (ไม่ต้องกรอก)'!AF25+AC70</f>
        <v>0</v>
      </c>
      <c r="AG70" s="75"/>
      <c r="AH70" s="62"/>
      <c r="AI70" s="63">
        <f>((AH70*$B70)/12)+'บริหารโดยส่วนกลาง (ไม่ต้องกรอก)'!AI25+AF70</f>
        <v>0</v>
      </c>
      <c r="AJ70" s="75"/>
      <c r="AK70" s="62"/>
      <c r="AL70" s="63">
        <f>((AK70*$B70)/12)+'บริหารโดยส่วนกลาง (ไม่ต้องกรอก)'!AL25+AI70</f>
        <v>0</v>
      </c>
      <c r="AM70" s="86">
        <f t="shared" ref="AM70:AM79" si="91">SUM(D70,G70,J70,M70,P70,S70,V70,Y70,AB70,AE70,AH70,AK70)</f>
        <v>0</v>
      </c>
      <c r="AN70" s="159"/>
      <c r="AO70" s="104">
        <f t="shared" ref="AO70:AO79" si="92">E70</f>
        <v>0</v>
      </c>
      <c r="AP70" s="104">
        <f t="shared" ref="AP70:AP79" si="93">H70</f>
        <v>0</v>
      </c>
      <c r="AQ70" s="104">
        <f t="shared" ref="AQ70:AQ79" si="94">K70</f>
        <v>0</v>
      </c>
      <c r="AR70" s="104">
        <f t="shared" ref="AR70:AR79" si="95">N70</f>
        <v>0</v>
      </c>
      <c r="AS70" s="104">
        <f t="shared" ref="AS70:AS79" si="96">Q70</f>
        <v>0</v>
      </c>
      <c r="AT70" s="104">
        <f t="shared" ref="AT70:AT79" si="97">T70</f>
        <v>0</v>
      </c>
      <c r="AU70" s="104">
        <f t="shared" ref="AU70:AU79" si="98">W70</f>
        <v>0</v>
      </c>
      <c r="AV70" s="104">
        <f t="shared" ref="AV70:AV79" si="99">Z70</f>
        <v>0</v>
      </c>
      <c r="AW70" s="104">
        <f t="shared" ref="AW70:AW79" si="100">AC70</f>
        <v>0</v>
      </c>
      <c r="AX70" s="104">
        <f t="shared" ref="AX70:AX79" si="101">AF70</f>
        <v>0</v>
      </c>
      <c r="AY70" s="104">
        <f t="shared" ref="AY70:AY79" si="102">AI70</f>
        <v>0</v>
      </c>
      <c r="AZ70" s="104">
        <f t="shared" ref="AZ70:AZ80" si="103">AL70</f>
        <v>0</v>
      </c>
    </row>
    <row r="71" spans="1:53" x14ac:dyDescent="0.25">
      <c r="A71" s="101" t="s">
        <v>85</v>
      </c>
      <c r="B71" s="529">
        <v>0.33333000000000002</v>
      </c>
      <c r="C71" s="78"/>
      <c r="D71" s="61">
        <f>คอมพิวเตอร์!E41</f>
        <v>0</v>
      </c>
      <c r="E71" s="63">
        <f>((D71*$B71)/12)+'บริหารโดยส่วนกลาง (ไม่ต้องกรอก)'!E26</f>
        <v>0</v>
      </c>
      <c r="F71" s="78"/>
      <c r="G71" s="61">
        <f>คอมพิวเตอร์!F41</f>
        <v>0</v>
      </c>
      <c r="H71" s="63">
        <f>((G71*$B71)/12)+'บริหารโดยส่วนกลาง (ไม่ต้องกรอก)'!H26+E71</f>
        <v>0</v>
      </c>
      <c r="I71" s="78"/>
      <c r="J71" s="61">
        <f>คอมพิวเตอร์!G41</f>
        <v>0</v>
      </c>
      <c r="K71" s="63">
        <f>((J71*$B71)/12)+'บริหารโดยส่วนกลาง (ไม่ต้องกรอก)'!K26+H71</f>
        <v>0</v>
      </c>
      <c r="L71" s="78"/>
      <c r="M71" s="61">
        <f>คอมพิวเตอร์!H41</f>
        <v>0</v>
      </c>
      <c r="N71" s="63">
        <f>((M71*$B71)/12)+'บริหารโดยส่วนกลาง (ไม่ต้องกรอก)'!N26+K71</f>
        <v>0</v>
      </c>
      <c r="O71" s="78"/>
      <c r="P71" s="61">
        <f>คอมพิวเตอร์!I41</f>
        <v>0</v>
      </c>
      <c r="Q71" s="63">
        <f>((P71*$B71)/12)+'บริหารโดยส่วนกลาง (ไม่ต้องกรอก)'!Q26+N71</f>
        <v>0</v>
      </c>
      <c r="R71" s="78"/>
      <c r="S71" s="61">
        <f>คอมพิวเตอร์!J41</f>
        <v>0</v>
      </c>
      <c r="T71" s="63">
        <f>((S71*$B71)/12)+'บริหารโดยส่วนกลาง (ไม่ต้องกรอก)'!T26+Q71</f>
        <v>0</v>
      </c>
      <c r="U71" s="78"/>
      <c r="V71" s="61">
        <f>คอมพิวเตอร์!K41</f>
        <v>0</v>
      </c>
      <c r="W71" s="63">
        <f>((V71*$B71)/12)+'บริหารโดยส่วนกลาง (ไม่ต้องกรอก)'!W26+T71</f>
        <v>0</v>
      </c>
      <c r="X71" s="78"/>
      <c r="Y71" s="61">
        <f>คอมพิวเตอร์!L41</f>
        <v>0</v>
      </c>
      <c r="Z71" s="63">
        <f>((Y71*$B71)/12)+'บริหารโดยส่วนกลาง (ไม่ต้องกรอก)'!Z26+W71</f>
        <v>0</v>
      </c>
      <c r="AA71" s="78"/>
      <c r="AB71" s="61">
        <f>คอมพิวเตอร์!M41</f>
        <v>0</v>
      </c>
      <c r="AC71" s="63">
        <f>((AB71*$B71)/12)+'บริหารโดยส่วนกลาง (ไม่ต้องกรอก)'!AC26+Z71</f>
        <v>0</v>
      </c>
      <c r="AD71" s="78"/>
      <c r="AE71" s="61">
        <f>คอมพิวเตอร์!N41</f>
        <v>0</v>
      </c>
      <c r="AF71" s="63">
        <f>((AE71*$B71)/12)+'บริหารโดยส่วนกลาง (ไม่ต้องกรอก)'!AF26+AC71</f>
        <v>0</v>
      </c>
      <c r="AG71" s="78"/>
      <c r="AH71" s="61">
        <f>คอมพิวเตอร์!O41</f>
        <v>0</v>
      </c>
      <c r="AI71" s="63">
        <f>((AH71*$B71)/12)+'บริหารโดยส่วนกลาง (ไม่ต้องกรอก)'!AI26+AF71</f>
        <v>0</v>
      </c>
      <c r="AJ71" s="78"/>
      <c r="AK71" s="61">
        <f>คอมพิวเตอร์!P41</f>
        <v>0</v>
      </c>
      <c r="AL71" s="63">
        <f>((AK71*$B71)/12)+'บริหารโดยส่วนกลาง (ไม่ต้องกรอก)'!AL26+AI71</f>
        <v>0</v>
      </c>
      <c r="AM71" s="86">
        <f t="shared" si="91"/>
        <v>0</v>
      </c>
      <c r="AN71" s="159"/>
      <c r="AO71" s="104">
        <f t="shared" si="92"/>
        <v>0</v>
      </c>
      <c r="AP71" s="104">
        <f t="shared" si="93"/>
        <v>0</v>
      </c>
      <c r="AQ71" s="104">
        <f t="shared" si="94"/>
        <v>0</v>
      </c>
      <c r="AR71" s="104">
        <f t="shared" si="95"/>
        <v>0</v>
      </c>
      <c r="AS71" s="104">
        <f t="shared" si="96"/>
        <v>0</v>
      </c>
      <c r="AT71" s="104">
        <f t="shared" si="97"/>
        <v>0</v>
      </c>
      <c r="AU71" s="104">
        <f t="shared" si="98"/>
        <v>0</v>
      </c>
      <c r="AV71" s="104">
        <f t="shared" si="99"/>
        <v>0</v>
      </c>
      <c r="AW71" s="104">
        <f t="shared" si="100"/>
        <v>0</v>
      </c>
      <c r="AX71" s="104">
        <f t="shared" si="101"/>
        <v>0</v>
      </c>
      <c r="AY71" s="104">
        <f t="shared" si="102"/>
        <v>0</v>
      </c>
      <c r="AZ71" s="104">
        <f t="shared" si="103"/>
        <v>0</v>
      </c>
    </row>
    <row r="72" spans="1:53" x14ac:dyDescent="0.25">
      <c r="A72" s="101" t="s">
        <v>86</v>
      </c>
      <c r="B72" s="529">
        <v>0.33</v>
      </c>
      <c r="C72" s="75"/>
      <c r="D72" s="62"/>
      <c r="E72" s="63">
        <f>((D72*$B72)/12)+'บริหารโดยส่วนกลาง (ไม่ต้องกรอก)'!E27</f>
        <v>0</v>
      </c>
      <c r="F72" s="75"/>
      <c r="G72" s="62"/>
      <c r="H72" s="63">
        <f>((G72*$B72)/12)+'บริหารโดยส่วนกลาง (ไม่ต้องกรอก)'!H27+E72</f>
        <v>0</v>
      </c>
      <c r="I72" s="75"/>
      <c r="J72" s="62"/>
      <c r="K72" s="63">
        <f>((J72*$B72)/12)+'บริหารโดยส่วนกลาง (ไม่ต้องกรอก)'!K27+H72</f>
        <v>0</v>
      </c>
      <c r="L72" s="75"/>
      <c r="M72" s="62"/>
      <c r="N72" s="63">
        <f>((M72*$B72)/12)+'บริหารโดยส่วนกลาง (ไม่ต้องกรอก)'!N27+K72</f>
        <v>0</v>
      </c>
      <c r="O72" s="75"/>
      <c r="P72" s="62"/>
      <c r="Q72" s="63">
        <f>((P72*$B72)/12)+'บริหารโดยส่วนกลาง (ไม่ต้องกรอก)'!Q27+N72</f>
        <v>0</v>
      </c>
      <c r="R72" s="75"/>
      <c r="S72" s="62"/>
      <c r="T72" s="63">
        <f>((S72*$B72)/12)+'บริหารโดยส่วนกลาง (ไม่ต้องกรอก)'!T27+Q72</f>
        <v>0</v>
      </c>
      <c r="U72" s="75"/>
      <c r="V72" s="62"/>
      <c r="W72" s="63">
        <f>((V72*$B72)/12)+'บริหารโดยส่วนกลาง (ไม่ต้องกรอก)'!W27+T72</f>
        <v>0</v>
      </c>
      <c r="X72" s="75"/>
      <c r="Y72" s="62"/>
      <c r="Z72" s="63">
        <f>((Y72*$B72)/12)+'บริหารโดยส่วนกลาง (ไม่ต้องกรอก)'!Z27+W72</f>
        <v>0</v>
      </c>
      <c r="AA72" s="75"/>
      <c r="AB72" s="62"/>
      <c r="AC72" s="63">
        <f>((AB72*$B72)/12)+'บริหารโดยส่วนกลาง (ไม่ต้องกรอก)'!AC27+Z72</f>
        <v>0</v>
      </c>
      <c r="AD72" s="75"/>
      <c r="AE72" s="62"/>
      <c r="AF72" s="63">
        <f>((AE72*$B72)/12)+'บริหารโดยส่วนกลาง (ไม่ต้องกรอก)'!AF27+AC72</f>
        <v>0</v>
      </c>
      <c r="AG72" s="75"/>
      <c r="AH72" s="62"/>
      <c r="AI72" s="63">
        <f>((AH72*$B72)/12)+'บริหารโดยส่วนกลาง (ไม่ต้องกรอก)'!AI27+AF72</f>
        <v>0</v>
      </c>
      <c r="AJ72" s="75"/>
      <c r="AK72" s="62"/>
      <c r="AL72" s="63">
        <f>((AK72*$B72)/12)+'บริหารโดยส่วนกลาง (ไม่ต้องกรอก)'!AL27+AI72</f>
        <v>0</v>
      </c>
      <c r="AM72" s="86">
        <f t="shared" si="91"/>
        <v>0</v>
      </c>
      <c r="AN72" s="159"/>
      <c r="AO72" s="104">
        <f t="shared" si="92"/>
        <v>0</v>
      </c>
      <c r="AP72" s="104">
        <f t="shared" si="93"/>
        <v>0</v>
      </c>
      <c r="AQ72" s="104">
        <f t="shared" si="94"/>
        <v>0</v>
      </c>
      <c r="AR72" s="104">
        <f t="shared" si="95"/>
        <v>0</v>
      </c>
      <c r="AS72" s="104">
        <f t="shared" si="96"/>
        <v>0</v>
      </c>
      <c r="AT72" s="104">
        <f t="shared" si="97"/>
        <v>0</v>
      </c>
      <c r="AU72" s="104">
        <f t="shared" si="98"/>
        <v>0</v>
      </c>
      <c r="AV72" s="104">
        <f t="shared" si="99"/>
        <v>0</v>
      </c>
      <c r="AW72" s="104">
        <f t="shared" si="100"/>
        <v>0</v>
      </c>
      <c r="AX72" s="104">
        <f t="shared" si="101"/>
        <v>0</v>
      </c>
      <c r="AY72" s="104">
        <f t="shared" si="102"/>
        <v>0</v>
      </c>
      <c r="AZ72" s="104">
        <f t="shared" si="103"/>
        <v>0</v>
      </c>
    </row>
    <row r="73" spans="1:53" x14ac:dyDescent="0.25">
      <c r="A73" s="101" t="s">
        <v>87</v>
      </c>
      <c r="B73" s="529">
        <v>0.2</v>
      </c>
      <c r="C73" s="75"/>
      <c r="D73" s="62"/>
      <c r="E73" s="63">
        <f>((D73*$B73)/12)+'บริหารโดยส่วนกลาง (ไม่ต้องกรอก)'!E28</f>
        <v>0</v>
      </c>
      <c r="F73" s="75"/>
      <c r="G73" s="62"/>
      <c r="H73" s="63">
        <f>((G73*$B73)/12)+'บริหารโดยส่วนกลาง (ไม่ต้องกรอก)'!H28+E73</f>
        <v>0</v>
      </c>
      <c r="I73" s="75"/>
      <c r="J73" s="62"/>
      <c r="K73" s="63">
        <f>((J73*$B73)/12)+'บริหารโดยส่วนกลาง (ไม่ต้องกรอก)'!K28+H73</f>
        <v>0</v>
      </c>
      <c r="L73" s="75"/>
      <c r="M73" s="62"/>
      <c r="N73" s="63">
        <f>((M73*$B73)/12)+'บริหารโดยส่วนกลาง (ไม่ต้องกรอก)'!N28+K73</f>
        <v>0</v>
      </c>
      <c r="O73" s="75"/>
      <c r="P73" s="62"/>
      <c r="Q73" s="63">
        <f>((P73*$B73)/12)+'บริหารโดยส่วนกลาง (ไม่ต้องกรอก)'!Q28+N73</f>
        <v>0</v>
      </c>
      <c r="R73" s="75"/>
      <c r="S73" s="62"/>
      <c r="T73" s="63">
        <f>((S73*$B73)/12)+'บริหารโดยส่วนกลาง (ไม่ต้องกรอก)'!T28+Q73</f>
        <v>0</v>
      </c>
      <c r="U73" s="75"/>
      <c r="V73" s="62"/>
      <c r="W73" s="63">
        <f>((V73*$B73)/12)+'บริหารโดยส่วนกลาง (ไม่ต้องกรอก)'!W28+T73</f>
        <v>0</v>
      </c>
      <c r="X73" s="75"/>
      <c r="Y73" s="62"/>
      <c r="Z73" s="63">
        <f>((Y73*$B73)/12)+'บริหารโดยส่วนกลาง (ไม่ต้องกรอก)'!Z28+W73</f>
        <v>0</v>
      </c>
      <c r="AA73" s="75"/>
      <c r="AB73" s="62"/>
      <c r="AC73" s="63">
        <f>((AB73*$B73)/12)+'บริหารโดยส่วนกลาง (ไม่ต้องกรอก)'!AC28+Z73</f>
        <v>0</v>
      </c>
      <c r="AD73" s="75"/>
      <c r="AE73" s="62"/>
      <c r="AF73" s="63">
        <f>((AE73*$B73)/12)+'บริหารโดยส่วนกลาง (ไม่ต้องกรอก)'!AF28+AC73</f>
        <v>0</v>
      </c>
      <c r="AG73" s="75"/>
      <c r="AH73" s="62"/>
      <c r="AI73" s="63">
        <f>((AH73*$B73)/12)+'บริหารโดยส่วนกลาง (ไม่ต้องกรอก)'!AI28+AF73</f>
        <v>0</v>
      </c>
      <c r="AJ73" s="75"/>
      <c r="AK73" s="62"/>
      <c r="AL73" s="63">
        <f>((AK73*$B73)/12)+'บริหารโดยส่วนกลาง (ไม่ต้องกรอก)'!AL28+AI73</f>
        <v>0</v>
      </c>
      <c r="AM73" s="86">
        <f t="shared" si="91"/>
        <v>0</v>
      </c>
      <c r="AN73" s="159"/>
      <c r="AO73" s="104">
        <f t="shared" si="92"/>
        <v>0</v>
      </c>
      <c r="AP73" s="104">
        <f t="shared" si="93"/>
        <v>0</v>
      </c>
      <c r="AQ73" s="104">
        <f t="shared" si="94"/>
        <v>0</v>
      </c>
      <c r="AR73" s="104">
        <f t="shared" si="95"/>
        <v>0</v>
      </c>
      <c r="AS73" s="104">
        <f t="shared" si="96"/>
        <v>0</v>
      </c>
      <c r="AT73" s="104">
        <f t="shared" si="97"/>
        <v>0</v>
      </c>
      <c r="AU73" s="104">
        <f t="shared" si="98"/>
        <v>0</v>
      </c>
      <c r="AV73" s="104">
        <f t="shared" si="99"/>
        <v>0</v>
      </c>
      <c r="AW73" s="104">
        <f t="shared" si="100"/>
        <v>0</v>
      </c>
      <c r="AX73" s="104">
        <f t="shared" si="101"/>
        <v>0</v>
      </c>
      <c r="AY73" s="104">
        <f t="shared" si="102"/>
        <v>0</v>
      </c>
      <c r="AZ73" s="104">
        <f t="shared" si="103"/>
        <v>0</v>
      </c>
    </row>
    <row r="74" spans="1:53" x14ac:dyDescent="0.25">
      <c r="A74" s="101" t="s">
        <v>88</v>
      </c>
      <c r="B74" s="529">
        <v>0.1</v>
      </c>
      <c r="C74" s="75"/>
      <c r="D74" s="62"/>
      <c r="E74" s="63">
        <f>((D74*$B74)/12)+'บริหารโดยส่วนกลาง (ไม่ต้องกรอก)'!E29</f>
        <v>0</v>
      </c>
      <c r="F74" s="75"/>
      <c r="G74" s="62"/>
      <c r="H74" s="63">
        <f>((G74*$B74)/12)+'บริหารโดยส่วนกลาง (ไม่ต้องกรอก)'!H29+E74</f>
        <v>0</v>
      </c>
      <c r="I74" s="75"/>
      <c r="J74" s="62"/>
      <c r="K74" s="63">
        <f>((J74*$B74)/12)+'บริหารโดยส่วนกลาง (ไม่ต้องกรอก)'!K29+H74</f>
        <v>0</v>
      </c>
      <c r="L74" s="75"/>
      <c r="M74" s="62"/>
      <c r="N74" s="63">
        <f>((M74*$B74)/12)+'บริหารโดยส่วนกลาง (ไม่ต้องกรอก)'!N29+K74</f>
        <v>0</v>
      </c>
      <c r="O74" s="75"/>
      <c r="P74" s="62"/>
      <c r="Q74" s="63">
        <f>((P74*$B74)/12)+'บริหารโดยส่วนกลาง (ไม่ต้องกรอก)'!Q29+N74</f>
        <v>0</v>
      </c>
      <c r="R74" s="75"/>
      <c r="S74" s="62"/>
      <c r="T74" s="63">
        <f>((S74*$B74)/12)+'บริหารโดยส่วนกลาง (ไม่ต้องกรอก)'!T29+Q74</f>
        <v>0</v>
      </c>
      <c r="U74" s="75"/>
      <c r="V74" s="62"/>
      <c r="W74" s="63">
        <f>((V74*$B74)/12)+'บริหารโดยส่วนกลาง (ไม่ต้องกรอก)'!W29+T74</f>
        <v>0</v>
      </c>
      <c r="X74" s="75"/>
      <c r="Y74" s="62"/>
      <c r="Z74" s="63">
        <f>((Y74*$B74)/12)+'บริหารโดยส่วนกลาง (ไม่ต้องกรอก)'!Z29+W74</f>
        <v>0</v>
      </c>
      <c r="AA74" s="75"/>
      <c r="AB74" s="62"/>
      <c r="AC74" s="63">
        <f>((AB74*$B74)/12)+'บริหารโดยส่วนกลาง (ไม่ต้องกรอก)'!AC29+Z74</f>
        <v>0</v>
      </c>
      <c r="AD74" s="75"/>
      <c r="AE74" s="62"/>
      <c r="AF74" s="63">
        <f>((AE74*$B74)/12)+'บริหารโดยส่วนกลาง (ไม่ต้องกรอก)'!AF29+AC74</f>
        <v>0</v>
      </c>
      <c r="AG74" s="75"/>
      <c r="AH74" s="62"/>
      <c r="AI74" s="63">
        <f>((AH74*$B74)/12)+'บริหารโดยส่วนกลาง (ไม่ต้องกรอก)'!AI29+AF74</f>
        <v>0</v>
      </c>
      <c r="AJ74" s="75"/>
      <c r="AK74" s="62"/>
      <c r="AL74" s="63">
        <f>((AK74*$B74)/12)+'บริหารโดยส่วนกลาง (ไม่ต้องกรอก)'!AL29+AI74</f>
        <v>0</v>
      </c>
      <c r="AM74" s="86">
        <f t="shared" si="91"/>
        <v>0</v>
      </c>
      <c r="AN74" s="159"/>
      <c r="AO74" s="104">
        <f t="shared" si="92"/>
        <v>0</v>
      </c>
      <c r="AP74" s="104">
        <f t="shared" si="93"/>
        <v>0</v>
      </c>
      <c r="AQ74" s="104">
        <f t="shared" si="94"/>
        <v>0</v>
      </c>
      <c r="AR74" s="104">
        <f t="shared" si="95"/>
        <v>0</v>
      </c>
      <c r="AS74" s="104">
        <f t="shared" si="96"/>
        <v>0</v>
      </c>
      <c r="AT74" s="104">
        <f t="shared" si="97"/>
        <v>0</v>
      </c>
      <c r="AU74" s="104">
        <f t="shared" si="98"/>
        <v>0</v>
      </c>
      <c r="AV74" s="104">
        <f t="shared" si="99"/>
        <v>0</v>
      </c>
      <c r="AW74" s="104">
        <f t="shared" si="100"/>
        <v>0</v>
      </c>
      <c r="AX74" s="104">
        <f t="shared" si="101"/>
        <v>0</v>
      </c>
      <c r="AY74" s="104">
        <f t="shared" si="102"/>
        <v>0</v>
      </c>
      <c r="AZ74" s="104">
        <f t="shared" si="103"/>
        <v>0</v>
      </c>
    </row>
    <row r="75" spans="1:53" x14ac:dyDescent="0.25">
      <c r="A75" s="101" t="s">
        <v>89</v>
      </c>
      <c r="B75" s="529">
        <v>0.05</v>
      </c>
      <c r="C75" s="75"/>
      <c r="D75" s="62"/>
      <c r="E75" s="63">
        <f>((D75*$B75)/12)+'บริหารโดยส่วนกลาง (ไม่ต้องกรอก)'!E30</f>
        <v>0</v>
      </c>
      <c r="F75" s="75"/>
      <c r="G75" s="62"/>
      <c r="H75" s="63">
        <f>((G75*$B75)/12)+'บริหารโดยส่วนกลาง (ไม่ต้องกรอก)'!H30+E75</f>
        <v>0</v>
      </c>
      <c r="I75" s="75"/>
      <c r="J75" s="62"/>
      <c r="K75" s="63">
        <f>((J75*$B75)/12)+'บริหารโดยส่วนกลาง (ไม่ต้องกรอก)'!K30+H75</f>
        <v>0</v>
      </c>
      <c r="L75" s="75"/>
      <c r="M75" s="62"/>
      <c r="N75" s="63">
        <f>((M75*$B75)/12)+'บริหารโดยส่วนกลาง (ไม่ต้องกรอก)'!N30+K75</f>
        <v>0</v>
      </c>
      <c r="O75" s="75"/>
      <c r="P75" s="62"/>
      <c r="Q75" s="63">
        <f>((P75*$B75)/12)+'บริหารโดยส่วนกลาง (ไม่ต้องกรอก)'!Q30+N75</f>
        <v>0</v>
      </c>
      <c r="R75" s="75"/>
      <c r="S75" s="62"/>
      <c r="T75" s="63">
        <f>((S75*$B75)/12)+'บริหารโดยส่วนกลาง (ไม่ต้องกรอก)'!T30+Q75</f>
        <v>0</v>
      </c>
      <c r="U75" s="75"/>
      <c r="V75" s="62"/>
      <c r="W75" s="63">
        <f>((V75*$B75)/12)+'บริหารโดยส่วนกลาง (ไม่ต้องกรอก)'!W30+T75</f>
        <v>0</v>
      </c>
      <c r="X75" s="75"/>
      <c r="Y75" s="62"/>
      <c r="Z75" s="63">
        <f>((Y75*$B75)/12)+'บริหารโดยส่วนกลาง (ไม่ต้องกรอก)'!Z30+W75</f>
        <v>0</v>
      </c>
      <c r="AA75" s="75"/>
      <c r="AB75" s="62"/>
      <c r="AC75" s="63">
        <f>((AB75*$B75)/12)+'บริหารโดยส่วนกลาง (ไม่ต้องกรอก)'!AC30+Z75</f>
        <v>0</v>
      </c>
      <c r="AD75" s="75"/>
      <c r="AE75" s="62"/>
      <c r="AF75" s="63">
        <f>((AE75*$B75)/12)+'บริหารโดยส่วนกลาง (ไม่ต้องกรอก)'!AF30+AC75</f>
        <v>0</v>
      </c>
      <c r="AG75" s="75"/>
      <c r="AH75" s="62"/>
      <c r="AI75" s="63">
        <f>((AH75*$B75)/12)+'บริหารโดยส่วนกลาง (ไม่ต้องกรอก)'!AI30+AF75</f>
        <v>0</v>
      </c>
      <c r="AJ75" s="75"/>
      <c r="AK75" s="62"/>
      <c r="AL75" s="63">
        <f>((AK75*$B75)/12)+'บริหารโดยส่วนกลาง (ไม่ต้องกรอก)'!AL30+AI75</f>
        <v>0</v>
      </c>
      <c r="AM75" s="86">
        <f t="shared" si="91"/>
        <v>0</v>
      </c>
      <c r="AN75" s="159"/>
      <c r="AO75" s="104">
        <f t="shared" si="92"/>
        <v>0</v>
      </c>
      <c r="AP75" s="104">
        <f t="shared" si="93"/>
        <v>0</v>
      </c>
      <c r="AQ75" s="104">
        <f t="shared" si="94"/>
        <v>0</v>
      </c>
      <c r="AR75" s="104">
        <f t="shared" si="95"/>
        <v>0</v>
      </c>
      <c r="AS75" s="104">
        <f t="shared" si="96"/>
        <v>0</v>
      </c>
      <c r="AT75" s="104">
        <f t="shared" si="97"/>
        <v>0</v>
      </c>
      <c r="AU75" s="104">
        <f t="shared" si="98"/>
        <v>0</v>
      </c>
      <c r="AV75" s="104">
        <f t="shared" si="99"/>
        <v>0</v>
      </c>
      <c r="AW75" s="104">
        <f t="shared" si="100"/>
        <v>0</v>
      </c>
      <c r="AX75" s="104">
        <f t="shared" si="101"/>
        <v>0</v>
      </c>
      <c r="AY75" s="104">
        <f t="shared" si="102"/>
        <v>0</v>
      </c>
      <c r="AZ75" s="104">
        <f t="shared" si="103"/>
        <v>0</v>
      </c>
    </row>
    <row r="76" spans="1:53" x14ac:dyDescent="0.25">
      <c r="A76" s="101" t="s">
        <v>90</v>
      </c>
      <c r="B76" s="529">
        <v>0.2</v>
      </c>
      <c r="C76" s="78"/>
      <c r="D76" s="61">
        <f>เครื่องมือเครื่องใช้!E51</f>
        <v>0</v>
      </c>
      <c r="E76" s="63">
        <f>((D76*$B76)/12)+'บริหารโดยส่วนกลาง (ไม่ต้องกรอก)'!E31</f>
        <v>0</v>
      </c>
      <c r="F76" s="78"/>
      <c r="G76" s="61">
        <f>เครื่องมือเครื่องใช้!F51</f>
        <v>0</v>
      </c>
      <c r="H76" s="63">
        <f>((G76*$B76)/12)+'บริหารโดยส่วนกลาง (ไม่ต้องกรอก)'!H31+E76</f>
        <v>0</v>
      </c>
      <c r="I76" s="78"/>
      <c r="J76" s="61">
        <f>เครื่องมือเครื่องใช้!G51</f>
        <v>0</v>
      </c>
      <c r="K76" s="63">
        <f>((J76*$B76)/12)+'บริหารโดยส่วนกลาง (ไม่ต้องกรอก)'!K31+H76</f>
        <v>0</v>
      </c>
      <c r="L76" s="78"/>
      <c r="M76" s="61">
        <f>เครื่องมือเครื่องใช้!H51</f>
        <v>0</v>
      </c>
      <c r="N76" s="63">
        <f>((M76*$B76)/12)+'บริหารโดยส่วนกลาง (ไม่ต้องกรอก)'!N31+K76</f>
        <v>0</v>
      </c>
      <c r="O76" s="78"/>
      <c r="P76" s="61">
        <f>เครื่องมือเครื่องใช้!I51</f>
        <v>0</v>
      </c>
      <c r="Q76" s="63">
        <f>((P76*$B76)/12)+'บริหารโดยส่วนกลาง (ไม่ต้องกรอก)'!Q31+N76</f>
        <v>0</v>
      </c>
      <c r="R76" s="78"/>
      <c r="S76" s="61">
        <f>เครื่องมือเครื่องใช้!J51</f>
        <v>0</v>
      </c>
      <c r="T76" s="63">
        <f>((S76*$B76)/12)+'บริหารโดยส่วนกลาง (ไม่ต้องกรอก)'!T31+Q76</f>
        <v>0</v>
      </c>
      <c r="U76" s="78"/>
      <c r="V76" s="61">
        <f>เครื่องมือเครื่องใช้!K51</f>
        <v>0</v>
      </c>
      <c r="W76" s="63">
        <f>((V76*$B76)/12)+'บริหารโดยส่วนกลาง (ไม่ต้องกรอก)'!W31+T76</f>
        <v>0</v>
      </c>
      <c r="X76" s="78"/>
      <c r="Y76" s="61">
        <f>เครื่องมือเครื่องใช้!L51</f>
        <v>0</v>
      </c>
      <c r="Z76" s="63">
        <f>((Y76*$B76)/12)+'บริหารโดยส่วนกลาง (ไม่ต้องกรอก)'!Z31+W76</f>
        <v>0</v>
      </c>
      <c r="AA76" s="78"/>
      <c r="AB76" s="61">
        <f>เครื่องมือเครื่องใช้!M51</f>
        <v>0</v>
      </c>
      <c r="AC76" s="63">
        <f>((AB76*$B76)/12)+'บริหารโดยส่วนกลาง (ไม่ต้องกรอก)'!AC31+Z76</f>
        <v>0</v>
      </c>
      <c r="AD76" s="78"/>
      <c r="AE76" s="61">
        <f>เครื่องมือเครื่องใช้!N51</f>
        <v>0</v>
      </c>
      <c r="AF76" s="63">
        <f>((AE76*$B76)/12)+'บริหารโดยส่วนกลาง (ไม่ต้องกรอก)'!AF31+AC76</f>
        <v>0</v>
      </c>
      <c r="AG76" s="78"/>
      <c r="AH76" s="61">
        <f>เครื่องมือเครื่องใช้!O51</f>
        <v>0</v>
      </c>
      <c r="AI76" s="63">
        <f>((AH76*$B76)/12)+'บริหารโดยส่วนกลาง (ไม่ต้องกรอก)'!AI31+AF76</f>
        <v>0</v>
      </c>
      <c r="AJ76" s="78"/>
      <c r="AK76" s="61">
        <f>เครื่องมือเครื่องใช้!P51</f>
        <v>0</v>
      </c>
      <c r="AL76" s="63">
        <f>((AK76*$B76)/12)+'บริหารโดยส่วนกลาง (ไม่ต้องกรอก)'!AL31+AI76</f>
        <v>0</v>
      </c>
      <c r="AM76" s="86">
        <f t="shared" si="91"/>
        <v>0</v>
      </c>
      <c r="AN76" s="159"/>
      <c r="AO76" s="104">
        <f t="shared" si="92"/>
        <v>0</v>
      </c>
      <c r="AP76" s="104">
        <f t="shared" si="93"/>
        <v>0</v>
      </c>
      <c r="AQ76" s="104">
        <f t="shared" si="94"/>
        <v>0</v>
      </c>
      <c r="AR76" s="104">
        <f t="shared" si="95"/>
        <v>0</v>
      </c>
      <c r="AS76" s="104">
        <f t="shared" si="96"/>
        <v>0</v>
      </c>
      <c r="AT76" s="104">
        <f t="shared" si="97"/>
        <v>0</v>
      </c>
      <c r="AU76" s="104">
        <f t="shared" si="98"/>
        <v>0</v>
      </c>
      <c r="AV76" s="104">
        <f t="shared" si="99"/>
        <v>0</v>
      </c>
      <c r="AW76" s="104">
        <f t="shared" si="100"/>
        <v>0</v>
      </c>
      <c r="AX76" s="104">
        <f t="shared" si="101"/>
        <v>0</v>
      </c>
      <c r="AY76" s="104">
        <f t="shared" si="102"/>
        <v>0</v>
      </c>
      <c r="AZ76" s="104">
        <f t="shared" si="103"/>
        <v>0</v>
      </c>
    </row>
    <row r="77" spans="1:53" x14ac:dyDescent="0.25">
      <c r="A77" s="101" t="s">
        <v>91</v>
      </c>
      <c r="B77" s="529">
        <v>0.2</v>
      </c>
      <c r="C77" s="78"/>
      <c r="D77" s="61">
        <f>เฟอร์นิเจอร์!E51</f>
        <v>0</v>
      </c>
      <c r="E77" s="63">
        <f>((D77*$B77)/12)+'บริหารโดยส่วนกลาง (ไม่ต้องกรอก)'!E32</f>
        <v>0</v>
      </c>
      <c r="F77" s="78"/>
      <c r="G77" s="61">
        <f>เฟอร์นิเจอร์!F51</f>
        <v>0</v>
      </c>
      <c r="H77" s="63">
        <f>((G77*$B77)/12)+'บริหารโดยส่วนกลาง (ไม่ต้องกรอก)'!H32+E77</f>
        <v>0</v>
      </c>
      <c r="I77" s="78"/>
      <c r="J77" s="61">
        <f>เฟอร์นิเจอร์!G51</f>
        <v>0</v>
      </c>
      <c r="K77" s="63">
        <f>((J77*$B77)/12)+'บริหารโดยส่วนกลาง (ไม่ต้องกรอก)'!K32+H77</f>
        <v>0</v>
      </c>
      <c r="L77" s="78"/>
      <c r="M77" s="61">
        <f>เฟอร์นิเจอร์!H51</f>
        <v>0</v>
      </c>
      <c r="N77" s="63">
        <f>((M77*$B77)/12)+'บริหารโดยส่วนกลาง (ไม่ต้องกรอก)'!N32+K77</f>
        <v>0</v>
      </c>
      <c r="O77" s="78"/>
      <c r="P77" s="61">
        <f>เฟอร์นิเจอร์!I51</f>
        <v>0</v>
      </c>
      <c r="Q77" s="63">
        <f>((P77*$B77)/12)+'บริหารโดยส่วนกลาง (ไม่ต้องกรอก)'!Q32+N77</f>
        <v>0</v>
      </c>
      <c r="R77" s="78"/>
      <c r="S77" s="61">
        <f>เฟอร์นิเจอร์!J51</f>
        <v>0</v>
      </c>
      <c r="T77" s="63">
        <f>((S77*$B77)/12)+'บริหารโดยส่วนกลาง (ไม่ต้องกรอก)'!T32+Q77</f>
        <v>0</v>
      </c>
      <c r="U77" s="78"/>
      <c r="V77" s="61">
        <f>เฟอร์นิเจอร์!K51</f>
        <v>0</v>
      </c>
      <c r="W77" s="63">
        <f>((V77*$B77)/12)+'บริหารโดยส่วนกลาง (ไม่ต้องกรอก)'!W32+T77</f>
        <v>0</v>
      </c>
      <c r="X77" s="78"/>
      <c r="Y77" s="61">
        <f>เฟอร์นิเจอร์!L51</f>
        <v>0</v>
      </c>
      <c r="Z77" s="63">
        <f>((Y77*$B77)/12)+'บริหารโดยส่วนกลาง (ไม่ต้องกรอก)'!Z32+W77</f>
        <v>0</v>
      </c>
      <c r="AA77" s="78"/>
      <c r="AB77" s="61">
        <f>เฟอร์นิเจอร์!M51</f>
        <v>0</v>
      </c>
      <c r="AC77" s="63">
        <f>((AB77*$B77)/12)+'บริหารโดยส่วนกลาง (ไม่ต้องกรอก)'!AC32+Z77</f>
        <v>0</v>
      </c>
      <c r="AD77" s="78"/>
      <c r="AE77" s="61">
        <f>เฟอร์นิเจอร์!N51</f>
        <v>0</v>
      </c>
      <c r="AF77" s="63">
        <f>((AE77*$B77)/12)+'บริหารโดยส่วนกลาง (ไม่ต้องกรอก)'!AF32+AC77</f>
        <v>0</v>
      </c>
      <c r="AG77" s="78"/>
      <c r="AH77" s="61">
        <f>เฟอร์นิเจอร์!O51</f>
        <v>0</v>
      </c>
      <c r="AI77" s="63">
        <f>((AH77*$B77)/12)+'บริหารโดยส่วนกลาง (ไม่ต้องกรอก)'!AI32+AF77</f>
        <v>0</v>
      </c>
      <c r="AJ77" s="78"/>
      <c r="AK77" s="61">
        <f>เฟอร์นิเจอร์!P51</f>
        <v>0</v>
      </c>
      <c r="AL77" s="63">
        <f>((AK77*$B77)/12)+'บริหารโดยส่วนกลาง (ไม่ต้องกรอก)'!AL32+AI77</f>
        <v>0</v>
      </c>
      <c r="AM77" s="86">
        <f t="shared" si="91"/>
        <v>0</v>
      </c>
      <c r="AN77" s="407"/>
      <c r="AO77" s="104">
        <f t="shared" si="92"/>
        <v>0</v>
      </c>
      <c r="AP77" s="104">
        <f t="shared" si="93"/>
        <v>0</v>
      </c>
      <c r="AQ77" s="104">
        <f t="shared" si="94"/>
        <v>0</v>
      </c>
      <c r="AR77" s="104">
        <f t="shared" si="95"/>
        <v>0</v>
      </c>
      <c r="AS77" s="104">
        <f t="shared" si="96"/>
        <v>0</v>
      </c>
      <c r="AT77" s="104">
        <f t="shared" si="97"/>
        <v>0</v>
      </c>
      <c r="AU77" s="104">
        <f t="shared" si="98"/>
        <v>0</v>
      </c>
      <c r="AV77" s="104">
        <f t="shared" si="99"/>
        <v>0</v>
      </c>
      <c r="AW77" s="104">
        <f t="shared" si="100"/>
        <v>0</v>
      </c>
      <c r="AX77" s="104">
        <f t="shared" si="101"/>
        <v>0</v>
      </c>
      <c r="AY77" s="104">
        <f t="shared" si="102"/>
        <v>0</v>
      </c>
      <c r="AZ77" s="104">
        <f t="shared" si="103"/>
        <v>0</v>
      </c>
    </row>
    <row r="78" spans="1:53" x14ac:dyDescent="0.25">
      <c r="A78" s="101" t="s">
        <v>92</v>
      </c>
      <c r="B78" s="529">
        <v>0.2</v>
      </c>
      <c r="C78" s="75"/>
      <c r="D78" s="62"/>
      <c r="E78" s="63">
        <f>((D78*$B78)/12)+'บริหารโดยส่วนกลาง (ไม่ต้องกรอก)'!E33</f>
        <v>0</v>
      </c>
      <c r="F78" s="75"/>
      <c r="G78" s="62"/>
      <c r="H78" s="63">
        <f>((G78*$B78)/12)+'บริหารโดยส่วนกลาง (ไม่ต้องกรอก)'!H33+E78</f>
        <v>0</v>
      </c>
      <c r="I78" s="75"/>
      <c r="J78" s="62"/>
      <c r="K78" s="63">
        <f>((J78*$B78)/12)+'บริหารโดยส่วนกลาง (ไม่ต้องกรอก)'!K33+H78</f>
        <v>0</v>
      </c>
      <c r="L78" s="75"/>
      <c r="M78" s="62"/>
      <c r="N78" s="63">
        <f>((M78*$B78)/12)+'บริหารโดยส่วนกลาง (ไม่ต้องกรอก)'!N33+K78</f>
        <v>0</v>
      </c>
      <c r="O78" s="75"/>
      <c r="P78" s="62"/>
      <c r="Q78" s="63">
        <f>((P78*$B78)/12)+'บริหารโดยส่วนกลาง (ไม่ต้องกรอก)'!Q33+N78</f>
        <v>0</v>
      </c>
      <c r="R78" s="75"/>
      <c r="S78" s="62"/>
      <c r="T78" s="63">
        <f>((S78*$B78)/12)+'บริหารโดยส่วนกลาง (ไม่ต้องกรอก)'!T33+Q78</f>
        <v>0</v>
      </c>
      <c r="U78" s="75"/>
      <c r="V78" s="62"/>
      <c r="W78" s="63">
        <f>((V78*$B78)/12)+'บริหารโดยส่วนกลาง (ไม่ต้องกรอก)'!W33+T78</f>
        <v>0</v>
      </c>
      <c r="X78" s="75"/>
      <c r="Y78" s="62"/>
      <c r="Z78" s="63">
        <f>((Y78*$B78)/12)+'บริหารโดยส่วนกลาง (ไม่ต้องกรอก)'!Z33+W78</f>
        <v>0</v>
      </c>
      <c r="AA78" s="75"/>
      <c r="AB78" s="62"/>
      <c r="AC78" s="63">
        <f>((AB78*$B78)/12)+'บริหารโดยส่วนกลาง (ไม่ต้องกรอก)'!AC33+Z78</f>
        <v>0</v>
      </c>
      <c r="AD78" s="75"/>
      <c r="AE78" s="62"/>
      <c r="AF78" s="63">
        <f>((AE78*$B78)/12)+'บริหารโดยส่วนกลาง (ไม่ต้องกรอก)'!AF33+AC78</f>
        <v>0</v>
      </c>
      <c r="AG78" s="75"/>
      <c r="AH78" s="62"/>
      <c r="AI78" s="63">
        <f>((AH78*$B78)/12)+'บริหารโดยส่วนกลาง (ไม่ต้องกรอก)'!AI33+AF78</f>
        <v>0</v>
      </c>
      <c r="AJ78" s="75"/>
      <c r="AK78" s="62"/>
      <c r="AL78" s="63">
        <f>((AK78*$B78)/12)+'บริหารโดยส่วนกลาง (ไม่ต้องกรอก)'!AL33+AI78</f>
        <v>0</v>
      </c>
      <c r="AM78" s="86">
        <f t="shared" si="91"/>
        <v>0</v>
      </c>
      <c r="AN78" s="159"/>
      <c r="AO78" s="104">
        <f t="shared" si="92"/>
        <v>0</v>
      </c>
      <c r="AP78" s="104">
        <f t="shared" si="93"/>
        <v>0</v>
      </c>
      <c r="AQ78" s="104">
        <f t="shared" si="94"/>
        <v>0</v>
      </c>
      <c r="AR78" s="104">
        <f t="shared" si="95"/>
        <v>0</v>
      </c>
      <c r="AS78" s="104">
        <f t="shared" si="96"/>
        <v>0</v>
      </c>
      <c r="AT78" s="104">
        <f t="shared" si="97"/>
        <v>0</v>
      </c>
      <c r="AU78" s="104">
        <f t="shared" si="98"/>
        <v>0</v>
      </c>
      <c r="AV78" s="104">
        <f t="shared" si="99"/>
        <v>0</v>
      </c>
      <c r="AW78" s="104">
        <f t="shared" si="100"/>
        <v>0</v>
      </c>
      <c r="AX78" s="104">
        <f t="shared" si="101"/>
        <v>0</v>
      </c>
      <c r="AY78" s="104">
        <f t="shared" si="102"/>
        <v>0</v>
      </c>
      <c r="AZ78" s="104">
        <f t="shared" si="103"/>
        <v>0</v>
      </c>
    </row>
    <row r="79" spans="1:53" ht="12" thickBot="1" x14ac:dyDescent="0.3">
      <c r="A79" s="102" t="s">
        <v>93</v>
      </c>
      <c r="B79" s="530">
        <v>0.2</v>
      </c>
      <c r="C79" s="77"/>
      <c r="D79" s="64"/>
      <c r="E79" s="65">
        <f>((D79*$B79)/12)+'บริหารโดยส่วนกลาง (ไม่ต้องกรอก)'!E34</f>
        <v>0</v>
      </c>
      <c r="F79" s="77"/>
      <c r="G79" s="64"/>
      <c r="H79" s="63">
        <f>((G79*$B79)/12)+'บริหารโดยส่วนกลาง (ไม่ต้องกรอก)'!H34+E79</f>
        <v>0</v>
      </c>
      <c r="I79" s="77"/>
      <c r="J79" s="64"/>
      <c r="K79" s="63">
        <f>((J79*$B79)/12)+'บริหารโดยส่วนกลาง (ไม่ต้องกรอก)'!K34+H79</f>
        <v>0</v>
      </c>
      <c r="L79" s="77"/>
      <c r="M79" s="64"/>
      <c r="N79" s="63">
        <f>((M79*$B79)/12)+'บริหารโดยส่วนกลาง (ไม่ต้องกรอก)'!N34+K79</f>
        <v>0</v>
      </c>
      <c r="O79" s="77"/>
      <c r="P79" s="64"/>
      <c r="Q79" s="63">
        <f>((P79*$B79)/12)+'บริหารโดยส่วนกลาง (ไม่ต้องกรอก)'!Q34+N79</f>
        <v>0</v>
      </c>
      <c r="R79" s="77"/>
      <c r="S79" s="64"/>
      <c r="T79" s="63">
        <f>((S79*$B79)/12)+'บริหารโดยส่วนกลาง (ไม่ต้องกรอก)'!T34+Q79</f>
        <v>0</v>
      </c>
      <c r="U79" s="77"/>
      <c r="V79" s="64"/>
      <c r="W79" s="63">
        <f>((V79*$B79)/12)+'บริหารโดยส่วนกลาง (ไม่ต้องกรอก)'!W34+T79</f>
        <v>0</v>
      </c>
      <c r="X79" s="77"/>
      <c r="Y79" s="64"/>
      <c r="Z79" s="63">
        <f>((Y79*$B79)/12)+'บริหารโดยส่วนกลาง (ไม่ต้องกรอก)'!Z34+W79</f>
        <v>0</v>
      </c>
      <c r="AA79" s="77"/>
      <c r="AB79" s="64"/>
      <c r="AC79" s="63">
        <f>((AB79*$B79)/12)+'บริหารโดยส่วนกลาง (ไม่ต้องกรอก)'!AC34+Z79</f>
        <v>0</v>
      </c>
      <c r="AD79" s="77"/>
      <c r="AE79" s="64"/>
      <c r="AF79" s="63">
        <f>((AE79*$B79)/12)+'บริหารโดยส่วนกลาง (ไม่ต้องกรอก)'!AF34+AC79</f>
        <v>0</v>
      </c>
      <c r="AG79" s="77"/>
      <c r="AH79" s="64"/>
      <c r="AI79" s="63">
        <f>((AH79*$B79)/12)+'บริหารโดยส่วนกลาง (ไม่ต้องกรอก)'!AI34+AF79</f>
        <v>0</v>
      </c>
      <c r="AJ79" s="77"/>
      <c r="AK79" s="64"/>
      <c r="AL79" s="63">
        <f>((AK79*$B79)/12)+'บริหารโดยส่วนกลาง (ไม่ต้องกรอก)'!AL34+AI79</f>
        <v>0</v>
      </c>
      <c r="AM79" s="87">
        <f t="shared" si="91"/>
        <v>0</v>
      </c>
      <c r="AN79" s="159"/>
      <c r="AO79" s="104">
        <f t="shared" si="92"/>
        <v>0</v>
      </c>
      <c r="AP79" s="104">
        <f t="shared" si="93"/>
        <v>0</v>
      </c>
      <c r="AQ79" s="104">
        <f t="shared" si="94"/>
        <v>0</v>
      </c>
      <c r="AR79" s="104">
        <f t="shared" si="95"/>
        <v>0</v>
      </c>
      <c r="AS79" s="104">
        <f t="shared" si="96"/>
        <v>0</v>
      </c>
      <c r="AT79" s="104">
        <f t="shared" si="97"/>
        <v>0</v>
      </c>
      <c r="AU79" s="104">
        <f t="shared" si="98"/>
        <v>0</v>
      </c>
      <c r="AV79" s="104">
        <f t="shared" si="99"/>
        <v>0</v>
      </c>
      <c r="AW79" s="104">
        <f t="shared" si="100"/>
        <v>0</v>
      </c>
      <c r="AX79" s="104">
        <f t="shared" si="101"/>
        <v>0</v>
      </c>
      <c r="AY79" s="104">
        <f t="shared" si="102"/>
        <v>0</v>
      </c>
      <c r="AZ79" s="104">
        <f t="shared" si="103"/>
        <v>0</v>
      </c>
    </row>
    <row r="80" spans="1:53" s="127" customFormat="1" x14ac:dyDescent="0.25">
      <c r="A80" s="262" t="s">
        <v>111</v>
      </c>
      <c r="B80" s="263"/>
      <c r="C80" s="264"/>
      <c r="D80" s="133">
        <f>SUM(D12:D79)</f>
        <v>0</v>
      </c>
      <c r="E80" s="133"/>
      <c r="F80" s="264"/>
      <c r="G80" s="133">
        <f>SUM(G12:G79)</f>
        <v>0</v>
      </c>
      <c r="H80" s="133"/>
      <c r="I80" s="264"/>
      <c r="J80" s="133">
        <f>SUM(J12:J79)</f>
        <v>0</v>
      </c>
      <c r="K80" s="133"/>
      <c r="L80" s="264"/>
      <c r="M80" s="133">
        <f>SUM(M12:M79)</f>
        <v>0</v>
      </c>
      <c r="N80" s="133"/>
      <c r="O80" s="264"/>
      <c r="P80" s="133">
        <f>SUM(P12:P79)</f>
        <v>0</v>
      </c>
      <c r="Q80" s="133"/>
      <c r="R80" s="264"/>
      <c r="S80" s="133">
        <f>SUM(S12:S79)</f>
        <v>0</v>
      </c>
      <c r="T80" s="133"/>
      <c r="U80" s="264"/>
      <c r="V80" s="133">
        <f>SUM(V12:V79)</f>
        <v>0</v>
      </c>
      <c r="W80" s="133"/>
      <c r="X80" s="264"/>
      <c r="Y80" s="133">
        <f>SUM(Y12:Y79)</f>
        <v>0</v>
      </c>
      <c r="Z80" s="133"/>
      <c r="AA80" s="264"/>
      <c r="AB80" s="133">
        <f>SUM(AB12:AB79)</f>
        <v>0</v>
      </c>
      <c r="AC80" s="133"/>
      <c r="AD80" s="133"/>
      <c r="AE80" s="133">
        <f>SUM(AE12:AE79)</f>
        <v>0</v>
      </c>
      <c r="AF80" s="133"/>
      <c r="AG80" s="264"/>
      <c r="AH80" s="133">
        <f>SUM(AH12:AH79)</f>
        <v>0</v>
      </c>
      <c r="AI80" s="133"/>
      <c r="AJ80" s="264"/>
      <c r="AK80" s="133">
        <f>SUM(AK12:AK79)</f>
        <v>0</v>
      </c>
      <c r="AL80" s="133"/>
      <c r="AM80" s="133">
        <f>SUM(C80:AL80)</f>
        <v>0</v>
      </c>
      <c r="AZ80" s="127">
        <f t="shared" si="103"/>
        <v>0</v>
      </c>
      <c r="BA80" s="518"/>
    </row>
    <row r="81" spans="1:53" s="12" customFormat="1" x14ac:dyDescent="0.25">
      <c r="A81" s="160"/>
      <c r="B81" s="161"/>
      <c r="C81" s="162"/>
      <c r="D81" s="88"/>
      <c r="E81" s="88"/>
      <c r="F81" s="88"/>
      <c r="G81" s="88"/>
      <c r="H81" s="88"/>
      <c r="I81" s="88"/>
      <c r="J81" s="88"/>
      <c r="K81" s="88"/>
      <c r="L81" s="162"/>
      <c r="M81" s="88"/>
      <c r="N81" s="88"/>
      <c r="O81" s="88"/>
      <c r="P81" s="88"/>
      <c r="Q81" s="88"/>
      <c r="R81" s="88"/>
      <c r="S81" s="88"/>
      <c r="T81" s="88"/>
      <c r="U81" s="162"/>
      <c r="V81" s="88"/>
      <c r="W81" s="88"/>
      <c r="X81" s="88"/>
      <c r="Y81" s="88"/>
      <c r="Z81" s="88"/>
      <c r="AA81" s="88"/>
      <c r="AB81" s="88"/>
      <c r="AC81" s="88"/>
      <c r="AD81" s="162"/>
      <c r="AE81" s="88"/>
      <c r="AF81" s="88"/>
      <c r="AG81" s="88"/>
      <c r="AH81" s="88"/>
      <c r="AI81" s="88"/>
      <c r="AJ81" s="88"/>
      <c r="AK81" s="88"/>
      <c r="AL81" s="88"/>
      <c r="AM81" s="88"/>
    </row>
    <row r="82" spans="1:53" s="12" customFormat="1" ht="15" customHeight="1" x14ac:dyDescent="0.25">
      <c r="A82" s="160"/>
      <c r="B82" s="161"/>
      <c r="C82" s="479"/>
      <c r="D82" s="88"/>
      <c r="E82" s="88"/>
      <c r="F82" s="88"/>
      <c r="G82" s="88"/>
      <c r="H82" s="88"/>
      <c r="I82" s="88"/>
      <c r="J82" s="88"/>
      <c r="K82" s="88"/>
      <c r="L82" s="162"/>
      <c r="M82" s="88"/>
      <c r="N82" s="88"/>
      <c r="O82" s="88"/>
      <c r="P82" s="88"/>
      <c r="Q82" s="88"/>
      <c r="R82" s="88"/>
      <c r="S82" s="88"/>
      <c r="T82" s="88"/>
      <c r="U82" s="162"/>
      <c r="V82" s="88"/>
      <c r="W82" s="88"/>
      <c r="X82" s="88"/>
      <c r="Y82" s="88"/>
      <c r="Z82" s="88"/>
      <c r="AA82" s="88"/>
      <c r="AB82" s="88"/>
      <c r="AC82" s="88"/>
      <c r="AD82" s="162"/>
      <c r="AE82" s="88"/>
      <c r="AF82" s="88"/>
      <c r="AG82" s="88"/>
      <c r="AH82" s="88"/>
      <c r="AI82" s="88"/>
      <c r="AJ82" s="88"/>
      <c r="AK82" s="746" t="s">
        <v>682</v>
      </c>
      <c r="AL82" s="746"/>
      <c r="AM82" s="480"/>
      <c r="AN82" s="159"/>
    </row>
    <row r="83" spans="1:53" s="12" customFormat="1" ht="15" customHeight="1" x14ac:dyDescent="0.25">
      <c r="A83" s="160"/>
      <c r="B83" s="161"/>
      <c r="C83" s="479"/>
      <c r="D83" s="88"/>
      <c r="E83" s="88"/>
      <c r="F83" s="88"/>
      <c r="G83" s="88"/>
      <c r="H83" s="88"/>
      <c r="I83" s="88"/>
      <c r="J83" s="88"/>
      <c r="K83" s="88"/>
      <c r="L83" s="162"/>
      <c r="M83" s="88"/>
      <c r="N83" s="88"/>
      <c r="O83" s="88"/>
      <c r="P83" s="88"/>
      <c r="Q83" s="88"/>
      <c r="R83" s="88"/>
      <c r="S83" s="88"/>
      <c r="T83" s="88"/>
      <c r="U83" s="162"/>
      <c r="V83" s="88"/>
      <c r="W83" s="88"/>
      <c r="X83" s="88"/>
      <c r="Y83" s="88"/>
      <c r="Z83" s="88"/>
      <c r="AA83" s="88"/>
      <c r="AB83" s="88"/>
      <c r="AC83" s="88"/>
      <c r="AD83" s="162"/>
      <c r="AE83" s="88"/>
      <c r="AF83" s="88"/>
      <c r="AG83" s="88"/>
      <c r="AH83" s="88"/>
      <c r="AI83" s="88"/>
      <c r="AJ83" s="88"/>
      <c r="AK83" s="747" t="s">
        <v>140</v>
      </c>
      <c r="AL83" s="747"/>
      <c r="AM83" s="481">
        <f>AM14</f>
        <v>0</v>
      </c>
      <c r="AN83" s="159"/>
    </row>
    <row r="84" spans="1:53" s="12" customFormat="1" ht="15" customHeight="1" x14ac:dyDescent="0.25">
      <c r="A84" s="160"/>
      <c r="B84" s="161"/>
      <c r="C84" s="479"/>
      <c r="D84" s="88"/>
      <c r="E84" s="88"/>
      <c r="F84" s="88"/>
      <c r="G84" s="88"/>
      <c r="H84" s="88"/>
      <c r="I84" s="88"/>
      <c r="J84" s="88"/>
      <c r="K84" s="88"/>
      <c r="L84" s="162"/>
      <c r="M84" s="88"/>
      <c r="N84" s="88"/>
      <c r="O84" s="88"/>
      <c r="P84" s="88"/>
      <c r="Q84" s="88"/>
      <c r="R84" s="88"/>
      <c r="S84" s="88"/>
      <c r="T84" s="88"/>
      <c r="U84" s="162"/>
      <c r="V84" s="88"/>
      <c r="W84" s="88"/>
      <c r="X84" s="88"/>
      <c r="Y84" s="88"/>
      <c r="Z84" s="88"/>
      <c r="AA84" s="88"/>
      <c r="AB84" s="88"/>
      <c r="AC84" s="88"/>
      <c r="AD84" s="162"/>
      <c r="AE84" s="88"/>
      <c r="AF84" s="88"/>
      <c r="AG84" s="88"/>
      <c r="AH84" s="88"/>
      <c r="AI84" s="88"/>
      <c r="AJ84" s="88"/>
      <c r="AK84" s="747" t="s">
        <v>683</v>
      </c>
      <c r="AL84" s="747"/>
      <c r="AM84" s="481">
        <f>SUM(AM20:AM27)</f>
        <v>0</v>
      </c>
      <c r="AN84" s="159"/>
    </row>
    <row r="85" spans="1:53" s="12" customFormat="1" ht="15" customHeight="1" x14ac:dyDescent="0.25">
      <c r="A85" s="160"/>
      <c r="B85" s="161"/>
      <c r="C85" s="479"/>
      <c r="D85" s="88"/>
      <c r="E85" s="88"/>
      <c r="F85" s="88"/>
      <c r="G85" s="88"/>
      <c r="H85" s="88"/>
      <c r="I85" s="88"/>
      <c r="J85" s="88"/>
      <c r="K85" s="88"/>
      <c r="L85" s="162"/>
      <c r="M85" s="88"/>
      <c r="N85" s="88"/>
      <c r="O85" s="88"/>
      <c r="P85" s="88"/>
      <c r="Q85" s="88"/>
      <c r="R85" s="88"/>
      <c r="S85" s="88"/>
      <c r="T85" s="88"/>
      <c r="U85" s="162"/>
      <c r="V85" s="88"/>
      <c r="W85" s="88"/>
      <c r="X85" s="88"/>
      <c r="Y85" s="88"/>
      <c r="Z85" s="88"/>
      <c r="AA85" s="88"/>
      <c r="AB85" s="88"/>
      <c r="AC85" s="88"/>
      <c r="AD85" s="162"/>
      <c r="AE85" s="88"/>
      <c r="AF85" s="88"/>
      <c r="AG85" s="88"/>
      <c r="AH85" s="88"/>
      <c r="AI85" s="88"/>
      <c r="AJ85" s="88"/>
      <c r="AK85" s="748" t="s">
        <v>94</v>
      </c>
      <c r="AL85" s="748"/>
      <c r="AM85" s="482">
        <f>SUM(AM83:AM84)</f>
        <v>0</v>
      </c>
      <c r="AN85" s="159"/>
    </row>
    <row r="86" spans="1:53" s="12" customFormat="1" ht="15" customHeight="1" x14ac:dyDescent="0.25">
      <c r="B86" s="161"/>
      <c r="C86" s="479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746" t="s">
        <v>684</v>
      </c>
      <c r="AL86" s="746"/>
      <c r="AM86" s="480"/>
      <c r="AN86" s="159"/>
      <c r="AO86" s="483"/>
      <c r="AP86" s="483"/>
      <c r="AQ86" s="483"/>
      <c r="AR86" s="483"/>
      <c r="AS86" s="483"/>
      <c r="AT86" s="483"/>
      <c r="AU86" s="483"/>
      <c r="AV86" s="483"/>
      <c r="AW86" s="483"/>
      <c r="AX86" s="483"/>
      <c r="AY86" s="483"/>
      <c r="AZ86" s="483"/>
    </row>
    <row r="87" spans="1:53" s="12" customFormat="1" ht="15" customHeight="1" x14ac:dyDescent="0.25">
      <c r="B87" s="161"/>
      <c r="C87" s="479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747" t="s">
        <v>182</v>
      </c>
      <c r="AL87" s="747"/>
      <c r="AM87" s="481">
        <f>AM35+AM36+AM37</f>
        <v>0</v>
      </c>
      <c r="AN87" s="159"/>
      <c r="AO87" s="484"/>
      <c r="AP87" s="484"/>
      <c r="AQ87" s="484"/>
      <c r="AR87" s="484"/>
      <c r="AS87" s="484"/>
      <c r="AT87" s="484"/>
      <c r="AU87" s="484"/>
      <c r="AV87" s="484"/>
      <c r="AW87" s="484"/>
      <c r="AX87" s="484"/>
      <c r="AY87" s="484"/>
      <c r="AZ87" s="484"/>
    </row>
    <row r="88" spans="1:53" s="12" customFormat="1" ht="15" customHeight="1" x14ac:dyDescent="0.25">
      <c r="B88" s="161"/>
      <c r="C88" s="479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747" t="s">
        <v>187</v>
      </c>
      <c r="AL88" s="747"/>
      <c r="AM88" s="481">
        <f>AM40+AM41+AM42</f>
        <v>0</v>
      </c>
      <c r="AN88" s="159"/>
      <c r="AO88" s="484"/>
      <c r="AP88" s="484"/>
      <c r="AQ88" s="484"/>
      <c r="AR88" s="484"/>
      <c r="AS88" s="484"/>
      <c r="AT88" s="484"/>
      <c r="AU88" s="484"/>
      <c r="AV88" s="484"/>
      <c r="AW88" s="484"/>
      <c r="AX88" s="484"/>
      <c r="AY88" s="484"/>
      <c r="AZ88" s="484"/>
      <c r="BA88" s="484"/>
    </row>
    <row r="89" spans="1:53" s="12" customFormat="1" ht="15" customHeight="1" x14ac:dyDescent="0.25">
      <c r="B89" s="161"/>
      <c r="C89" s="479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747" t="s">
        <v>192</v>
      </c>
      <c r="AL89" s="747"/>
      <c r="AM89" s="481">
        <f>AM44+AM45+AM46+AM47+AM48+AM49+AM50</f>
        <v>0</v>
      </c>
      <c r="AN89" s="159"/>
      <c r="AO89" s="484"/>
      <c r="AP89" s="484"/>
      <c r="AQ89" s="484"/>
      <c r="AR89" s="484"/>
      <c r="AS89" s="484"/>
      <c r="AT89" s="484"/>
      <c r="AU89" s="484"/>
      <c r="AV89" s="484"/>
      <c r="AW89" s="484"/>
      <c r="AX89" s="484"/>
      <c r="AY89" s="484"/>
      <c r="AZ89" s="484"/>
      <c r="BA89" s="484"/>
    </row>
    <row r="90" spans="1:53" ht="15" customHeight="1" x14ac:dyDescent="0.25">
      <c r="C90" s="485"/>
      <c r="AK90" s="747" t="s">
        <v>685</v>
      </c>
      <c r="AL90" s="747"/>
      <c r="AM90" s="481">
        <f>AM52+AM53+AM54</f>
        <v>0</v>
      </c>
      <c r="AN90" s="159"/>
      <c r="AO90" s="484"/>
      <c r="AP90" s="484"/>
      <c r="AQ90" s="484"/>
      <c r="AR90" s="484"/>
      <c r="AS90" s="484"/>
      <c r="AT90" s="484"/>
      <c r="AU90" s="484"/>
      <c r="AV90" s="484"/>
      <c r="AW90" s="484"/>
      <c r="AX90" s="484"/>
      <c r="AY90" s="484"/>
      <c r="AZ90" s="484"/>
      <c r="BA90" s="484"/>
    </row>
    <row r="91" spans="1:53" ht="15" customHeight="1" x14ac:dyDescent="0.25">
      <c r="C91" s="485"/>
      <c r="AK91" s="747" t="s">
        <v>219</v>
      </c>
      <c r="AL91" s="747"/>
      <c r="AM91" s="481">
        <f>AM56+AM57+AM58</f>
        <v>0</v>
      </c>
      <c r="AN91" s="159"/>
      <c r="AO91" s="484"/>
      <c r="AP91" s="484"/>
      <c r="AQ91" s="484"/>
      <c r="AR91" s="484"/>
      <c r="AS91" s="484"/>
      <c r="AT91" s="484"/>
      <c r="AU91" s="484"/>
      <c r="AV91" s="484"/>
      <c r="AW91" s="484"/>
      <c r="AX91" s="484"/>
      <c r="AY91" s="484"/>
      <c r="AZ91" s="484"/>
      <c r="BA91" s="484"/>
    </row>
    <row r="92" spans="1:53" ht="15" customHeight="1" x14ac:dyDescent="0.25">
      <c r="C92" s="485"/>
      <c r="AK92" s="747" t="s">
        <v>686</v>
      </c>
      <c r="AL92" s="747"/>
      <c r="AM92" s="481">
        <f>AM17</f>
        <v>0</v>
      </c>
      <c r="AN92" s="159"/>
      <c r="AO92" s="484"/>
      <c r="AP92" s="484"/>
      <c r="AQ92" s="484"/>
      <c r="AR92" s="484"/>
      <c r="AS92" s="484"/>
      <c r="AT92" s="484"/>
      <c r="AU92" s="484"/>
      <c r="AV92" s="484"/>
      <c r="AW92" s="484"/>
      <c r="AX92" s="484"/>
      <c r="AY92" s="484"/>
      <c r="AZ92" s="484"/>
      <c r="BA92" s="484"/>
    </row>
    <row r="93" spans="1:53" ht="15" customHeight="1" x14ac:dyDescent="0.25">
      <c r="C93" s="485"/>
      <c r="AK93" s="747" t="s">
        <v>224</v>
      </c>
      <c r="AL93" s="747"/>
      <c r="AM93" s="481">
        <f>SUM(AM60:AM68)</f>
        <v>0</v>
      </c>
      <c r="AN93" s="159"/>
      <c r="AO93" s="484"/>
      <c r="AP93" s="484"/>
      <c r="AQ93" s="484"/>
      <c r="AR93" s="484"/>
      <c r="AS93" s="484"/>
      <c r="AT93" s="484"/>
      <c r="AU93" s="484"/>
      <c r="AV93" s="484"/>
      <c r="AW93" s="484"/>
      <c r="AX93" s="484"/>
      <c r="AY93" s="484"/>
      <c r="AZ93" s="484"/>
      <c r="BA93" s="484"/>
    </row>
    <row r="94" spans="1:53" ht="15" customHeight="1" x14ac:dyDescent="0.25">
      <c r="C94" s="485"/>
      <c r="AK94" s="748" t="s">
        <v>94</v>
      </c>
      <c r="AL94" s="748"/>
      <c r="AM94" s="482">
        <f>SUM(AM87:AM93)</f>
        <v>0</v>
      </c>
      <c r="AN94" s="159"/>
      <c r="AO94" s="486"/>
      <c r="AP94" s="486"/>
      <c r="AQ94" s="486"/>
      <c r="AR94" s="486"/>
      <c r="AS94" s="486"/>
      <c r="AT94" s="486"/>
      <c r="AU94" s="486"/>
      <c r="AV94" s="486"/>
      <c r="AW94" s="486"/>
      <c r="AX94" s="486"/>
      <c r="AY94" s="486"/>
      <c r="AZ94" s="486"/>
      <c r="BA94" s="486"/>
    </row>
    <row r="95" spans="1:53" ht="15" customHeight="1" x14ac:dyDescent="0.25">
      <c r="C95" s="485"/>
      <c r="AK95" s="749" t="s">
        <v>687</v>
      </c>
      <c r="AL95" s="749"/>
      <c r="AM95" s="487"/>
      <c r="AN95" s="159"/>
      <c r="AO95" s="488"/>
      <c r="AP95" s="488"/>
      <c r="AQ95" s="488"/>
      <c r="AR95" s="488"/>
      <c r="AS95" s="488"/>
      <c r="AT95" s="488"/>
      <c r="AU95" s="488"/>
      <c r="AV95" s="488"/>
      <c r="AW95" s="488"/>
      <c r="AX95" s="488"/>
      <c r="AY95" s="488"/>
      <c r="AZ95" s="488"/>
      <c r="BA95" s="488"/>
    </row>
    <row r="96" spans="1:53" ht="15" customHeight="1" x14ac:dyDescent="0.25">
      <c r="C96" s="485"/>
      <c r="AK96" s="750" t="s">
        <v>688</v>
      </c>
      <c r="AL96" s="750"/>
      <c r="AM96" s="489">
        <f>AM18</f>
        <v>0</v>
      </c>
      <c r="AN96" s="159"/>
      <c r="AO96" s="484"/>
      <c r="AP96" s="484"/>
      <c r="AQ96" s="484"/>
      <c r="AR96" s="484"/>
      <c r="AS96" s="484"/>
      <c r="AT96" s="484"/>
      <c r="AU96" s="484"/>
      <c r="AV96" s="484"/>
      <c r="AW96" s="484"/>
      <c r="AX96" s="484"/>
      <c r="AY96" s="484"/>
      <c r="AZ96" s="484"/>
      <c r="BA96" s="484"/>
    </row>
    <row r="97" spans="3:53" ht="15" customHeight="1" x14ac:dyDescent="0.25">
      <c r="C97" s="485"/>
      <c r="AK97" s="750" t="s">
        <v>689</v>
      </c>
      <c r="AL97" s="750"/>
      <c r="AM97" s="489">
        <f>AM52</f>
        <v>0</v>
      </c>
      <c r="AN97" s="159"/>
      <c r="AO97" s="484"/>
      <c r="AP97" s="484"/>
      <c r="AQ97" s="484"/>
      <c r="AR97" s="484"/>
      <c r="AS97" s="484"/>
      <c r="AT97" s="484"/>
      <c r="AU97" s="484"/>
      <c r="AV97" s="484"/>
      <c r="AW97" s="484"/>
      <c r="AX97" s="484"/>
      <c r="AY97" s="484"/>
      <c r="AZ97" s="484"/>
      <c r="BA97" s="484"/>
    </row>
    <row r="98" spans="3:53" ht="15" customHeight="1" x14ac:dyDescent="0.25">
      <c r="C98" s="485"/>
      <c r="AK98" s="750" t="s">
        <v>690</v>
      </c>
      <c r="AL98" s="750"/>
      <c r="AM98" s="489">
        <f t="shared" ref="AM98:AM107" si="104">AM70</f>
        <v>0</v>
      </c>
      <c r="AN98" s="159"/>
      <c r="AO98" s="484"/>
      <c r="AP98" s="484"/>
      <c r="AQ98" s="484"/>
      <c r="AR98" s="484"/>
      <c r="AS98" s="484"/>
      <c r="AT98" s="484"/>
      <c r="AU98" s="484"/>
      <c r="AV98" s="484"/>
      <c r="AW98" s="484"/>
      <c r="AX98" s="484"/>
      <c r="AY98" s="484"/>
      <c r="AZ98" s="484"/>
      <c r="BA98" s="484"/>
    </row>
    <row r="99" spans="3:53" ht="15" customHeight="1" x14ac:dyDescent="0.25">
      <c r="C99" s="485"/>
      <c r="AK99" s="750" t="s">
        <v>691</v>
      </c>
      <c r="AL99" s="750"/>
      <c r="AM99" s="489">
        <f t="shared" si="104"/>
        <v>0</v>
      </c>
      <c r="AN99" s="159"/>
      <c r="AO99" s="484"/>
      <c r="AP99" s="484"/>
      <c r="AQ99" s="484"/>
      <c r="AR99" s="484"/>
      <c r="AS99" s="484"/>
      <c r="AT99" s="484"/>
      <c r="AU99" s="484"/>
      <c r="AV99" s="484"/>
      <c r="AW99" s="484"/>
      <c r="AX99" s="484"/>
      <c r="AY99" s="484"/>
      <c r="AZ99" s="484"/>
      <c r="BA99" s="484"/>
    </row>
    <row r="100" spans="3:53" ht="15" customHeight="1" x14ac:dyDescent="0.25">
      <c r="C100" s="485"/>
      <c r="AK100" s="750" t="s">
        <v>692</v>
      </c>
      <c r="AL100" s="750"/>
      <c r="AM100" s="489">
        <f t="shared" si="104"/>
        <v>0</v>
      </c>
      <c r="AN100" s="159"/>
      <c r="AO100" s="484"/>
      <c r="AP100" s="484"/>
      <c r="AQ100" s="484"/>
      <c r="AR100" s="484"/>
      <c r="AS100" s="484"/>
      <c r="AT100" s="484"/>
      <c r="AU100" s="484"/>
      <c r="AV100" s="484"/>
      <c r="AW100" s="484"/>
      <c r="AX100" s="484"/>
      <c r="AY100" s="484"/>
      <c r="AZ100" s="484"/>
      <c r="BA100" s="484"/>
    </row>
    <row r="101" spans="3:53" ht="15" customHeight="1" x14ac:dyDescent="0.25">
      <c r="C101" s="485"/>
      <c r="AK101" s="750" t="s">
        <v>693</v>
      </c>
      <c r="AL101" s="750"/>
      <c r="AM101" s="489">
        <f t="shared" si="104"/>
        <v>0</v>
      </c>
      <c r="AN101" s="159"/>
      <c r="AO101" s="484"/>
      <c r="AP101" s="484"/>
      <c r="AQ101" s="484"/>
      <c r="AR101" s="484"/>
      <c r="AS101" s="484"/>
      <c r="AT101" s="484"/>
      <c r="AU101" s="484"/>
      <c r="AV101" s="484"/>
      <c r="AW101" s="484"/>
      <c r="AX101" s="484"/>
      <c r="AY101" s="484"/>
      <c r="AZ101" s="484"/>
      <c r="BA101" s="484"/>
    </row>
    <row r="102" spans="3:53" ht="15" customHeight="1" x14ac:dyDescent="0.25">
      <c r="C102" s="485"/>
      <c r="AK102" s="750" t="s">
        <v>694</v>
      </c>
      <c r="AL102" s="750"/>
      <c r="AM102" s="489">
        <f t="shared" si="104"/>
        <v>0</v>
      </c>
      <c r="AN102" s="159"/>
      <c r="AO102" s="484"/>
      <c r="AP102" s="484"/>
      <c r="AQ102" s="484"/>
      <c r="AR102" s="484"/>
      <c r="AS102" s="484"/>
      <c r="AT102" s="484"/>
      <c r="AU102" s="484"/>
      <c r="AV102" s="484"/>
      <c r="AW102" s="484"/>
      <c r="AX102" s="484"/>
      <c r="AY102" s="484"/>
      <c r="AZ102" s="484"/>
      <c r="BA102" s="484"/>
    </row>
    <row r="103" spans="3:53" ht="15" customHeight="1" x14ac:dyDescent="0.25">
      <c r="C103" s="485"/>
      <c r="AK103" s="750" t="s">
        <v>695</v>
      </c>
      <c r="AL103" s="750"/>
      <c r="AM103" s="489">
        <f t="shared" si="104"/>
        <v>0</v>
      </c>
      <c r="AN103" s="159"/>
      <c r="AO103" s="484"/>
      <c r="AP103" s="484"/>
      <c r="AQ103" s="484"/>
      <c r="AR103" s="484"/>
      <c r="AS103" s="484"/>
      <c r="AT103" s="484"/>
      <c r="AU103" s="484"/>
      <c r="AV103" s="484"/>
      <c r="AW103" s="484"/>
      <c r="AX103" s="484"/>
      <c r="AY103" s="484"/>
      <c r="AZ103" s="484"/>
      <c r="BA103" s="484"/>
    </row>
    <row r="104" spans="3:53" ht="15" customHeight="1" x14ac:dyDescent="0.25">
      <c r="C104" s="485"/>
      <c r="AK104" s="750" t="s">
        <v>696</v>
      </c>
      <c r="AL104" s="750"/>
      <c r="AM104" s="489">
        <f t="shared" si="104"/>
        <v>0</v>
      </c>
      <c r="AN104" s="159"/>
      <c r="AO104" s="484"/>
      <c r="AP104" s="484"/>
      <c r="AQ104" s="484"/>
      <c r="AR104" s="484"/>
      <c r="AS104" s="484"/>
      <c r="AT104" s="484"/>
      <c r="AU104" s="484"/>
      <c r="AV104" s="484"/>
      <c r="AW104" s="484"/>
      <c r="AX104" s="484"/>
      <c r="AY104" s="484"/>
      <c r="AZ104" s="484"/>
      <c r="BA104" s="484"/>
    </row>
    <row r="105" spans="3:53" ht="15" customHeight="1" x14ac:dyDescent="0.25">
      <c r="C105" s="485"/>
      <c r="AK105" s="750" t="s">
        <v>697</v>
      </c>
      <c r="AL105" s="750"/>
      <c r="AM105" s="489">
        <f t="shared" si="104"/>
        <v>0</v>
      </c>
      <c r="AN105" s="159"/>
      <c r="AO105" s="484"/>
      <c r="AP105" s="484"/>
      <c r="AQ105" s="484"/>
      <c r="AR105" s="484"/>
      <c r="AS105" s="484"/>
      <c r="AT105" s="484"/>
      <c r="AU105" s="484"/>
      <c r="AV105" s="484"/>
      <c r="AW105" s="484"/>
      <c r="AX105" s="484"/>
      <c r="AY105" s="484"/>
      <c r="AZ105" s="484"/>
      <c r="BA105" s="484"/>
    </row>
    <row r="106" spans="3:53" ht="15" customHeight="1" x14ac:dyDescent="0.25">
      <c r="C106" s="485"/>
      <c r="AK106" s="750" t="s">
        <v>698</v>
      </c>
      <c r="AL106" s="750"/>
      <c r="AM106" s="489">
        <f t="shared" si="104"/>
        <v>0</v>
      </c>
      <c r="AN106" s="159"/>
      <c r="AO106" s="484"/>
      <c r="AP106" s="484"/>
      <c r="AQ106" s="484"/>
      <c r="AR106" s="484"/>
      <c r="AS106" s="484"/>
      <c r="AT106" s="484"/>
      <c r="AU106" s="484"/>
      <c r="AV106" s="484"/>
      <c r="AW106" s="484"/>
      <c r="AX106" s="484"/>
      <c r="AY106" s="484"/>
      <c r="AZ106" s="484"/>
      <c r="BA106" s="484"/>
    </row>
    <row r="107" spans="3:53" ht="15" customHeight="1" x14ac:dyDescent="0.25">
      <c r="C107" s="485"/>
      <c r="AK107" s="750" t="s">
        <v>699</v>
      </c>
      <c r="AL107" s="750"/>
      <c r="AM107" s="489">
        <f t="shared" si="104"/>
        <v>0</v>
      </c>
      <c r="AN107" s="159"/>
      <c r="AO107" s="484"/>
      <c r="AP107" s="484"/>
      <c r="AQ107" s="484"/>
      <c r="AR107" s="484"/>
      <c r="AS107" s="484"/>
      <c r="AT107" s="484"/>
      <c r="AU107" s="484"/>
      <c r="AV107" s="484"/>
      <c r="AW107" s="484"/>
      <c r="AX107" s="484"/>
      <c r="AY107" s="484"/>
      <c r="AZ107" s="484"/>
      <c r="BA107" s="484"/>
    </row>
    <row r="108" spans="3:53" ht="15" customHeight="1" x14ac:dyDescent="0.25">
      <c r="C108" s="485"/>
      <c r="AK108" s="751" t="s">
        <v>94</v>
      </c>
      <c r="AL108" s="751"/>
      <c r="AM108" s="482">
        <f>SUM(AM96:AM107)</f>
        <v>0</v>
      </c>
      <c r="AN108" s="159"/>
      <c r="AO108" s="488"/>
      <c r="AP108" s="488"/>
      <c r="AQ108" s="488"/>
      <c r="AR108" s="488"/>
      <c r="AS108" s="488"/>
      <c r="AT108" s="488"/>
      <c r="AU108" s="488"/>
      <c r="AV108" s="488"/>
      <c r="AW108" s="488"/>
      <c r="AX108" s="488"/>
      <c r="AY108" s="488"/>
      <c r="AZ108" s="488"/>
      <c r="BA108" s="488"/>
    </row>
    <row r="109" spans="3:53" ht="15" customHeight="1" thickBot="1" x14ac:dyDescent="0.3">
      <c r="C109" s="485"/>
      <c r="AK109" s="752" t="s">
        <v>737</v>
      </c>
      <c r="AL109" s="752"/>
      <c r="AM109" s="490">
        <f>AM94+AM108+AM85</f>
        <v>0</v>
      </c>
      <c r="AN109" s="491"/>
      <c r="AO109" s="492">
        <f t="shared" ref="AO109:BA109" si="105">AO94+AO108</f>
        <v>0</v>
      </c>
      <c r="AP109" s="492">
        <f t="shared" si="105"/>
        <v>0</v>
      </c>
      <c r="AQ109" s="492">
        <f t="shared" si="105"/>
        <v>0</v>
      </c>
      <c r="AR109" s="492">
        <f t="shared" si="105"/>
        <v>0</v>
      </c>
      <c r="AS109" s="492">
        <f t="shared" si="105"/>
        <v>0</v>
      </c>
      <c r="AT109" s="492">
        <f t="shared" si="105"/>
        <v>0</v>
      </c>
      <c r="AU109" s="492">
        <f t="shared" si="105"/>
        <v>0</v>
      </c>
      <c r="AV109" s="492">
        <f t="shared" si="105"/>
        <v>0</v>
      </c>
      <c r="AW109" s="492">
        <f t="shared" si="105"/>
        <v>0</v>
      </c>
      <c r="AX109" s="492">
        <f t="shared" si="105"/>
        <v>0</v>
      </c>
      <c r="AY109" s="492">
        <f t="shared" si="105"/>
        <v>0</v>
      </c>
      <c r="AZ109" s="492">
        <f t="shared" si="105"/>
        <v>0</v>
      </c>
      <c r="BA109" s="492">
        <f t="shared" si="105"/>
        <v>0</v>
      </c>
    </row>
  </sheetData>
  <mergeCells count="46">
    <mergeCell ref="AK107:AL107"/>
    <mergeCell ref="AK108:AL108"/>
    <mergeCell ref="AK109:AL109"/>
    <mergeCell ref="B31:B33"/>
    <mergeCell ref="B44:B50"/>
    <mergeCell ref="B40:B42"/>
    <mergeCell ref="AK102:AL102"/>
    <mergeCell ref="AK103:AL103"/>
    <mergeCell ref="AK104:AL104"/>
    <mergeCell ref="AK105:AL105"/>
    <mergeCell ref="AK106:AL106"/>
    <mergeCell ref="AK97:AL97"/>
    <mergeCell ref="AK98:AL98"/>
    <mergeCell ref="AK99:AL99"/>
    <mergeCell ref="AK100:AL100"/>
    <mergeCell ref="AK101:AL101"/>
    <mergeCell ref="AK92:AL92"/>
    <mergeCell ref="AK93:AL93"/>
    <mergeCell ref="AK94:AL94"/>
    <mergeCell ref="AK95:AL95"/>
    <mergeCell ref="AK96:AL96"/>
    <mergeCell ref="AK87:AL87"/>
    <mergeCell ref="AK88:AL88"/>
    <mergeCell ref="AK89:AL89"/>
    <mergeCell ref="AK90:AL90"/>
    <mergeCell ref="AK91:AL91"/>
    <mergeCell ref="AK82:AL82"/>
    <mergeCell ref="AK83:AL83"/>
    <mergeCell ref="AK84:AL84"/>
    <mergeCell ref="AK85:AL85"/>
    <mergeCell ref="AK86:AL86"/>
    <mergeCell ref="R4:T4"/>
    <mergeCell ref="U4:W4"/>
    <mergeCell ref="X4:Z4"/>
    <mergeCell ref="AA4:AC4"/>
    <mergeCell ref="B4:B5"/>
    <mergeCell ref="C4:E4"/>
    <mergeCell ref="F4:H4"/>
    <mergeCell ref="I4:K4"/>
    <mergeCell ref="L4:N4"/>
    <mergeCell ref="O4:Q4"/>
    <mergeCell ref="AM4:AM5"/>
    <mergeCell ref="AO4:AZ4"/>
    <mergeCell ref="AD4:AF4"/>
    <mergeCell ref="AG4:AI4"/>
    <mergeCell ref="AJ4:AL4"/>
  </mergeCells>
  <pageMargins left="0.7" right="0.7" top="0.75" bottom="0.75" header="0.3" footer="0.3"/>
  <pageSetup paperSize="30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2:K43"/>
  <sheetViews>
    <sheetView zoomScale="80" zoomScaleNormal="80" workbookViewId="0">
      <selection activeCell="L46" sqref="L46"/>
    </sheetView>
  </sheetViews>
  <sheetFormatPr defaultColWidth="8.88671875" defaultRowHeight="11.5" x14ac:dyDescent="0.25"/>
  <cols>
    <col min="1" max="1" width="8.88671875" style="2"/>
    <col min="2" max="2" width="39.33203125" style="2" bestFit="1" customWidth="1"/>
    <col min="3" max="3" width="18.6640625" style="2" customWidth="1"/>
    <col min="4" max="4" width="9.88671875" style="58" customWidth="1"/>
    <col min="5" max="5" width="20.109375" style="2" customWidth="1"/>
    <col min="6" max="6" width="12.33203125" style="2" bestFit="1" customWidth="1"/>
    <col min="7" max="7" width="18" style="2" customWidth="1"/>
    <col min="8" max="8" width="12.77734375" style="2" customWidth="1"/>
    <col min="9" max="9" width="35.6640625" style="2" bestFit="1" customWidth="1"/>
    <col min="10" max="16384" width="8.88671875" style="2"/>
  </cols>
  <sheetData>
    <row r="2" spans="2:11" ht="22" customHeight="1" thickBot="1" x14ac:dyDescent="0.3">
      <c r="B2" s="765" t="s">
        <v>738</v>
      </c>
      <c r="C2" s="765"/>
      <c r="D2" s="765"/>
      <c r="E2" s="765"/>
      <c r="F2" s="765"/>
      <c r="G2" s="765"/>
      <c r="H2" s="765"/>
    </row>
    <row r="3" spans="2:11" ht="11.5" customHeight="1" x14ac:dyDescent="0.25">
      <c r="B3" s="762" t="s">
        <v>96</v>
      </c>
      <c r="C3" s="759" t="s">
        <v>643</v>
      </c>
      <c r="D3" s="760"/>
      <c r="E3" s="760" t="s">
        <v>644</v>
      </c>
      <c r="F3" s="761"/>
      <c r="G3" s="764" t="s">
        <v>32</v>
      </c>
      <c r="H3" s="761"/>
    </row>
    <row r="4" spans="2:11" ht="11.5" customHeight="1" thickBot="1" x14ac:dyDescent="0.3">
      <c r="B4" s="763"/>
      <c r="C4" s="312" t="s">
        <v>113</v>
      </c>
      <c r="D4" s="313" t="s">
        <v>112</v>
      </c>
      <c r="E4" s="313" t="s">
        <v>113</v>
      </c>
      <c r="F4" s="314" t="s">
        <v>112</v>
      </c>
      <c r="G4" s="315" t="s">
        <v>113</v>
      </c>
      <c r="H4" s="314" t="s">
        <v>115</v>
      </c>
    </row>
    <row r="5" spans="2:11" x14ac:dyDescent="0.25">
      <c r="B5" s="269" t="str">
        <f>'Budget ปี 2026'!B8</f>
        <v>รายได้จากการขาย - OPD/IPD</v>
      </c>
      <c r="C5" s="271">
        <f>'Budget ปี 2026'!E8</f>
        <v>0</v>
      </c>
      <c r="D5" s="281" t="e">
        <f>'Budget ปี 2026'!F8</f>
        <v>#DIV/0!</v>
      </c>
      <c r="E5" s="267">
        <f>'Budget ปี 2026'!U8</f>
        <v>0</v>
      </c>
      <c r="F5" s="268" t="e">
        <f>'Budget ปี 2026'!AH8</f>
        <v>#DIV/0!</v>
      </c>
      <c r="G5" s="273">
        <f>E5-C5</f>
        <v>0</v>
      </c>
      <c r="H5" s="268" t="e">
        <f>G5/C5</f>
        <v>#DIV/0!</v>
      </c>
      <c r="K5" s="2" t="s">
        <v>740</v>
      </c>
    </row>
    <row r="6" spans="2:11" x14ac:dyDescent="0.25">
      <c r="B6" s="269" t="str">
        <f>'Budget ปี 2026'!B9</f>
        <v>รายได้จากการขาย - Grooming</v>
      </c>
      <c r="C6" s="271">
        <f>'Budget ปี 2026'!E9</f>
        <v>0</v>
      </c>
      <c r="D6" s="281" t="e">
        <f>'Budget ปี 2026'!F9</f>
        <v>#DIV/0!</v>
      </c>
      <c r="E6" s="265">
        <f>'Budget ปี 2026'!U9</f>
        <v>0</v>
      </c>
      <c r="F6" s="266" t="e">
        <f>'Budget ปี 2026'!AH9</f>
        <v>#DIV/0!</v>
      </c>
      <c r="G6" s="274">
        <f t="shared" ref="G6:G41" si="0">E6-C6</f>
        <v>0</v>
      </c>
      <c r="H6" s="266" t="e">
        <f>G6/C6</f>
        <v>#DIV/0!</v>
      </c>
    </row>
    <row r="7" spans="2:11" x14ac:dyDescent="0.25">
      <c r="B7" s="269" t="str">
        <f>'Budget ปี 2026'!B10</f>
        <v>รายได้จากการขาย - Petshop</v>
      </c>
      <c r="C7" s="271">
        <f>'Budget ปี 2026'!E10</f>
        <v>0</v>
      </c>
      <c r="D7" s="281" t="e">
        <f>'Budget ปี 2026'!F10</f>
        <v>#DIV/0!</v>
      </c>
      <c r="E7" s="265">
        <f>'Budget ปี 2026'!U10</f>
        <v>0</v>
      </c>
      <c r="F7" s="266" t="e">
        <f>'Budget ปี 2026'!AH10</f>
        <v>#DIV/0!</v>
      </c>
      <c r="G7" s="274">
        <f t="shared" si="0"/>
        <v>0</v>
      </c>
      <c r="H7" s="266" t="e">
        <f t="shared" ref="H7:H40" si="1">G7/C7</f>
        <v>#DIV/0!</v>
      </c>
    </row>
    <row r="8" spans="2:11" x14ac:dyDescent="0.25">
      <c r="B8" s="269" t="str">
        <f>'Budget ปี 2026'!B11</f>
        <v>รายได้จากการขาย - Swimming</v>
      </c>
      <c r="C8" s="271">
        <f>'Budget ปี 2026'!E11</f>
        <v>0</v>
      </c>
      <c r="D8" s="281" t="e">
        <f>'Budget ปี 2026'!F11</f>
        <v>#DIV/0!</v>
      </c>
      <c r="E8" s="265">
        <f>'Budget ปี 2026'!U11</f>
        <v>0</v>
      </c>
      <c r="F8" s="266" t="e">
        <f>'Budget ปี 2026'!AH11</f>
        <v>#DIV/0!</v>
      </c>
      <c r="G8" s="274">
        <f t="shared" si="0"/>
        <v>0</v>
      </c>
      <c r="H8" s="266" t="e">
        <f t="shared" si="1"/>
        <v>#DIV/0!</v>
      </c>
    </row>
    <row r="9" spans="2:11" x14ac:dyDescent="0.25">
      <c r="B9" s="269" t="str">
        <f>'Budget ปี 2026'!B12</f>
        <v>รายได้จากการขาย - Pettaxi</v>
      </c>
      <c r="C9" s="271">
        <f>'Budget ปี 2026'!E12</f>
        <v>0</v>
      </c>
      <c r="D9" s="281" t="e">
        <f>'Budget ปี 2026'!F12</f>
        <v>#DIV/0!</v>
      </c>
      <c r="E9" s="265">
        <f>'Budget ปี 2026'!U12</f>
        <v>0</v>
      </c>
      <c r="F9" s="266" t="e">
        <f>'Budget ปี 2026'!AH12</f>
        <v>#DIV/0!</v>
      </c>
      <c r="G9" s="274">
        <f>E9-C9</f>
        <v>0</v>
      </c>
      <c r="H9" s="266" t="e">
        <f>G9/C9</f>
        <v>#DIV/0!</v>
      </c>
    </row>
    <row r="10" spans="2:11" x14ac:dyDescent="0.25">
      <c r="B10" s="269" t="str">
        <f>'Budget ปี 2026'!B13</f>
        <v>รายได้จากการขาย - อื่นๆ</v>
      </c>
      <c r="C10" s="271">
        <f>'Budget ปี 2026'!E13</f>
        <v>0</v>
      </c>
      <c r="D10" s="281" t="e">
        <f>'Budget ปี 2026'!F13</f>
        <v>#DIV/0!</v>
      </c>
      <c r="E10" s="265">
        <f>'Budget ปี 2026'!U13</f>
        <v>0</v>
      </c>
      <c r="F10" s="266" t="e">
        <f>'Budget ปี 2026'!AH13</f>
        <v>#DIV/0!</v>
      </c>
      <c r="G10" s="274">
        <f t="shared" si="0"/>
        <v>0</v>
      </c>
      <c r="H10" s="266" t="e">
        <f t="shared" si="1"/>
        <v>#DIV/0!</v>
      </c>
    </row>
    <row r="11" spans="2:11" x14ac:dyDescent="0.25">
      <c r="B11" s="269" t="str">
        <f>'Budget ปี 2026'!B14</f>
        <v>หัก รับคืน</v>
      </c>
      <c r="C11" s="271">
        <f>'Budget ปี 2026'!E14</f>
        <v>0</v>
      </c>
      <c r="D11" s="281" t="e">
        <f>'Budget ปี 2026'!F14</f>
        <v>#DIV/0!</v>
      </c>
      <c r="E11" s="265">
        <f>'Budget ปี 2026'!U14</f>
        <v>0</v>
      </c>
      <c r="F11" s="266" t="e">
        <f>'Budget ปี 2026'!AH14</f>
        <v>#DIV/0!</v>
      </c>
      <c r="G11" s="274">
        <f t="shared" si="0"/>
        <v>0</v>
      </c>
      <c r="H11" s="266" t="e">
        <f t="shared" si="1"/>
        <v>#DIV/0!</v>
      </c>
    </row>
    <row r="12" spans="2:11" x14ac:dyDescent="0.25">
      <c r="B12" s="269" t="str">
        <f>'Budget ปี 2026'!B15</f>
        <v>หัก ส่วนลดจ่าย</v>
      </c>
      <c r="C12" s="271">
        <f>'Budget ปี 2026'!E15</f>
        <v>0</v>
      </c>
      <c r="D12" s="281" t="e">
        <f>'Budget ปี 2026'!F15</f>
        <v>#DIV/0!</v>
      </c>
      <c r="E12" s="265">
        <f>'Budget ปี 2026'!U15</f>
        <v>0</v>
      </c>
      <c r="F12" s="266" t="e">
        <f>'Budget ปี 2026'!AH15</f>
        <v>#DIV/0!</v>
      </c>
      <c r="G12" s="274">
        <f t="shared" ref="G12" si="2">E12-C12</f>
        <v>0</v>
      </c>
      <c r="H12" s="266" t="e">
        <f t="shared" ref="H12" si="3">G12/C12</f>
        <v>#DIV/0!</v>
      </c>
    </row>
    <row r="13" spans="2:11" ht="12" thickBot="1" x14ac:dyDescent="0.3">
      <c r="B13" s="300" t="str">
        <f>'Budget ปี 2026'!B16</f>
        <v>รายได้อื่นๆ</v>
      </c>
      <c r="C13" s="301">
        <f>'Budget ปี 2026'!E16</f>
        <v>0</v>
      </c>
      <c r="D13" s="302" t="e">
        <f>'Budget ปี 2026'!F16</f>
        <v>#DIV/0!</v>
      </c>
      <c r="E13" s="303">
        <f>'Budget ปี 2026'!U16</f>
        <v>0</v>
      </c>
      <c r="F13" s="304" t="e">
        <f>'Budget ปี 2026'!AH16</f>
        <v>#DIV/0!</v>
      </c>
      <c r="G13" s="305">
        <f t="shared" si="0"/>
        <v>0</v>
      </c>
      <c r="H13" s="304" t="e">
        <f t="shared" si="1"/>
        <v>#DIV/0!</v>
      </c>
    </row>
    <row r="14" spans="2:11" ht="12" thickBot="1" x14ac:dyDescent="0.3">
      <c r="B14" s="306" t="s">
        <v>6</v>
      </c>
      <c r="C14" s="307">
        <f>'Budget ปี 2026'!E18</f>
        <v>0</v>
      </c>
      <c r="D14" s="308" t="e">
        <f>'Budget ปี 2026'!F18</f>
        <v>#DIV/0!</v>
      </c>
      <c r="E14" s="309">
        <f>'Budget ปี 2026'!U18</f>
        <v>0</v>
      </c>
      <c r="F14" s="310" t="e">
        <f>'Budget ปี 2026'!AH18</f>
        <v>#DIV/0!</v>
      </c>
      <c r="G14" s="311">
        <f t="shared" si="0"/>
        <v>0</v>
      </c>
      <c r="H14" s="310" t="e">
        <f t="shared" si="1"/>
        <v>#DIV/0!</v>
      </c>
    </row>
    <row r="15" spans="2:11" x14ac:dyDescent="0.25">
      <c r="B15" s="269" t="str">
        <f>'Budget ปี 2026'!B24</f>
        <v>รวมต้นทุนขาย</v>
      </c>
      <c r="C15" s="271">
        <f>'Budget ปี 2026'!E24</f>
        <v>0</v>
      </c>
      <c r="D15" s="281" t="e">
        <f>'Budget ปี 2026'!F24</f>
        <v>#DIV/0!</v>
      </c>
      <c r="E15" s="267" t="e">
        <f>'Budget ปี 2026'!U24</f>
        <v>#DIV/0!</v>
      </c>
      <c r="F15" s="268" t="e">
        <f>'Budget ปี 2026'!AH24</f>
        <v>#DIV/0!</v>
      </c>
      <c r="G15" s="273" t="e">
        <f t="shared" si="0"/>
        <v>#DIV/0!</v>
      </c>
      <c r="H15" s="713" t="str">
        <f>IFERROR(G15/C15,"")</f>
        <v/>
      </c>
      <c r="I15" s="2" t="e">
        <f>F15&lt;D15</f>
        <v>#DIV/0!</v>
      </c>
      <c r="J15" s="708"/>
    </row>
    <row r="16" spans="2:11" x14ac:dyDescent="0.25">
      <c r="B16" s="270" t="str">
        <f>'Budget ปี 2026'!B38</f>
        <v>รวมค่าใช้จ่ายในการขาย</v>
      </c>
      <c r="C16" s="272">
        <f>'Budget ปี 2026'!E38</f>
        <v>0</v>
      </c>
      <c r="D16" s="282" t="e">
        <f>'Budget ปี 2026'!F38</f>
        <v>#DIV/0!</v>
      </c>
      <c r="E16" s="265" t="e">
        <f>'Budget ปี 2026'!U38</f>
        <v>#DIV/0!</v>
      </c>
      <c r="F16" s="266" t="e">
        <f>'Budget ปี 2026'!AH38</f>
        <v>#DIV/0!</v>
      </c>
      <c r="G16" s="274" t="e">
        <f t="shared" si="0"/>
        <v>#DIV/0!</v>
      </c>
      <c r="H16" s="713" t="str">
        <f t="shared" ref="H16:H35" si="4">IFERROR(G16/C16,"")</f>
        <v/>
      </c>
      <c r="I16" s="2" t="e">
        <f t="shared" ref="I16:I35" si="5">F16&lt;D16</f>
        <v>#DIV/0!</v>
      </c>
      <c r="J16" s="708"/>
    </row>
    <row r="17" spans="1:10" x14ac:dyDescent="0.25">
      <c r="B17" s="270" t="str">
        <f>'Budget ปี 2026'!B41</f>
        <v>รวมค่ายานพาหนะ</v>
      </c>
      <c r="C17" s="272">
        <f>'Budget ปี 2026'!E41</f>
        <v>0</v>
      </c>
      <c r="D17" s="282" t="e">
        <f>'Budget ปี 2026'!F41</f>
        <v>#DIV/0!</v>
      </c>
      <c r="E17" s="265" t="e">
        <f>'Budget ปี 2026'!U41</f>
        <v>#DIV/0!</v>
      </c>
      <c r="F17" s="266" t="e">
        <f>'Budget ปี 2026'!AH41</f>
        <v>#DIV/0!</v>
      </c>
      <c r="G17" s="274" t="e">
        <f t="shared" si="0"/>
        <v>#DIV/0!</v>
      </c>
      <c r="H17" s="713" t="str">
        <f t="shared" si="4"/>
        <v/>
      </c>
      <c r="I17" s="2" t="e">
        <f t="shared" si="5"/>
        <v>#DIV/0!</v>
      </c>
      <c r="J17" s="708"/>
    </row>
    <row r="18" spans="1:10" x14ac:dyDescent="0.25">
      <c r="B18" s="270" t="str">
        <f>'Budget ปี 2026'!B42</f>
        <v>รวมต้นทุนขายและค่าใช้จ่ายในการขาย</v>
      </c>
      <c r="C18" s="272">
        <f>'Budget ปี 2026'!E42</f>
        <v>0</v>
      </c>
      <c r="D18" s="282" t="e">
        <f>'Budget ปี 2026'!F42</f>
        <v>#DIV/0!</v>
      </c>
      <c r="E18" s="265" t="e">
        <f>'Budget ปี 2026'!U42</f>
        <v>#DIV/0!</v>
      </c>
      <c r="F18" s="266" t="e">
        <f>'Budget ปี 2026'!AH42</f>
        <v>#DIV/0!</v>
      </c>
      <c r="G18" s="274" t="e">
        <f t="shared" si="0"/>
        <v>#DIV/0!</v>
      </c>
      <c r="H18" s="713" t="str">
        <f t="shared" si="4"/>
        <v/>
      </c>
      <c r="I18" s="2" t="e">
        <f t="shared" si="5"/>
        <v>#DIV/0!</v>
      </c>
      <c r="J18" s="708"/>
    </row>
    <row r="19" spans="1:10" x14ac:dyDescent="0.25">
      <c r="B19" s="270" t="str">
        <f>'Budget ปี 2026'!B63</f>
        <v>รวมเงินเดือนและสวัสดิการพนักงาน</v>
      </c>
      <c r="C19" s="272">
        <f>'Budget ปี 2026'!E63</f>
        <v>0</v>
      </c>
      <c r="D19" s="282" t="e">
        <f>'Budget ปี 2026'!F63</f>
        <v>#DIV/0!</v>
      </c>
      <c r="E19" s="265" t="e">
        <f>'Budget ปี 2026'!U63</f>
        <v>#DIV/0!</v>
      </c>
      <c r="F19" s="266" t="e">
        <f>'Budget ปี 2026'!AH63</f>
        <v>#DIV/0!</v>
      </c>
      <c r="G19" s="274" t="e">
        <f t="shared" si="0"/>
        <v>#DIV/0!</v>
      </c>
      <c r="H19" s="713" t="str">
        <f t="shared" si="4"/>
        <v/>
      </c>
      <c r="I19" s="2" t="e">
        <f t="shared" si="5"/>
        <v>#DIV/0!</v>
      </c>
      <c r="J19" s="708"/>
    </row>
    <row r="20" spans="1:10" x14ac:dyDescent="0.25">
      <c r="B20" s="270" t="str">
        <f>'Budget ปี 2026'!B68</f>
        <v>รวมค่าอบรมสัมมนา</v>
      </c>
      <c r="C20" s="272">
        <f>'Budget ปี 2026'!E68</f>
        <v>0</v>
      </c>
      <c r="D20" s="282" t="e">
        <f>'Budget ปี 2026'!F68</f>
        <v>#DIV/0!</v>
      </c>
      <c r="E20" s="265">
        <f>'Budget ปี 2026'!U68</f>
        <v>0</v>
      </c>
      <c r="F20" s="266" t="e">
        <f>'Budget ปี 2026'!AH68</f>
        <v>#DIV/0!</v>
      </c>
      <c r="G20" s="274">
        <f t="shared" si="0"/>
        <v>0</v>
      </c>
      <c r="H20" s="713" t="str">
        <f t="shared" si="4"/>
        <v/>
      </c>
      <c r="I20" s="2" t="e">
        <f t="shared" si="5"/>
        <v>#DIV/0!</v>
      </c>
      <c r="J20" s="708"/>
    </row>
    <row r="21" spans="1:10" x14ac:dyDescent="0.25">
      <c r="B21" s="270" t="str">
        <f>'Budget ปี 2026'!B74</f>
        <v>รวม Professional Fees</v>
      </c>
      <c r="C21" s="272">
        <f>'Budget ปี 2026'!E74</f>
        <v>0</v>
      </c>
      <c r="D21" s="282" t="e">
        <f>'Budget ปี 2026'!F74</f>
        <v>#DIV/0!</v>
      </c>
      <c r="E21" s="265" t="e">
        <f>'Budget ปี 2026'!U74</f>
        <v>#DIV/0!</v>
      </c>
      <c r="F21" s="266" t="e">
        <f>'Budget ปี 2026'!AH74</f>
        <v>#DIV/0!</v>
      </c>
      <c r="G21" s="274" t="e">
        <f t="shared" si="0"/>
        <v>#DIV/0!</v>
      </c>
      <c r="H21" s="713" t="str">
        <f t="shared" si="4"/>
        <v/>
      </c>
      <c r="I21" s="2" t="e">
        <f t="shared" si="5"/>
        <v>#DIV/0!</v>
      </c>
      <c r="J21" s="708"/>
    </row>
    <row r="22" spans="1:10" x14ac:dyDescent="0.25">
      <c r="B22" s="270" t="str">
        <f>'Budget ปี 2026'!B79</f>
        <v>รวมค่าธรรมเนียม</v>
      </c>
      <c r="C22" s="272">
        <f>'Budget ปี 2026'!E79</f>
        <v>0</v>
      </c>
      <c r="D22" s="282" t="e">
        <f>'Budget ปี 2026'!F79</f>
        <v>#DIV/0!</v>
      </c>
      <c r="E22" s="265" t="e">
        <f>'Budget ปี 2026'!U79</f>
        <v>#DIV/0!</v>
      </c>
      <c r="F22" s="266" t="e">
        <f>'Budget ปี 2026'!AH79</f>
        <v>#DIV/0!</v>
      </c>
      <c r="G22" s="274" t="e">
        <f t="shared" si="0"/>
        <v>#DIV/0!</v>
      </c>
      <c r="H22" s="713" t="str">
        <f t="shared" si="4"/>
        <v/>
      </c>
      <c r="I22" s="2" t="e">
        <f t="shared" si="5"/>
        <v>#DIV/0!</v>
      </c>
      <c r="J22" s="708"/>
    </row>
    <row r="23" spans="1:10" x14ac:dyDescent="0.25">
      <c r="A23" s="2" t="s">
        <v>729</v>
      </c>
      <c r="B23" s="270" t="str">
        <f>'Budget ปี 2026'!B84</f>
        <v>รวมวัสดุสิ้นเปลือง</v>
      </c>
      <c r="C23" s="272">
        <f>'Budget ปี 2026'!E84</f>
        <v>0</v>
      </c>
      <c r="D23" s="282" t="e">
        <f>'Budget ปี 2026'!F84</f>
        <v>#DIV/0!</v>
      </c>
      <c r="E23" s="265">
        <f>'Budget ปี 2026'!U84</f>
        <v>0</v>
      </c>
      <c r="F23" s="266" t="e">
        <f>'Budget ปี 2026'!AH84</f>
        <v>#DIV/0!</v>
      </c>
      <c r="G23" s="274">
        <f t="shared" si="0"/>
        <v>0</v>
      </c>
      <c r="H23" s="713" t="str">
        <f t="shared" si="4"/>
        <v/>
      </c>
      <c r="I23" s="2" t="e">
        <f t="shared" si="5"/>
        <v>#DIV/0!</v>
      </c>
      <c r="J23" s="708"/>
    </row>
    <row r="24" spans="1:10" x14ac:dyDescent="0.25">
      <c r="B24" s="270" t="str">
        <f>'Budget ปี 2026'!B89</f>
        <v>รวมค่าโฆษณาและส่งเสริมการขาย</v>
      </c>
      <c r="C24" s="272">
        <f>'Budget ปี 2026'!E89</f>
        <v>0</v>
      </c>
      <c r="D24" s="282" t="e">
        <f>'Budget ปี 2026'!F89</f>
        <v>#DIV/0!</v>
      </c>
      <c r="E24" s="265">
        <f>'Budget ปี 2026'!U89</f>
        <v>0</v>
      </c>
      <c r="F24" s="266" t="e">
        <f>'Budget ปี 2026'!AH89</f>
        <v>#DIV/0!</v>
      </c>
      <c r="G24" s="274">
        <f t="shared" si="0"/>
        <v>0</v>
      </c>
      <c r="H24" s="713" t="str">
        <f t="shared" si="4"/>
        <v/>
      </c>
      <c r="I24" s="2" t="e">
        <f t="shared" si="5"/>
        <v>#DIV/0!</v>
      </c>
      <c r="J24" s="708"/>
    </row>
    <row r="25" spans="1:10" x14ac:dyDescent="0.25">
      <c r="B25" s="270" t="str">
        <f>'Budget ปี 2026'!B98</f>
        <v>รวมค่าซ่อมแซมและค่าบำรุงรักษา</v>
      </c>
      <c r="C25" s="272">
        <f>'Budget ปี 2026'!E98</f>
        <v>0</v>
      </c>
      <c r="D25" s="282" t="e">
        <f>'Budget ปี 2026'!F98</f>
        <v>#DIV/0!</v>
      </c>
      <c r="E25" s="265" t="e">
        <f>'Budget ปี 2026'!U98</f>
        <v>#DIV/0!</v>
      </c>
      <c r="F25" s="266" t="e">
        <f>'Budget ปี 2026'!AH98</f>
        <v>#DIV/0!</v>
      </c>
      <c r="G25" s="274" t="e">
        <f t="shared" si="0"/>
        <v>#DIV/0!</v>
      </c>
      <c r="H25" s="713" t="str">
        <f t="shared" si="4"/>
        <v/>
      </c>
      <c r="I25" s="2" t="e">
        <f t="shared" si="5"/>
        <v>#DIV/0!</v>
      </c>
      <c r="J25" s="708"/>
    </row>
    <row r="26" spans="1:10" x14ac:dyDescent="0.25">
      <c r="B26" s="270" t="str">
        <f>'Budget ปี 2026'!B111</f>
        <v>รวมค่าสาธารณูปโภค</v>
      </c>
      <c r="C26" s="272">
        <f>'Budget ปี 2026'!E111</f>
        <v>0</v>
      </c>
      <c r="D26" s="282" t="e">
        <f>'Budget ปี 2026'!F111</f>
        <v>#DIV/0!</v>
      </c>
      <c r="E26" s="265" t="e">
        <f>'Budget ปี 2026'!U111</f>
        <v>#DIV/0!</v>
      </c>
      <c r="F26" s="266" t="e">
        <f>'Budget ปี 2026'!AH111</f>
        <v>#DIV/0!</v>
      </c>
      <c r="G26" s="274" t="e">
        <f t="shared" si="0"/>
        <v>#DIV/0!</v>
      </c>
      <c r="H26" s="713" t="str">
        <f t="shared" si="4"/>
        <v/>
      </c>
      <c r="I26" s="2" t="e">
        <f t="shared" si="5"/>
        <v>#DIV/0!</v>
      </c>
      <c r="J26" s="708"/>
    </row>
    <row r="27" spans="1:10" x14ac:dyDescent="0.25">
      <c r="B27" s="270" t="str">
        <f>'Budget ปี 2026'!B116</f>
        <v>รวมค่าเช่า</v>
      </c>
      <c r="C27" s="272">
        <f>'Budget ปี 2026'!E116</f>
        <v>0</v>
      </c>
      <c r="D27" s="282" t="e">
        <f>'Budget ปี 2026'!F116</f>
        <v>#DIV/0!</v>
      </c>
      <c r="E27" s="265" t="e">
        <f>'Budget ปี 2026'!U116</f>
        <v>#DIV/0!</v>
      </c>
      <c r="F27" s="266">
        <f>'Budget ปี 2026'!AI116</f>
        <v>0</v>
      </c>
      <c r="G27" s="274" t="e">
        <f t="shared" si="0"/>
        <v>#DIV/0!</v>
      </c>
      <c r="H27" s="713" t="str">
        <f t="shared" si="4"/>
        <v/>
      </c>
      <c r="I27" s="2" t="e">
        <f t="shared" si="5"/>
        <v>#DIV/0!</v>
      </c>
      <c r="J27" s="708"/>
    </row>
    <row r="28" spans="1:10" x14ac:dyDescent="0.25">
      <c r="B28" s="270" t="str">
        <f>'Budget ปี 2026'!B121</f>
        <v>รวมค่าใช้จ่ายในการเดินทาง</v>
      </c>
      <c r="C28" s="272">
        <f>'Budget ปี 2026'!E121</f>
        <v>0</v>
      </c>
      <c r="D28" s="282" t="e">
        <f>'Budget ปี 2026'!F121</f>
        <v>#DIV/0!</v>
      </c>
      <c r="E28" s="265" t="e">
        <f>'Budget ปี 2026'!U121</f>
        <v>#DIV/0!</v>
      </c>
      <c r="F28" s="266">
        <f>'Budget ปี 2026'!AI121</f>
        <v>0</v>
      </c>
      <c r="G28" s="274" t="e">
        <f t="shared" si="0"/>
        <v>#DIV/0!</v>
      </c>
      <c r="H28" s="713" t="str">
        <f t="shared" si="4"/>
        <v/>
      </c>
      <c r="I28" s="2" t="e">
        <f t="shared" si="5"/>
        <v>#DIV/0!</v>
      </c>
      <c r="J28" s="708"/>
    </row>
    <row r="29" spans="1:10" x14ac:dyDescent="0.25">
      <c r="B29" s="270" t="str">
        <f>'Budget ปี 2026'!B132</f>
        <v>รวมค่าใช้จ่ายอื่น</v>
      </c>
      <c r="C29" s="272">
        <f>'Budget ปี 2026'!E132</f>
        <v>0</v>
      </c>
      <c r="D29" s="282" t="e">
        <f>'Budget ปี 2026'!F132</f>
        <v>#DIV/0!</v>
      </c>
      <c r="E29" s="265" t="e">
        <f>'Budget ปี 2026'!U132</f>
        <v>#DIV/0!</v>
      </c>
      <c r="F29" s="266" t="e">
        <f>'Budget ปี 2026'!AH132</f>
        <v>#DIV/0!</v>
      </c>
      <c r="G29" s="274" t="e">
        <f t="shared" si="0"/>
        <v>#DIV/0!</v>
      </c>
      <c r="H29" s="713" t="str">
        <f t="shared" si="4"/>
        <v/>
      </c>
      <c r="I29" s="2" t="e">
        <f t="shared" si="5"/>
        <v>#DIV/0!</v>
      </c>
      <c r="J29" s="708"/>
    </row>
    <row r="30" spans="1:10" x14ac:dyDescent="0.25">
      <c r="B30" s="270" t="str">
        <f>'Budget ปี 2026'!B141</f>
        <v>รวมภาษี</v>
      </c>
      <c r="C30" s="272">
        <f>'Budget ปี 2026'!E141</f>
        <v>0</v>
      </c>
      <c r="D30" s="282" t="e">
        <f>'Budget ปี 2026'!F141</f>
        <v>#DIV/0!</v>
      </c>
      <c r="E30" s="265" t="e">
        <f>'Budget ปี 2026'!U141</f>
        <v>#DIV/0!</v>
      </c>
      <c r="F30" s="266">
        <f>'Budget ปี 2026'!AI141</f>
        <v>0</v>
      </c>
      <c r="G30" s="274" t="e">
        <f t="shared" si="0"/>
        <v>#DIV/0!</v>
      </c>
      <c r="H30" s="713" t="str">
        <f t="shared" si="4"/>
        <v/>
      </c>
      <c r="I30" s="2" t="e">
        <f t="shared" si="5"/>
        <v>#DIV/0!</v>
      </c>
      <c r="J30" s="708"/>
    </row>
    <row r="31" spans="1:10" x14ac:dyDescent="0.25">
      <c r="B31" s="270" t="str">
        <f>'Budget ปี 2026'!B146</f>
        <v>รวมค่าใช้จ่ายตัดบัญชี</v>
      </c>
      <c r="C31" s="272">
        <f>'Budget ปี 2026'!E146</f>
        <v>0</v>
      </c>
      <c r="D31" s="282" t="e">
        <f>'Budget ปี 2026'!F146</f>
        <v>#DIV/0!</v>
      </c>
      <c r="E31" s="265" t="e">
        <f>'Budget ปี 2026'!U146</f>
        <v>#DIV/0!</v>
      </c>
      <c r="F31" s="266" t="e">
        <f>'Budget ปี 2026'!AH146</f>
        <v>#DIV/0!</v>
      </c>
      <c r="G31" s="274" t="e">
        <f t="shared" si="0"/>
        <v>#DIV/0!</v>
      </c>
      <c r="H31" s="713" t="str">
        <f t="shared" si="4"/>
        <v/>
      </c>
      <c r="I31" s="2" t="e">
        <f t="shared" si="5"/>
        <v>#DIV/0!</v>
      </c>
      <c r="J31" s="708"/>
    </row>
    <row r="32" spans="1:10" x14ac:dyDescent="0.25">
      <c r="B32" s="270" t="str">
        <f>'Budget ปี 2026'!B147</f>
        <v>รวมค่าใช้จ่ายในการบริหาร</v>
      </c>
      <c r="C32" s="272">
        <f>'Budget ปี 2026'!E147</f>
        <v>0</v>
      </c>
      <c r="D32" s="282" t="e">
        <f>'Budget ปี 2026'!F147</f>
        <v>#DIV/0!</v>
      </c>
      <c r="E32" s="265" t="e">
        <f>'Budget ปี 2026'!U147</f>
        <v>#DIV/0!</v>
      </c>
      <c r="F32" s="266" t="e">
        <f>'Budget ปี 2026'!AH147</f>
        <v>#DIV/0!</v>
      </c>
      <c r="G32" s="274" t="e">
        <f t="shared" si="0"/>
        <v>#DIV/0!</v>
      </c>
      <c r="H32" s="713" t="str">
        <f t="shared" si="4"/>
        <v/>
      </c>
      <c r="I32" s="2" t="e">
        <f t="shared" si="5"/>
        <v>#DIV/0!</v>
      </c>
      <c r="J32" s="708"/>
    </row>
    <row r="33" spans="2:10" x14ac:dyDescent="0.25">
      <c r="B33" s="270" t="str">
        <f>'Budget ปี 2026'!B148</f>
        <v>กำไร(ขาดทุน)ก่อนหักค่าเสื่อมราคา</v>
      </c>
      <c r="C33" s="272">
        <f>'Budget ปี 2026'!E148</f>
        <v>0</v>
      </c>
      <c r="D33" s="282" t="e">
        <f>'Budget ปี 2026'!F148</f>
        <v>#DIV/0!</v>
      </c>
      <c r="E33" s="265" t="e">
        <f>'Budget ปี 2026'!U148</f>
        <v>#DIV/0!</v>
      </c>
      <c r="F33" s="266" t="e">
        <f>'Budget ปี 2026'!AH148</f>
        <v>#DIV/0!</v>
      </c>
      <c r="G33" s="274" t="e">
        <f t="shared" si="0"/>
        <v>#DIV/0!</v>
      </c>
      <c r="H33" s="713" t="str">
        <f t="shared" si="4"/>
        <v/>
      </c>
      <c r="I33" s="2" t="e">
        <f t="shared" si="5"/>
        <v>#DIV/0!</v>
      </c>
      <c r="J33" s="708"/>
    </row>
    <row r="34" spans="2:10" x14ac:dyDescent="0.25">
      <c r="B34" s="270" t="str">
        <f>'Budget ปี 2026'!B164</f>
        <v>รวมค่าเสื่อมราคา</v>
      </c>
      <c r="C34" s="272">
        <f>'Budget ปี 2026'!E164</f>
        <v>0</v>
      </c>
      <c r="D34" s="282" t="e">
        <f>'Budget ปี 2026'!F164</f>
        <v>#DIV/0!</v>
      </c>
      <c r="E34" s="265">
        <f>'Budget ปี 2026'!U164</f>
        <v>0</v>
      </c>
      <c r="F34" s="266" t="e">
        <f>'Budget ปี 2026'!AH164</f>
        <v>#DIV/0!</v>
      </c>
      <c r="G34" s="274">
        <f t="shared" si="0"/>
        <v>0</v>
      </c>
      <c r="H34" s="713" t="str">
        <f t="shared" si="4"/>
        <v/>
      </c>
      <c r="I34" s="2" t="e">
        <f t="shared" si="5"/>
        <v>#DIV/0!</v>
      </c>
      <c r="J34" s="708"/>
    </row>
    <row r="35" spans="2:10" ht="12" thickBot="1" x14ac:dyDescent="0.3">
      <c r="B35" s="316" t="str">
        <f>'Budget ปี 2026'!B168</f>
        <v>รวม Asset Movement</v>
      </c>
      <c r="C35" s="317">
        <f>'Budget ปี 2026'!E168</f>
        <v>0</v>
      </c>
      <c r="D35" s="318" t="e">
        <f>'Budget ปี 2026'!F168</f>
        <v>#DIV/0!</v>
      </c>
      <c r="E35" s="303" t="e">
        <f>'Budget ปี 2026'!U168</f>
        <v>#DIV/0!</v>
      </c>
      <c r="F35" s="304" t="e">
        <f>'Budget ปี 2026'!AH168</f>
        <v>#DIV/0!</v>
      </c>
      <c r="G35" s="305" t="e">
        <f t="shared" si="0"/>
        <v>#DIV/0!</v>
      </c>
      <c r="H35" s="713" t="str">
        <f t="shared" si="4"/>
        <v/>
      </c>
      <c r="I35" s="2" t="e">
        <f t="shared" si="5"/>
        <v>#DIV/0!</v>
      </c>
      <c r="J35" s="708"/>
    </row>
    <row r="36" spans="2:10" ht="12" thickBot="1" x14ac:dyDescent="0.3">
      <c r="B36" s="626" t="str">
        <f>'Budget ปี 2026'!B169</f>
        <v>กำไร (ขาดทุน)ก่อนหัก Back Office</v>
      </c>
      <c r="C36" s="627">
        <f>'Budget ปี 2026'!E169</f>
        <v>0</v>
      </c>
      <c r="D36" s="628" t="e">
        <f>'Budget ปี 2026'!F169</f>
        <v>#DIV/0!</v>
      </c>
      <c r="E36" s="629" t="e">
        <f>'Budget ปี 2026'!U169</f>
        <v>#DIV/0!</v>
      </c>
      <c r="F36" s="630" t="e">
        <f>'Budget ปี 2026'!AH169</f>
        <v>#DIV/0!</v>
      </c>
      <c r="G36" s="631" t="e">
        <f t="shared" si="0"/>
        <v>#DIV/0!</v>
      </c>
      <c r="H36" s="630" t="e">
        <f>G36/C36</f>
        <v>#DIV/0!</v>
      </c>
      <c r="I36" s="51" t="s">
        <v>727</v>
      </c>
      <c r="J36" s="708"/>
    </row>
    <row r="37" spans="2:10" ht="12" thickBot="1" x14ac:dyDescent="0.3">
      <c r="B37" s="300" t="str">
        <f>'Budget ปี 2026'!B173</f>
        <v>รวมค่าใช้จ่ายระหว่างกัน</v>
      </c>
      <c r="C37" s="301">
        <f>'Budget ปี 2026'!E174</f>
        <v>0</v>
      </c>
      <c r="D37" s="302" t="e">
        <f>'Budget ปี 2026'!F174</f>
        <v>#DIV/0!</v>
      </c>
      <c r="E37" s="325" t="e">
        <f>'Budget ปี 2026'!U174</f>
        <v>#DIV/0!</v>
      </c>
      <c r="F37" s="326" t="e">
        <f>'Budget ปี 2026'!AH174</f>
        <v>#DIV/0!</v>
      </c>
      <c r="G37" s="327" t="e">
        <f t="shared" si="0"/>
        <v>#DIV/0!</v>
      </c>
      <c r="H37" s="326" t="e">
        <f t="shared" si="1"/>
        <v>#DIV/0!</v>
      </c>
      <c r="J37" s="708"/>
    </row>
    <row r="38" spans="2:10" ht="12" thickBot="1" x14ac:dyDescent="0.3">
      <c r="B38" s="319" t="str">
        <f>'Budget ปี 2026'!B174</f>
        <v>กำไร (ขาดทุน)ก่อนดอกเบี้ยและภาษี</v>
      </c>
      <c r="C38" s="320">
        <f>'Budget ปี 2026'!E174</f>
        <v>0</v>
      </c>
      <c r="D38" s="321" t="e">
        <f>'Budget ปี 2026'!F174</f>
        <v>#DIV/0!</v>
      </c>
      <c r="E38" s="322" t="e">
        <f>'Budget ปี 2026'!U174</f>
        <v>#DIV/0!</v>
      </c>
      <c r="F38" s="323" t="e">
        <f>'Budget ปี 2026'!AH174</f>
        <v>#DIV/0!</v>
      </c>
      <c r="G38" s="324" t="e">
        <f t="shared" si="0"/>
        <v>#DIV/0!</v>
      </c>
      <c r="H38" s="323" t="e">
        <f t="shared" si="1"/>
        <v>#DIV/0!</v>
      </c>
    </row>
    <row r="39" spans="2:10" x14ac:dyDescent="0.25">
      <c r="B39" s="269" t="str">
        <f>'Budget ปี 2026'!B183</f>
        <v>รวมดอกเบี้ยธนาคาร</v>
      </c>
      <c r="C39" s="271">
        <f>'Budget ปี 2026'!E183</f>
        <v>0</v>
      </c>
      <c r="D39" s="281" t="e">
        <f>'Budget ปี 2026'!F183</f>
        <v>#DIV/0!</v>
      </c>
      <c r="E39" s="267">
        <f>'Budget ปี 2026'!U183</f>
        <v>0</v>
      </c>
      <c r="F39" s="268" t="e">
        <f>'Budget ปี 2026'!AH183</f>
        <v>#DIV/0!</v>
      </c>
      <c r="G39" s="273">
        <f t="shared" si="0"/>
        <v>0</v>
      </c>
      <c r="H39" s="268" t="e">
        <f t="shared" si="1"/>
        <v>#DIV/0!</v>
      </c>
    </row>
    <row r="40" spans="2:10" ht="12" thickBot="1" x14ac:dyDescent="0.3">
      <c r="B40" s="270" t="str">
        <f>'Budget ปี 2026'!B185</f>
        <v>ภาษีเงินได้นิติบุคคล</v>
      </c>
      <c r="C40" s="272">
        <f>'Budget ปี 2026'!E185</f>
        <v>0</v>
      </c>
      <c r="D40" s="282" t="e">
        <f>'Budget ปี 2026'!F185</f>
        <v>#DIV/0!</v>
      </c>
      <c r="E40" s="265" t="e">
        <f>'Budget ปี 2026'!U185</f>
        <v>#DIV/0!</v>
      </c>
      <c r="F40" s="266" t="e">
        <f>'Budget ปี 2026'!AH185</f>
        <v>#DIV/0!</v>
      </c>
      <c r="G40" s="274" t="e">
        <f t="shared" si="0"/>
        <v>#DIV/0!</v>
      </c>
      <c r="H40" s="266" t="e">
        <f t="shared" si="1"/>
        <v>#DIV/0!</v>
      </c>
    </row>
    <row r="41" spans="2:10" s="12" customFormat="1" ht="12" thickBot="1" x14ac:dyDescent="0.3">
      <c r="B41" s="632" t="str">
        <f>'Budget ปี 2026'!B186</f>
        <v>กำไร (ขาดทุน) สุทธิ</v>
      </c>
      <c r="C41" s="633">
        <f>'Budget ปี 2026'!E186</f>
        <v>0</v>
      </c>
      <c r="D41" s="634" t="e">
        <f>'Budget ปี 2026'!F186</f>
        <v>#DIV/0!</v>
      </c>
      <c r="E41" s="635" t="e">
        <f>'Budget ปี 2026'!U186</f>
        <v>#DIV/0!</v>
      </c>
      <c r="F41" s="636" t="e">
        <f>'Budget ปี 2026'!AH186</f>
        <v>#DIV/0!</v>
      </c>
      <c r="G41" s="637" t="e">
        <f t="shared" si="0"/>
        <v>#DIV/0!</v>
      </c>
      <c r="H41" s="636" t="e">
        <f>G41/C41</f>
        <v>#DIV/0!</v>
      </c>
    </row>
    <row r="42" spans="2:10" x14ac:dyDescent="0.25">
      <c r="B42" s="3"/>
    </row>
    <row r="43" spans="2:10" x14ac:dyDescent="0.25">
      <c r="B43" s="3"/>
    </row>
  </sheetData>
  <mergeCells count="5">
    <mergeCell ref="C3:D3"/>
    <mergeCell ref="E3:F3"/>
    <mergeCell ref="B3:B4"/>
    <mergeCell ref="G3:H3"/>
    <mergeCell ref="B2:H2"/>
  </mergeCells>
  <conditionalFormatting sqref="H15:H35">
    <cfRule type="cellIs" dxfId="1" priority="2" operator="greaterThan">
      <formula>$H$14</formula>
    </cfRule>
  </conditionalFormatting>
  <conditionalFormatting sqref="I15:I35">
    <cfRule type="containsText" dxfId="0" priority="1" operator="containsText" text="false">
      <formula>NOT(ISERROR(SEARCH("false",I15)))</formula>
    </cfRule>
  </conditionalFormatting>
  <pageMargins left="0.7" right="0.7" top="0.75" bottom="0.75" header="0.3" footer="0.3"/>
  <pageSetup paperSize="30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B1:R58"/>
  <sheetViews>
    <sheetView tabSelected="1" zoomScale="80" zoomScaleNormal="80" workbookViewId="0">
      <selection activeCell="D36" sqref="D36:E36"/>
    </sheetView>
  </sheetViews>
  <sheetFormatPr defaultColWidth="8.6640625" defaultRowHeight="11.5" x14ac:dyDescent="0.25"/>
  <cols>
    <col min="1" max="1" width="8.6640625" style="540"/>
    <col min="2" max="2" width="7.109375" style="540" customWidth="1"/>
    <col min="3" max="3" width="38.109375" style="540" customWidth="1"/>
    <col min="4" max="4" width="12.33203125" style="540" customWidth="1"/>
    <col min="5" max="5" width="21.6640625" style="540" customWidth="1"/>
    <col min="6" max="6" width="8.6640625" style="540"/>
    <col min="7" max="7" width="10.109375" style="540" customWidth="1"/>
    <col min="8" max="16" width="8.6640625" style="540"/>
    <col min="17" max="17" width="13.109375" style="540" customWidth="1"/>
    <col min="18" max="16384" width="8.6640625" style="540"/>
  </cols>
  <sheetData>
    <row r="1" spans="2:18" ht="12" thickBot="1" x14ac:dyDescent="0.3"/>
    <row r="2" spans="2:18" s="373" customFormat="1" ht="15" customHeight="1" x14ac:dyDescent="0.25">
      <c r="B2" s="769" t="s">
        <v>276</v>
      </c>
      <c r="C2" s="771" t="s">
        <v>277</v>
      </c>
      <c r="D2" s="773" t="s">
        <v>150</v>
      </c>
      <c r="E2" s="775" t="s">
        <v>278</v>
      </c>
      <c r="F2" s="776"/>
      <c r="G2" s="776"/>
      <c r="H2" s="776"/>
      <c r="I2" s="776"/>
      <c r="J2" s="776"/>
      <c r="K2" s="776"/>
      <c r="L2" s="776"/>
      <c r="M2" s="776"/>
      <c r="N2" s="776"/>
      <c r="O2" s="776"/>
      <c r="P2" s="776"/>
      <c r="Q2" s="777"/>
    </row>
    <row r="3" spans="2:18" s="373" customFormat="1" ht="15" customHeight="1" thickBot="1" x14ac:dyDescent="0.3">
      <c r="B3" s="770"/>
      <c r="C3" s="772"/>
      <c r="D3" s="774"/>
      <c r="E3" s="638" t="s">
        <v>279</v>
      </c>
      <c r="F3" s="639" t="s">
        <v>280</v>
      </c>
      <c r="G3" s="639" t="s">
        <v>281</v>
      </c>
      <c r="H3" s="639" t="s">
        <v>282</v>
      </c>
      <c r="I3" s="639" t="s">
        <v>33</v>
      </c>
      <c r="J3" s="639" t="s">
        <v>283</v>
      </c>
      <c r="K3" s="639" t="s">
        <v>284</v>
      </c>
      <c r="L3" s="639" t="s">
        <v>285</v>
      </c>
      <c r="M3" s="639" t="s">
        <v>286</v>
      </c>
      <c r="N3" s="639" t="s">
        <v>287</v>
      </c>
      <c r="O3" s="639" t="s">
        <v>288</v>
      </c>
      <c r="P3" s="639" t="s">
        <v>289</v>
      </c>
      <c r="Q3" s="640" t="s">
        <v>98</v>
      </c>
    </row>
    <row r="4" spans="2:18" s="373" customFormat="1" ht="15" customHeight="1" x14ac:dyDescent="0.25">
      <c r="B4" s="641">
        <v>1</v>
      </c>
      <c r="C4" s="642"/>
      <c r="D4" s="643">
        <f>IFERROR(VLOOKUP(C4,$C$37:$D$143,2,0),0)</f>
        <v>0</v>
      </c>
      <c r="E4" s="675"/>
      <c r="F4" s="676"/>
      <c r="G4" s="676"/>
      <c r="H4" s="676"/>
      <c r="I4" s="676"/>
      <c r="J4" s="676"/>
      <c r="K4" s="676"/>
      <c r="L4" s="676"/>
      <c r="M4" s="676"/>
      <c r="N4" s="676"/>
      <c r="O4" s="676"/>
      <c r="P4" s="676"/>
      <c r="Q4" s="339">
        <f>SUM(E4:P4)</f>
        <v>0</v>
      </c>
      <c r="R4" s="711" t="s">
        <v>732</v>
      </c>
    </row>
    <row r="5" spans="2:18" s="373" customFormat="1" ht="15" customHeight="1" x14ac:dyDescent="0.25">
      <c r="B5" s="645">
        <v>2</v>
      </c>
      <c r="C5" s="642"/>
      <c r="D5" s="643">
        <f t="shared" ref="D5:D13" si="0">IFERROR(VLOOKUP(C5,$C$37:$D$143,2,0),0)</f>
        <v>0</v>
      </c>
      <c r="E5" s="677"/>
      <c r="F5" s="678"/>
      <c r="G5" s="678"/>
      <c r="H5" s="678"/>
      <c r="I5" s="678"/>
      <c r="J5" s="678"/>
      <c r="K5" s="678"/>
      <c r="L5" s="678"/>
      <c r="M5" s="678"/>
      <c r="N5" s="678"/>
      <c r="O5" s="678"/>
      <c r="P5" s="678"/>
      <c r="Q5" s="343">
        <f t="shared" ref="Q5:Q13" si="1">SUM(E5:P5)</f>
        <v>0</v>
      </c>
      <c r="R5" s="711" t="s">
        <v>739</v>
      </c>
    </row>
    <row r="6" spans="2:18" s="373" customFormat="1" ht="15" customHeight="1" x14ac:dyDescent="0.25">
      <c r="B6" s="645">
        <v>3</v>
      </c>
      <c r="C6" s="642"/>
      <c r="D6" s="643">
        <f t="shared" si="0"/>
        <v>0</v>
      </c>
      <c r="E6" s="677"/>
      <c r="F6" s="678"/>
      <c r="G6" s="678"/>
      <c r="H6" s="678"/>
      <c r="I6" s="678"/>
      <c r="J6" s="678"/>
      <c r="K6" s="678"/>
      <c r="L6" s="678"/>
      <c r="M6" s="678"/>
      <c r="N6" s="678"/>
      <c r="O6" s="678"/>
      <c r="P6" s="678"/>
      <c r="Q6" s="343">
        <f t="shared" si="1"/>
        <v>0</v>
      </c>
    </row>
    <row r="7" spans="2:18" s="373" customFormat="1" ht="15" customHeight="1" x14ac:dyDescent="0.25">
      <c r="B7" s="645">
        <v>4</v>
      </c>
      <c r="C7" s="642"/>
      <c r="D7" s="643">
        <f t="shared" si="0"/>
        <v>0</v>
      </c>
      <c r="E7" s="677"/>
      <c r="F7" s="678"/>
      <c r="G7" s="678"/>
      <c r="H7" s="678"/>
      <c r="I7" s="678"/>
      <c r="J7" s="678"/>
      <c r="K7" s="678"/>
      <c r="L7" s="678"/>
      <c r="M7" s="678"/>
      <c r="N7" s="678"/>
      <c r="O7" s="678"/>
      <c r="P7" s="678"/>
      <c r="Q7" s="343">
        <f t="shared" si="1"/>
        <v>0</v>
      </c>
    </row>
    <row r="8" spans="2:18" s="373" customFormat="1" ht="15" customHeight="1" x14ac:dyDescent="0.25">
      <c r="B8" s="645">
        <v>5</v>
      </c>
      <c r="C8" s="642"/>
      <c r="D8" s="643">
        <f t="shared" si="0"/>
        <v>0</v>
      </c>
      <c r="E8" s="677"/>
      <c r="F8" s="678"/>
      <c r="G8" s="678"/>
      <c r="H8" s="678"/>
      <c r="I8" s="678"/>
      <c r="J8" s="678"/>
      <c r="K8" s="678"/>
      <c r="L8" s="678"/>
      <c r="M8" s="678"/>
      <c r="N8" s="678"/>
      <c r="O8" s="678"/>
      <c r="P8" s="678"/>
      <c r="Q8" s="343">
        <f t="shared" si="1"/>
        <v>0</v>
      </c>
    </row>
    <row r="9" spans="2:18" s="373" customFormat="1" ht="15" customHeight="1" x14ac:dyDescent="0.25">
      <c r="B9" s="645">
        <v>6</v>
      </c>
      <c r="C9" s="642"/>
      <c r="D9" s="643">
        <f t="shared" si="0"/>
        <v>0</v>
      </c>
      <c r="E9" s="677"/>
      <c r="F9" s="678"/>
      <c r="G9" s="678"/>
      <c r="H9" s="678"/>
      <c r="I9" s="678"/>
      <c r="J9" s="678"/>
      <c r="K9" s="678"/>
      <c r="L9" s="678"/>
      <c r="M9" s="678"/>
      <c r="N9" s="678"/>
      <c r="O9" s="678"/>
      <c r="P9" s="678"/>
      <c r="Q9" s="343">
        <f t="shared" si="1"/>
        <v>0</v>
      </c>
    </row>
    <row r="10" spans="2:18" s="373" customFormat="1" ht="15" customHeight="1" x14ac:dyDescent="0.25">
      <c r="B10" s="645">
        <v>7</v>
      </c>
      <c r="C10" s="642"/>
      <c r="D10" s="643">
        <f t="shared" si="0"/>
        <v>0</v>
      </c>
      <c r="E10" s="677"/>
      <c r="F10" s="678"/>
      <c r="G10" s="678"/>
      <c r="H10" s="678"/>
      <c r="I10" s="678"/>
      <c r="J10" s="678"/>
      <c r="K10" s="678"/>
      <c r="L10" s="678"/>
      <c r="M10" s="678"/>
      <c r="N10" s="678"/>
      <c r="O10" s="678"/>
      <c r="P10" s="678"/>
      <c r="Q10" s="343">
        <f t="shared" si="1"/>
        <v>0</v>
      </c>
    </row>
    <row r="11" spans="2:18" s="373" customFormat="1" ht="15" customHeight="1" x14ac:dyDescent="0.25">
      <c r="B11" s="645">
        <v>8</v>
      </c>
      <c r="C11" s="642"/>
      <c r="D11" s="643">
        <f t="shared" si="0"/>
        <v>0</v>
      </c>
      <c r="E11" s="677"/>
      <c r="F11" s="678"/>
      <c r="G11" s="678"/>
      <c r="H11" s="678"/>
      <c r="I11" s="678"/>
      <c r="J11" s="678"/>
      <c r="K11" s="678"/>
      <c r="L11" s="678"/>
      <c r="M11" s="678"/>
      <c r="N11" s="678"/>
      <c r="O11" s="678"/>
      <c r="P11" s="678"/>
      <c r="Q11" s="343">
        <f t="shared" si="1"/>
        <v>0</v>
      </c>
    </row>
    <row r="12" spans="2:18" s="373" customFormat="1" ht="15" customHeight="1" x14ac:dyDescent="0.25">
      <c r="B12" s="645">
        <v>9</v>
      </c>
      <c r="C12" s="642"/>
      <c r="D12" s="643">
        <f t="shared" si="0"/>
        <v>0</v>
      </c>
      <c r="E12" s="677"/>
      <c r="F12" s="678"/>
      <c r="G12" s="678"/>
      <c r="H12" s="678"/>
      <c r="I12" s="678"/>
      <c r="J12" s="678"/>
      <c r="K12" s="678"/>
      <c r="L12" s="678"/>
      <c r="M12" s="678"/>
      <c r="N12" s="678"/>
      <c r="O12" s="678"/>
      <c r="P12" s="678"/>
      <c r="Q12" s="343">
        <f t="shared" si="1"/>
        <v>0</v>
      </c>
    </row>
    <row r="13" spans="2:18" s="373" customFormat="1" ht="15" customHeight="1" x14ac:dyDescent="0.25">
      <c r="B13" s="645">
        <v>10</v>
      </c>
      <c r="C13" s="642"/>
      <c r="D13" s="643">
        <f t="shared" si="0"/>
        <v>0</v>
      </c>
      <c r="E13" s="677"/>
      <c r="F13" s="678"/>
      <c r="G13" s="678"/>
      <c r="H13" s="678"/>
      <c r="I13" s="678"/>
      <c r="J13" s="678"/>
      <c r="K13" s="678"/>
      <c r="L13" s="678"/>
      <c r="M13" s="678"/>
      <c r="N13" s="678"/>
      <c r="O13" s="678"/>
      <c r="P13" s="678"/>
      <c r="Q13" s="343">
        <f t="shared" si="1"/>
        <v>0</v>
      </c>
    </row>
    <row r="14" spans="2:18" s="373" customFormat="1" ht="15" customHeight="1" thickBot="1" x14ac:dyDescent="0.3">
      <c r="B14" s="647"/>
      <c r="C14" s="648"/>
      <c r="D14" s="649"/>
      <c r="E14" s="679"/>
      <c r="F14" s="680"/>
      <c r="G14" s="680"/>
      <c r="H14" s="680"/>
      <c r="I14" s="680"/>
      <c r="J14" s="680"/>
      <c r="K14" s="680"/>
      <c r="L14" s="680"/>
      <c r="M14" s="680"/>
      <c r="N14" s="680"/>
      <c r="O14" s="680"/>
      <c r="P14" s="680"/>
      <c r="Q14" s="349"/>
    </row>
    <row r="15" spans="2:18" s="373" customFormat="1" ht="15" customHeight="1" thickBot="1" x14ac:dyDescent="0.3">
      <c r="B15" s="651"/>
      <c r="C15" s="652" t="s">
        <v>290</v>
      </c>
      <c r="D15" s="653"/>
      <c r="E15" s="654">
        <f>SUM(E4:E14)</f>
        <v>0</v>
      </c>
      <c r="F15" s="655">
        <f t="shared" ref="F15:Q15" si="2">SUM(F4:F14)</f>
        <v>0</v>
      </c>
      <c r="G15" s="655">
        <f t="shared" si="2"/>
        <v>0</v>
      </c>
      <c r="H15" s="655">
        <f t="shared" si="2"/>
        <v>0</v>
      </c>
      <c r="I15" s="655">
        <f t="shared" si="2"/>
        <v>0</v>
      </c>
      <c r="J15" s="655">
        <f t="shared" si="2"/>
        <v>0</v>
      </c>
      <c r="K15" s="655">
        <f t="shared" si="2"/>
        <v>0</v>
      </c>
      <c r="L15" s="655">
        <f t="shared" si="2"/>
        <v>0</v>
      </c>
      <c r="M15" s="655">
        <f t="shared" si="2"/>
        <v>0</v>
      </c>
      <c r="N15" s="655">
        <f t="shared" si="2"/>
        <v>0</v>
      </c>
      <c r="O15" s="655">
        <f t="shared" si="2"/>
        <v>0</v>
      </c>
      <c r="P15" s="655">
        <f t="shared" si="2"/>
        <v>0</v>
      </c>
      <c r="Q15" s="354">
        <f t="shared" si="2"/>
        <v>0</v>
      </c>
    </row>
    <row r="16" spans="2:18" ht="12" thickBot="1" x14ac:dyDescent="0.3">
      <c r="C16" s="661" t="s">
        <v>670</v>
      </c>
      <c r="D16" s="662"/>
    </row>
    <row r="17" spans="2:17" s="373" customFormat="1" ht="15" customHeight="1" x14ac:dyDescent="0.25">
      <c r="B17" s="769" t="s">
        <v>276</v>
      </c>
      <c r="C17" s="771" t="s">
        <v>277</v>
      </c>
      <c r="D17" s="773" t="s">
        <v>150</v>
      </c>
      <c r="E17" s="775" t="s">
        <v>291</v>
      </c>
      <c r="F17" s="776"/>
      <c r="G17" s="776"/>
      <c r="H17" s="776"/>
      <c r="I17" s="776"/>
      <c r="J17" s="776"/>
      <c r="K17" s="776"/>
      <c r="L17" s="776"/>
      <c r="M17" s="776"/>
      <c r="N17" s="776"/>
      <c r="O17" s="776"/>
      <c r="P17" s="776"/>
      <c r="Q17" s="777"/>
    </row>
    <row r="18" spans="2:17" s="373" customFormat="1" ht="15" customHeight="1" thickBot="1" x14ac:dyDescent="0.3">
      <c r="B18" s="770"/>
      <c r="C18" s="772"/>
      <c r="D18" s="774"/>
      <c r="E18" s="638" t="s">
        <v>279</v>
      </c>
      <c r="F18" s="639" t="s">
        <v>280</v>
      </c>
      <c r="G18" s="639" t="s">
        <v>281</v>
      </c>
      <c r="H18" s="639" t="s">
        <v>282</v>
      </c>
      <c r="I18" s="639" t="s">
        <v>33</v>
      </c>
      <c r="J18" s="639" t="s">
        <v>283</v>
      </c>
      <c r="K18" s="639" t="s">
        <v>284</v>
      </c>
      <c r="L18" s="639" t="s">
        <v>285</v>
      </c>
      <c r="M18" s="639" t="s">
        <v>286</v>
      </c>
      <c r="N18" s="639" t="s">
        <v>287</v>
      </c>
      <c r="O18" s="639" t="s">
        <v>288</v>
      </c>
      <c r="P18" s="639" t="s">
        <v>289</v>
      </c>
      <c r="Q18" s="640" t="s">
        <v>98</v>
      </c>
    </row>
    <row r="19" spans="2:17" s="373" customFormat="1" ht="15" customHeight="1" x14ac:dyDescent="0.25">
      <c r="B19" s="641">
        <v>1</v>
      </c>
      <c r="C19" s="656">
        <f>C4</f>
        <v>0</v>
      </c>
      <c r="D19" s="657">
        <f>D4</f>
        <v>0</v>
      </c>
      <c r="E19" s="663">
        <f>$D19*E4</f>
        <v>0</v>
      </c>
      <c r="F19" s="664">
        <f t="shared" ref="F19:P20" si="3">$D19*F4</f>
        <v>0</v>
      </c>
      <c r="G19" s="664">
        <f t="shared" si="3"/>
        <v>0</v>
      </c>
      <c r="H19" s="664">
        <f t="shared" si="3"/>
        <v>0</v>
      </c>
      <c r="I19" s="664">
        <f t="shared" si="3"/>
        <v>0</v>
      </c>
      <c r="J19" s="664">
        <f t="shared" si="3"/>
        <v>0</v>
      </c>
      <c r="K19" s="664">
        <f t="shared" si="3"/>
        <v>0</v>
      </c>
      <c r="L19" s="664">
        <f t="shared" si="3"/>
        <v>0</v>
      </c>
      <c r="M19" s="664">
        <f t="shared" si="3"/>
        <v>0</v>
      </c>
      <c r="N19" s="664">
        <f t="shared" si="3"/>
        <v>0</v>
      </c>
      <c r="O19" s="664">
        <f t="shared" si="3"/>
        <v>0</v>
      </c>
      <c r="P19" s="664">
        <f t="shared" si="3"/>
        <v>0</v>
      </c>
      <c r="Q19" s="665">
        <f>SUM(E19:P19)</f>
        <v>0</v>
      </c>
    </row>
    <row r="20" spans="2:17" s="373" customFormat="1" ht="15" customHeight="1" x14ac:dyDescent="0.25">
      <c r="B20" s="645">
        <v>2</v>
      </c>
      <c r="C20" s="658">
        <f>C5</f>
        <v>0</v>
      </c>
      <c r="D20" s="657">
        <f t="shared" ref="D20:D28" si="4">D5</f>
        <v>0</v>
      </c>
      <c r="E20" s="666">
        <f>$D20*E5</f>
        <v>0</v>
      </c>
      <c r="F20" s="667">
        <f t="shared" si="3"/>
        <v>0</v>
      </c>
      <c r="G20" s="667">
        <f t="shared" si="3"/>
        <v>0</v>
      </c>
      <c r="H20" s="667">
        <f t="shared" si="3"/>
        <v>0</v>
      </c>
      <c r="I20" s="667">
        <f t="shared" si="3"/>
        <v>0</v>
      </c>
      <c r="J20" s="667">
        <f t="shared" si="3"/>
        <v>0</v>
      </c>
      <c r="K20" s="667">
        <f t="shared" si="3"/>
        <v>0</v>
      </c>
      <c r="L20" s="667">
        <f t="shared" si="3"/>
        <v>0</v>
      </c>
      <c r="M20" s="667">
        <f t="shared" si="3"/>
        <v>0</v>
      </c>
      <c r="N20" s="667">
        <f t="shared" si="3"/>
        <v>0</v>
      </c>
      <c r="O20" s="667">
        <f t="shared" si="3"/>
        <v>0</v>
      </c>
      <c r="P20" s="667">
        <f t="shared" si="3"/>
        <v>0</v>
      </c>
      <c r="Q20" s="668">
        <f t="shared" ref="Q20:Q28" si="5">SUM(E20:P20)</f>
        <v>0</v>
      </c>
    </row>
    <row r="21" spans="2:17" s="373" customFormat="1" ht="15" customHeight="1" x14ac:dyDescent="0.25">
      <c r="B21" s="645">
        <v>3</v>
      </c>
      <c r="C21" s="658">
        <f t="shared" ref="C21:C28" si="6">C6</f>
        <v>0</v>
      </c>
      <c r="D21" s="657">
        <f t="shared" si="4"/>
        <v>0</v>
      </c>
      <c r="E21" s="666">
        <f t="shared" ref="E21:P28" si="7">$D21*E6</f>
        <v>0</v>
      </c>
      <c r="F21" s="667">
        <f t="shared" si="7"/>
        <v>0</v>
      </c>
      <c r="G21" s="667">
        <f t="shared" si="7"/>
        <v>0</v>
      </c>
      <c r="H21" s="667">
        <f t="shared" si="7"/>
        <v>0</v>
      </c>
      <c r="I21" s="667">
        <f t="shared" si="7"/>
        <v>0</v>
      </c>
      <c r="J21" s="667">
        <f t="shared" si="7"/>
        <v>0</v>
      </c>
      <c r="K21" s="667">
        <f t="shared" si="7"/>
        <v>0</v>
      </c>
      <c r="L21" s="667">
        <f t="shared" si="7"/>
        <v>0</v>
      </c>
      <c r="M21" s="667">
        <f t="shared" si="7"/>
        <v>0</v>
      </c>
      <c r="N21" s="667">
        <f t="shared" si="7"/>
        <v>0</v>
      </c>
      <c r="O21" s="667">
        <f t="shared" si="7"/>
        <v>0</v>
      </c>
      <c r="P21" s="667">
        <f t="shared" si="7"/>
        <v>0</v>
      </c>
      <c r="Q21" s="668">
        <f t="shared" si="5"/>
        <v>0</v>
      </c>
    </row>
    <row r="22" spans="2:17" s="373" customFormat="1" ht="15" customHeight="1" x14ac:dyDescent="0.25">
      <c r="B22" s="645">
        <v>4</v>
      </c>
      <c r="C22" s="658">
        <f t="shared" si="6"/>
        <v>0</v>
      </c>
      <c r="D22" s="657">
        <f t="shared" si="4"/>
        <v>0</v>
      </c>
      <c r="E22" s="666">
        <f t="shared" si="7"/>
        <v>0</v>
      </c>
      <c r="F22" s="667">
        <f t="shared" si="7"/>
        <v>0</v>
      </c>
      <c r="G22" s="667">
        <f t="shared" si="7"/>
        <v>0</v>
      </c>
      <c r="H22" s="667">
        <f t="shared" si="7"/>
        <v>0</v>
      </c>
      <c r="I22" s="667">
        <f t="shared" si="7"/>
        <v>0</v>
      </c>
      <c r="J22" s="667">
        <f t="shared" si="7"/>
        <v>0</v>
      </c>
      <c r="K22" s="667">
        <f t="shared" si="7"/>
        <v>0</v>
      </c>
      <c r="L22" s="667">
        <f t="shared" si="7"/>
        <v>0</v>
      </c>
      <c r="M22" s="667">
        <f t="shared" si="7"/>
        <v>0</v>
      </c>
      <c r="N22" s="667">
        <f t="shared" si="7"/>
        <v>0</v>
      </c>
      <c r="O22" s="667">
        <f t="shared" si="7"/>
        <v>0</v>
      </c>
      <c r="P22" s="667">
        <f t="shared" si="7"/>
        <v>0</v>
      </c>
      <c r="Q22" s="668">
        <f t="shared" si="5"/>
        <v>0</v>
      </c>
    </row>
    <row r="23" spans="2:17" s="373" customFormat="1" ht="15" customHeight="1" x14ac:dyDescent="0.25">
      <c r="B23" s="645">
        <v>5</v>
      </c>
      <c r="C23" s="658">
        <f t="shared" si="6"/>
        <v>0</v>
      </c>
      <c r="D23" s="657">
        <f t="shared" si="4"/>
        <v>0</v>
      </c>
      <c r="E23" s="666">
        <f t="shared" si="7"/>
        <v>0</v>
      </c>
      <c r="F23" s="667">
        <f t="shared" si="7"/>
        <v>0</v>
      </c>
      <c r="G23" s="667">
        <f t="shared" si="7"/>
        <v>0</v>
      </c>
      <c r="H23" s="667">
        <f t="shared" si="7"/>
        <v>0</v>
      </c>
      <c r="I23" s="667">
        <f t="shared" si="7"/>
        <v>0</v>
      </c>
      <c r="J23" s="667">
        <f t="shared" si="7"/>
        <v>0</v>
      </c>
      <c r="K23" s="667">
        <f t="shared" si="7"/>
        <v>0</v>
      </c>
      <c r="L23" s="667">
        <f t="shared" si="7"/>
        <v>0</v>
      </c>
      <c r="M23" s="667">
        <f t="shared" si="7"/>
        <v>0</v>
      </c>
      <c r="N23" s="667">
        <f t="shared" si="7"/>
        <v>0</v>
      </c>
      <c r="O23" s="667">
        <f t="shared" si="7"/>
        <v>0</v>
      </c>
      <c r="P23" s="667">
        <f t="shared" si="7"/>
        <v>0</v>
      </c>
      <c r="Q23" s="668">
        <f t="shared" si="5"/>
        <v>0</v>
      </c>
    </row>
    <row r="24" spans="2:17" s="373" customFormat="1" ht="15" customHeight="1" x14ac:dyDescent="0.25">
      <c r="B24" s="645">
        <v>6</v>
      </c>
      <c r="C24" s="658">
        <f t="shared" si="6"/>
        <v>0</v>
      </c>
      <c r="D24" s="657">
        <f t="shared" si="4"/>
        <v>0</v>
      </c>
      <c r="E24" s="666">
        <f t="shared" si="7"/>
        <v>0</v>
      </c>
      <c r="F24" s="667">
        <f t="shared" si="7"/>
        <v>0</v>
      </c>
      <c r="G24" s="667">
        <f t="shared" si="7"/>
        <v>0</v>
      </c>
      <c r="H24" s="667">
        <f t="shared" si="7"/>
        <v>0</v>
      </c>
      <c r="I24" s="667">
        <f t="shared" si="7"/>
        <v>0</v>
      </c>
      <c r="J24" s="667">
        <f t="shared" si="7"/>
        <v>0</v>
      </c>
      <c r="K24" s="667">
        <f t="shared" si="7"/>
        <v>0</v>
      </c>
      <c r="L24" s="667">
        <f t="shared" si="7"/>
        <v>0</v>
      </c>
      <c r="M24" s="667">
        <f t="shared" si="7"/>
        <v>0</v>
      </c>
      <c r="N24" s="667">
        <f t="shared" si="7"/>
        <v>0</v>
      </c>
      <c r="O24" s="667">
        <f t="shared" si="7"/>
        <v>0</v>
      </c>
      <c r="P24" s="667">
        <f t="shared" si="7"/>
        <v>0</v>
      </c>
      <c r="Q24" s="668">
        <f t="shared" si="5"/>
        <v>0</v>
      </c>
    </row>
    <row r="25" spans="2:17" s="373" customFormat="1" ht="15" customHeight="1" x14ac:dyDescent="0.25">
      <c r="B25" s="645">
        <v>7</v>
      </c>
      <c r="C25" s="658">
        <f t="shared" si="6"/>
        <v>0</v>
      </c>
      <c r="D25" s="657">
        <f t="shared" si="4"/>
        <v>0</v>
      </c>
      <c r="E25" s="666">
        <f t="shared" si="7"/>
        <v>0</v>
      </c>
      <c r="F25" s="667">
        <f t="shared" si="7"/>
        <v>0</v>
      </c>
      <c r="G25" s="667">
        <f t="shared" si="7"/>
        <v>0</v>
      </c>
      <c r="H25" s="667">
        <f t="shared" si="7"/>
        <v>0</v>
      </c>
      <c r="I25" s="667">
        <f t="shared" si="7"/>
        <v>0</v>
      </c>
      <c r="J25" s="667">
        <f t="shared" si="7"/>
        <v>0</v>
      </c>
      <c r="K25" s="667">
        <f t="shared" si="7"/>
        <v>0</v>
      </c>
      <c r="L25" s="667">
        <f t="shared" si="7"/>
        <v>0</v>
      </c>
      <c r="M25" s="667">
        <f t="shared" si="7"/>
        <v>0</v>
      </c>
      <c r="N25" s="667">
        <f t="shared" si="7"/>
        <v>0</v>
      </c>
      <c r="O25" s="667">
        <f t="shared" si="7"/>
        <v>0</v>
      </c>
      <c r="P25" s="667">
        <f t="shared" si="7"/>
        <v>0</v>
      </c>
      <c r="Q25" s="668">
        <f t="shared" si="5"/>
        <v>0</v>
      </c>
    </row>
    <row r="26" spans="2:17" s="373" customFormat="1" ht="15" customHeight="1" x14ac:dyDescent="0.25">
      <c r="B26" s="645">
        <v>8</v>
      </c>
      <c r="C26" s="658">
        <f t="shared" si="6"/>
        <v>0</v>
      </c>
      <c r="D26" s="657">
        <f t="shared" si="4"/>
        <v>0</v>
      </c>
      <c r="E26" s="666">
        <f t="shared" si="7"/>
        <v>0</v>
      </c>
      <c r="F26" s="667">
        <f t="shared" si="7"/>
        <v>0</v>
      </c>
      <c r="G26" s="667">
        <f t="shared" si="7"/>
        <v>0</v>
      </c>
      <c r="H26" s="667">
        <f t="shared" si="7"/>
        <v>0</v>
      </c>
      <c r="I26" s="667">
        <f t="shared" si="7"/>
        <v>0</v>
      </c>
      <c r="J26" s="667">
        <f t="shared" si="7"/>
        <v>0</v>
      </c>
      <c r="K26" s="667">
        <f t="shared" si="7"/>
        <v>0</v>
      </c>
      <c r="L26" s="667">
        <f t="shared" si="7"/>
        <v>0</v>
      </c>
      <c r="M26" s="667">
        <f t="shared" si="7"/>
        <v>0</v>
      </c>
      <c r="N26" s="667">
        <f t="shared" si="7"/>
        <v>0</v>
      </c>
      <c r="O26" s="667">
        <f t="shared" si="7"/>
        <v>0</v>
      </c>
      <c r="P26" s="667">
        <f t="shared" si="7"/>
        <v>0</v>
      </c>
      <c r="Q26" s="668">
        <f t="shared" si="5"/>
        <v>0</v>
      </c>
    </row>
    <row r="27" spans="2:17" s="373" customFormat="1" ht="15" customHeight="1" x14ac:dyDescent="0.25">
      <c r="B27" s="645">
        <v>9</v>
      </c>
      <c r="C27" s="658">
        <f t="shared" si="6"/>
        <v>0</v>
      </c>
      <c r="D27" s="657">
        <f t="shared" si="4"/>
        <v>0</v>
      </c>
      <c r="E27" s="666">
        <f t="shared" si="7"/>
        <v>0</v>
      </c>
      <c r="F27" s="667">
        <f t="shared" si="7"/>
        <v>0</v>
      </c>
      <c r="G27" s="667">
        <f t="shared" si="7"/>
        <v>0</v>
      </c>
      <c r="H27" s="667">
        <f t="shared" si="7"/>
        <v>0</v>
      </c>
      <c r="I27" s="667">
        <f t="shared" si="7"/>
        <v>0</v>
      </c>
      <c r="J27" s="667">
        <f t="shared" si="7"/>
        <v>0</v>
      </c>
      <c r="K27" s="667">
        <f t="shared" si="7"/>
        <v>0</v>
      </c>
      <c r="L27" s="667">
        <f t="shared" si="7"/>
        <v>0</v>
      </c>
      <c r="M27" s="667">
        <f t="shared" si="7"/>
        <v>0</v>
      </c>
      <c r="N27" s="667">
        <f t="shared" si="7"/>
        <v>0</v>
      </c>
      <c r="O27" s="667">
        <f t="shared" si="7"/>
        <v>0</v>
      </c>
      <c r="P27" s="667">
        <f t="shared" si="7"/>
        <v>0</v>
      </c>
      <c r="Q27" s="668">
        <f t="shared" si="5"/>
        <v>0</v>
      </c>
    </row>
    <row r="28" spans="2:17" s="373" customFormat="1" ht="15" customHeight="1" x14ac:dyDescent="0.25">
      <c r="B28" s="645">
        <v>10</v>
      </c>
      <c r="C28" s="658">
        <f t="shared" si="6"/>
        <v>0</v>
      </c>
      <c r="D28" s="657">
        <f t="shared" si="4"/>
        <v>0</v>
      </c>
      <c r="E28" s="666">
        <f t="shared" si="7"/>
        <v>0</v>
      </c>
      <c r="F28" s="667">
        <f t="shared" si="7"/>
        <v>0</v>
      </c>
      <c r="G28" s="667">
        <f t="shared" si="7"/>
        <v>0</v>
      </c>
      <c r="H28" s="667">
        <f t="shared" si="7"/>
        <v>0</v>
      </c>
      <c r="I28" s="667">
        <f t="shared" si="7"/>
        <v>0</v>
      </c>
      <c r="J28" s="667">
        <f t="shared" si="7"/>
        <v>0</v>
      </c>
      <c r="K28" s="667">
        <f t="shared" si="7"/>
        <v>0</v>
      </c>
      <c r="L28" s="667">
        <f t="shared" si="7"/>
        <v>0</v>
      </c>
      <c r="M28" s="667">
        <f t="shared" si="7"/>
        <v>0</v>
      </c>
      <c r="N28" s="667">
        <f t="shared" si="7"/>
        <v>0</v>
      </c>
      <c r="O28" s="667">
        <f t="shared" si="7"/>
        <v>0</v>
      </c>
      <c r="P28" s="667">
        <f t="shared" si="7"/>
        <v>0</v>
      </c>
      <c r="Q28" s="668">
        <f t="shared" si="5"/>
        <v>0</v>
      </c>
    </row>
    <row r="29" spans="2:17" s="373" customFormat="1" ht="15" customHeight="1" thickBot="1" x14ac:dyDescent="0.3">
      <c r="B29" s="647"/>
      <c r="C29" s="648"/>
      <c r="D29" s="659"/>
      <c r="E29" s="669"/>
      <c r="F29" s="670"/>
      <c r="G29" s="670"/>
      <c r="H29" s="670"/>
      <c r="I29" s="670"/>
      <c r="J29" s="670"/>
      <c r="K29" s="670"/>
      <c r="L29" s="670"/>
      <c r="M29" s="670"/>
      <c r="N29" s="670"/>
      <c r="O29" s="670"/>
      <c r="P29" s="670"/>
      <c r="Q29" s="671"/>
    </row>
    <row r="30" spans="2:17" s="373" customFormat="1" ht="15" customHeight="1" thickBot="1" x14ac:dyDescent="0.3">
      <c r="B30" s="651"/>
      <c r="C30" s="652" t="s">
        <v>290</v>
      </c>
      <c r="D30" s="660"/>
      <c r="E30" s="672">
        <f>SUM(E19:E29)</f>
        <v>0</v>
      </c>
      <c r="F30" s="673">
        <f t="shared" ref="F30:Q30" si="8">SUM(F19:F29)</f>
        <v>0</v>
      </c>
      <c r="G30" s="673">
        <f t="shared" si="8"/>
        <v>0</v>
      </c>
      <c r="H30" s="673">
        <f t="shared" si="8"/>
        <v>0</v>
      </c>
      <c r="I30" s="673">
        <f t="shared" si="8"/>
        <v>0</v>
      </c>
      <c r="J30" s="673">
        <f t="shared" si="8"/>
        <v>0</v>
      </c>
      <c r="K30" s="673">
        <f t="shared" si="8"/>
        <v>0</v>
      </c>
      <c r="L30" s="673">
        <f t="shared" si="8"/>
        <v>0</v>
      </c>
      <c r="M30" s="673">
        <f t="shared" si="8"/>
        <v>0</v>
      </c>
      <c r="N30" s="673">
        <f t="shared" si="8"/>
        <v>0</v>
      </c>
      <c r="O30" s="673">
        <f t="shared" si="8"/>
        <v>0</v>
      </c>
      <c r="P30" s="673">
        <f t="shared" si="8"/>
        <v>0</v>
      </c>
      <c r="Q30" s="674">
        <f t="shared" si="8"/>
        <v>0</v>
      </c>
    </row>
    <row r="34" spans="2:7" ht="12" thickBot="1" x14ac:dyDescent="0.3"/>
    <row r="35" spans="2:7" s="373" customFormat="1" x14ac:dyDescent="0.25">
      <c r="B35" s="766" t="s">
        <v>292</v>
      </c>
      <c r="C35" s="767"/>
      <c r="D35" s="768"/>
      <c r="E35" s="372" t="s">
        <v>669</v>
      </c>
      <c r="F35" s="372"/>
      <c r="G35" s="372"/>
    </row>
    <row r="36" spans="2:7" s="373" customFormat="1" ht="12" thickBot="1" x14ac:dyDescent="0.3">
      <c r="B36" s="374" t="s">
        <v>293</v>
      </c>
      <c r="C36" s="375" t="s">
        <v>294</v>
      </c>
      <c r="D36" s="376" t="s">
        <v>150</v>
      </c>
      <c r="E36" s="376" t="s">
        <v>671</v>
      </c>
      <c r="F36" s="372"/>
      <c r="G36" s="372"/>
    </row>
    <row r="37" spans="2:7" s="373" customFormat="1" x14ac:dyDescent="0.25">
      <c r="B37" s="377">
        <v>1</v>
      </c>
      <c r="C37" s="378" t="s">
        <v>616</v>
      </c>
      <c r="D37" s="379">
        <v>30000</v>
      </c>
      <c r="E37" s="379">
        <f>D37/2</f>
        <v>15000</v>
      </c>
      <c r="F37" s="372"/>
      <c r="G37" s="372"/>
    </row>
    <row r="38" spans="2:7" s="373" customFormat="1" x14ac:dyDescent="0.25">
      <c r="B38" s="377">
        <v>2</v>
      </c>
      <c r="C38" s="378" t="s">
        <v>617</v>
      </c>
      <c r="D38" s="379">
        <v>45000</v>
      </c>
      <c r="E38" s="379">
        <f t="shared" ref="E38:E49" si="9">D38/2</f>
        <v>22500</v>
      </c>
      <c r="F38" s="372"/>
      <c r="G38" s="372"/>
    </row>
    <row r="39" spans="2:7" s="373" customFormat="1" x14ac:dyDescent="0.25">
      <c r="B39" s="377">
        <v>3</v>
      </c>
      <c r="C39" s="378" t="s">
        <v>618</v>
      </c>
      <c r="D39" s="379">
        <v>45000</v>
      </c>
      <c r="E39" s="379">
        <f t="shared" si="9"/>
        <v>22500</v>
      </c>
      <c r="F39" s="372"/>
      <c r="G39" s="372"/>
    </row>
    <row r="40" spans="2:7" s="373" customFormat="1" x14ac:dyDescent="0.25">
      <c r="B40" s="377">
        <v>4</v>
      </c>
      <c r="C40" s="378" t="s">
        <v>619</v>
      </c>
      <c r="D40" s="379">
        <v>45000</v>
      </c>
      <c r="E40" s="379">
        <f t="shared" si="9"/>
        <v>22500</v>
      </c>
      <c r="F40" s="372"/>
      <c r="G40" s="372"/>
    </row>
    <row r="41" spans="2:7" s="373" customFormat="1" x14ac:dyDescent="0.25">
      <c r="B41" s="377">
        <v>5</v>
      </c>
      <c r="C41" s="378" t="s">
        <v>620</v>
      </c>
      <c r="D41" s="379">
        <v>45000</v>
      </c>
      <c r="E41" s="379">
        <f t="shared" si="9"/>
        <v>22500</v>
      </c>
      <c r="F41" s="372"/>
      <c r="G41" s="372"/>
    </row>
    <row r="42" spans="2:7" s="373" customFormat="1" x14ac:dyDescent="0.25">
      <c r="B42" s="377">
        <v>6</v>
      </c>
      <c r="C42" s="378" t="s">
        <v>621</v>
      </c>
      <c r="D42" s="379">
        <v>45000</v>
      </c>
      <c r="E42" s="379">
        <f t="shared" si="9"/>
        <v>22500</v>
      </c>
      <c r="F42" s="372"/>
      <c r="G42" s="372"/>
    </row>
    <row r="43" spans="2:7" s="373" customFormat="1" x14ac:dyDescent="0.25">
      <c r="B43" s="377">
        <v>7</v>
      </c>
      <c r="C43" s="378" t="s">
        <v>622</v>
      </c>
      <c r="D43" s="379">
        <v>45000</v>
      </c>
      <c r="E43" s="379">
        <f t="shared" si="9"/>
        <v>22500</v>
      </c>
      <c r="F43" s="372"/>
      <c r="G43" s="372"/>
    </row>
    <row r="44" spans="2:7" s="373" customFormat="1" x14ac:dyDescent="0.25">
      <c r="B44" s="377">
        <v>8</v>
      </c>
      <c r="C44" s="378" t="s">
        <v>623</v>
      </c>
      <c r="D44" s="379">
        <v>45000</v>
      </c>
      <c r="E44" s="379">
        <f t="shared" si="9"/>
        <v>22500</v>
      </c>
      <c r="F44" s="372"/>
      <c r="G44" s="372"/>
    </row>
    <row r="45" spans="2:7" s="373" customFormat="1" x14ac:dyDescent="0.25">
      <c r="B45" s="377">
        <v>9</v>
      </c>
      <c r="C45" s="378" t="s">
        <v>624</v>
      </c>
      <c r="D45" s="379">
        <v>45000</v>
      </c>
      <c r="E45" s="379">
        <f t="shared" si="9"/>
        <v>22500</v>
      </c>
      <c r="F45" s="372"/>
      <c r="G45" s="372"/>
    </row>
    <row r="46" spans="2:7" s="373" customFormat="1" x14ac:dyDescent="0.25">
      <c r="B46" s="377">
        <v>10</v>
      </c>
      <c r="C46" s="378" t="s">
        <v>625</v>
      </c>
      <c r="D46" s="379">
        <v>45000</v>
      </c>
      <c r="E46" s="379">
        <f t="shared" si="9"/>
        <v>22500</v>
      </c>
      <c r="F46" s="372"/>
      <c r="G46" s="372"/>
    </row>
    <row r="47" spans="2:7" s="373" customFormat="1" x14ac:dyDescent="0.25">
      <c r="B47" s="377">
        <v>11</v>
      </c>
      <c r="C47" s="378" t="s">
        <v>626</v>
      </c>
      <c r="D47" s="379">
        <v>45000</v>
      </c>
      <c r="E47" s="379">
        <f t="shared" si="9"/>
        <v>22500</v>
      </c>
      <c r="F47" s="372"/>
      <c r="G47" s="372"/>
    </row>
    <row r="48" spans="2:7" s="373" customFormat="1" x14ac:dyDescent="0.25">
      <c r="B48" s="377">
        <v>12</v>
      </c>
      <c r="C48" s="378" t="s">
        <v>627</v>
      </c>
      <c r="D48" s="379">
        <v>45000</v>
      </c>
      <c r="E48" s="379">
        <f t="shared" si="9"/>
        <v>22500</v>
      </c>
      <c r="F48" s="372"/>
      <c r="G48" s="372"/>
    </row>
    <row r="49" spans="2:8" s="373" customFormat="1" x14ac:dyDescent="0.25">
      <c r="B49" s="377">
        <v>13</v>
      </c>
      <c r="C49" s="378" t="s">
        <v>628</v>
      </c>
      <c r="D49" s="379">
        <v>45000</v>
      </c>
      <c r="E49" s="379">
        <f t="shared" si="9"/>
        <v>22500</v>
      </c>
      <c r="F49" s="372"/>
      <c r="G49" s="372"/>
    </row>
    <row r="50" spans="2:8" s="373" customFormat="1" x14ac:dyDescent="0.25">
      <c r="B50" s="377">
        <v>14</v>
      </c>
      <c r="C50" s="378"/>
      <c r="D50" s="379"/>
      <c r="E50" s="379"/>
      <c r="F50" s="372"/>
      <c r="G50" s="372"/>
    </row>
    <row r="51" spans="2:8" s="373" customFormat="1" x14ac:dyDescent="0.25">
      <c r="B51" s="377">
        <v>15</v>
      </c>
      <c r="C51" s="378"/>
      <c r="D51" s="379"/>
      <c r="E51" s="379"/>
      <c r="F51" s="372"/>
      <c r="G51" s="372"/>
    </row>
    <row r="52" spans="2:8" x14ac:dyDescent="0.25">
      <c r="F52" s="372"/>
      <c r="G52" s="372"/>
      <c r="H52" s="373"/>
    </row>
    <row r="53" spans="2:8" x14ac:dyDescent="0.25">
      <c r="F53" s="372"/>
      <c r="G53" s="372"/>
      <c r="H53" s="373"/>
    </row>
    <row r="54" spans="2:8" x14ac:dyDescent="0.25">
      <c r="F54" s="372"/>
      <c r="G54" s="372"/>
      <c r="H54" s="373"/>
    </row>
    <row r="55" spans="2:8" x14ac:dyDescent="0.25">
      <c r="F55" s="372"/>
      <c r="G55" s="372"/>
      <c r="H55" s="373"/>
    </row>
    <row r="56" spans="2:8" x14ac:dyDescent="0.25">
      <c r="F56" s="372"/>
      <c r="G56" s="372"/>
      <c r="H56" s="373"/>
    </row>
    <row r="57" spans="2:8" x14ac:dyDescent="0.25">
      <c r="F57" s="372"/>
      <c r="G57" s="372"/>
      <c r="H57" s="373"/>
    </row>
    <row r="58" spans="2:8" x14ac:dyDescent="0.25">
      <c r="F58" s="372"/>
      <c r="G58" s="372"/>
      <c r="H58" s="373"/>
    </row>
  </sheetData>
  <mergeCells count="9">
    <mergeCell ref="B35:D35"/>
    <mergeCell ref="B2:B3"/>
    <mergeCell ref="C2:C3"/>
    <mergeCell ref="D2:D3"/>
    <mergeCell ref="E2:Q2"/>
    <mergeCell ref="B17:B18"/>
    <mergeCell ref="C17:C18"/>
    <mergeCell ref="D17:D18"/>
    <mergeCell ref="E17:Q17"/>
  </mergeCells>
  <dataValidations count="1">
    <dataValidation type="list" allowBlank="1" showInputMessage="1" showErrorMessage="1" sqref="C4:C13" xr:uid="{00000000-0002-0000-0400-000000000000}">
      <formula1>$C$37:$C$51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1:R245"/>
  <sheetViews>
    <sheetView topLeftCell="A54" zoomScale="80" zoomScaleNormal="80" workbookViewId="0">
      <selection activeCell="E78" sqref="E78:E79"/>
    </sheetView>
  </sheetViews>
  <sheetFormatPr defaultColWidth="8.6640625" defaultRowHeight="11.5" x14ac:dyDescent="0.25"/>
  <cols>
    <col min="1" max="1" width="8.6640625" style="540"/>
    <col min="2" max="2" width="7.109375" style="540" customWidth="1"/>
    <col min="3" max="3" width="38.109375" style="540" customWidth="1"/>
    <col min="4" max="5" width="12.33203125" style="540" customWidth="1"/>
    <col min="6" max="6" width="15.109375" style="540" customWidth="1"/>
    <col min="7" max="7" width="11.21875" style="540" customWidth="1"/>
    <col min="8" max="17" width="8.6640625" style="540"/>
    <col min="18" max="18" width="13.109375" style="540" customWidth="1"/>
    <col min="19" max="16384" width="8.6640625" style="540"/>
  </cols>
  <sheetData>
    <row r="1" spans="2:18" ht="12" thickBot="1" x14ac:dyDescent="0.3"/>
    <row r="2" spans="2:18" s="373" customFormat="1" ht="15" customHeight="1" x14ac:dyDescent="0.25">
      <c r="B2" s="791" t="s">
        <v>276</v>
      </c>
      <c r="C2" s="778" t="s">
        <v>277</v>
      </c>
      <c r="D2" s="780" t="s">
        <v>150</v>
      </c>
      <c r="E2" s="782" t="s">
        <v>718</v>
      </c>
      <c r="F2" s="775" t="s">
        <v>278</v>
      </c>
      <c r="G2" s="776"/>
      <c r="H2" s="776"/>
      <c r="I2" s="776"/>
      <c r="J2" s="776"/>
      <c r="K2" s="776"/>
      <c r="L2" s="776"/>
      <c r="M2" s="776"/>
      <c r="N2" s="776"/>
      <c r="O2" s="776"/>
      <c r="P2" s="776"/>
      <c r="Q2" s="776"/>
      <c r="R2" s="777"/>
    </row>
    <row r="3" spans="2:18" s="373" customFormat="1" ht="15" customHeight="1" thickBot="1" x14ac:dyDescent="0.3">
      <c r="B3" s="792"/>
      <c r="C3" s="779"/>
      <c r="D3" s="781"/>
      <c r="E3" s="783"/>
      <c r="F3" s="638" t="s">
        <v>279</v>
      </c>
      <c r="G3" s="639" t="s">
        <v>280</v>
      </c>
      <c r="H3" s="639" t="s">
        <v>281</v>
      </c>
      <c r="I3" s="639" t="s">
        <v>282</v>
      </c>
      <c r="J3" s="639" t="s">
        <v>33</v>
      </c>
      <c r="K3" s="639" t="s">
        <v>283</v>
      </c>
      <c r="L3" s="639" t="s">
        <v>284</v>
      </c>
      <c r="M3" s="639" t="s">
        <v>285</v>
      </c>
      <c r="N3" s="639" t="s">
        <v>286</v>
      </c>
      <c r="O3" s="639" t="s">
        <v>287</v>
      </c>
      <c r="P3" s="639" t="s">
        <v>288</v>
      </c>
      <c r="Q3" s="639" t="s">
        <v>289</v>
      </c>
      <c r="R3" s="640" t="s">
        <v>98</v>
      </c>
    </row>
    <row r="4" spans="2:18" s="373" customFormat="1" ht="15" customHeight="1" x14ac:dyDescent="0.25">
      <c r="B4" s="641">
        <v>1</v>
      </c>
      <c r="C4" s="642"/>
      <c r="D4" s="681">
        <f>IFERROR(VLOOKUP(C4,$C$80:$E$337,2,0),0)</f>
        <v>0</v>
      </c>
      <c r="E4" s="682">
        <f>IFERROR(VLOOKUP(C4,$C$80:$E$337,3,0),0)</f>
        <v>0</v>
      </c>
      <c r="F4" s="683"/>
      <c r="G4" s="644"/>
      <c r="H4" s="644"/>
      <c r="I4" s="644"/>
      <c r="J4" s="644"/>
      <c r="K4" s="644"/>
      <c r="L4" s="644"/>
      <c r="M4" s="644"/>
      <c r="N4" s="644"/>
      <c r="O4" s="644"/>
      <c r="P4" s="644"/>
      <c r="Q4" s="644"/>
      <c r="R4" s="339">
        <f t="shared" ref="R4:R24" si="0">SUM(F4:Q4)</f>
        <v>0</v>
      </c>
    </row>
    <row r="5" spans="2:18" s="373" customFormat="1" ht="15" customHeight="1" x14ac:dyDescent="0.25">
      <c r="B5" s="645">
        <v>2</v>
      </c>
      <c r="C5" s="642"/>
      <c r="D5" s="684">
        <f t="shared" ref="D5:D23" si="1">IFERROR(VLOOKUP(C5,$C$80:$E$337,2,0),0)</f>
        <v>0</v>
      </c>
      <c r="E5" s="685">
        <f t="shared" ref="E5:E23" si="2">IFERROR(VLOOKUP(C5,$C$80:$E$337,3,0),0)</f>
        <v>0</v>
      </c>
      <c r="F5" s="686"/>
      <c r="G5" s="646"/>
      <c r="H5" s="646"/>
      <c r="I5" s="646"/>
      <c r="J5" s="646"/>
      <c r="K5" s="646"/>
      <c r="L5" s="646"/>
      <c r="M5" s="646"/>
      <c r="N5" s="646"/>
      <c r="O5" s="646"/>
      <c r="P5" s="646"/>
      <c r="Q5" s="646"/>
      <c r="R5" s="343">
        <f t="shared" si="0"/>
        <v>0</v>
      </c>
    </row>
    <row r="6" spans="2:18" s="373" customFormat="1" ht="15" customHeight="1" x14ac:dyDescent="0.25">
      <c r="B6" s="645">
        <v>3</v>
      </c>
      <c r="C6" s="642"/>
      <c r="D6" s="684">
        <f t="shared" si="1"/>
        <v>0</v>
      </c>
      <c r="E6" s="685">
        <f t="shared" si="2"/>
        <v>0</v>
      </c>
      <c r="F6" s="686"/>
      <c r="G6" s="646"/>
      <c r="H6" s="646"/>
      <c r="I6" s="646"/>
      <c r="J6" s="646"/>
      <c r="K6" s="646"/>
      <c r="L6" s="646"/>
      <c r="M6" s="646"/>
      <c r="N6" s="646"/>
      <c r="O6" s="646"/>
      <c r="P6" s="646"/>
      <c r="Q6" s="646"/>
      <c r="R6" s="343">
        <f t="shared" si="0"/>
        <v>0</v>
      </c>
    </row>
    <row r="7" spans="2:18" s="373" customFormat="1" ht="15" customHeight="1" x14ac:dyDescent="0.25">
      <c r="B7" s="645">
        <v>4</v>
      </c>
      <c r="C7" s="642"/>
      <c r="D7" s="684">
        <f t="shared" si="1"/>
        <v>0</v>
      </c>
      <c r="E7" s="685">
        <f t="shared" si="2"/>
        <v>0</v>
      </c>
      <c r="F7" s="686"/>
      <c r="G7" s="646"/>
      <c r="H7" s="646"/>
      <c r="I7" s="646"/>
      <c r="J7" s="646"/>
      <c r="K7" s="646"/>
      <c r="L7" s="646"/>
      <c r="M7" s="646"/>
      <c r="N7" s="646"/>
      <c r="O7" s="646"/>
      <c r="P7" s="646"/>
      <c r="Q7" s="646"/>
      <c r="R7" s="343">
        <f t="shared" si="0"/>
        <v>0</v>
      </c>
    </row>
    <row r="8" spans="2:18" s="373" customFormat="1" ht="15" customHeight="1" x14ac:dyDescent="0.25">
      <c r="B8" s="645">
        <v>5</v>
      </c>
      <c r="C8" s="642"/>
      <c r="D8" s="684">
        <f t="shared" si="1"/>
        <v>0</v>
      </c>
      <c r="E8" s="685">
        <f t="shared" si="2"/>
        <v>0</v>
      </c>
      <c r="F8" s="686"/>
      <c r="G8" s="646"/>
      <c r="H8" s="646"/>
      <c r="I8" s="646"/>
      <c r="J8" s="646"/>
      <c r="K8" s="646"/>
      <c r="L8" s="646"/>
      <c r="M8" s="646"/>
      <c r="N8" s="646"/>
      <c r="O8" s="646"/>
      <c r="P8" s="646"/>
      <c r="Q8" s="646"/>
      <c r="R8" s="343">
        <f t="shared" si="0"/>
        <v>0</v>
      </c>
    </row>
    <row r="9" spans="2:18" s="373" customFormat="1" ht="15" customHeight="1" x14ac:dyDescent="0.25">
      <c r="B9" s="645">
        <v>6</v>
      </c>
      <c r="C9" s="642"/>
      <c r="D9" s="684">
        <f t="shared" si="1"/>
        <v>0</v>
      </c>
      <c r="E9" s="685">
        <f t="shared" si="2"/>
        <v>0</v>
      </c>
      <c r="F9" s="686"/>
      <c r="G9" s="646"/>
      <c r="H9" s="646"/>
      <c r="I9" s="646"/>
      <c r="J9" s="646"/>
      <c r="K9" s="646"/>
      <c r="L9" s="646"/>
      <c r="M9" s="646"/>
      <c r="N9" s="646"/>
      <c r="O9" s="646"/>
      <c r="P9" s="646"/>
      <c r="Q9" s="646"/>
      <c r="R9" s="343">
        <f t="shared" si="0"/>
        <v>0</v>
      </c>
    </row>
    <row r="10" spans="2:18" s="373" customFormat="1" ht="15" customHeight="1" x14ac:dyDescent="0.25">
      <c r="B10" s="645">
        <v>7</v>
      </c>
      <c r="C10" s="642"/>
      <c r="D10" s="684">
        <f t="shared" si="1"/>
        <v>0</v>
      </c>
      <c r="E10" s="685">
        <f t="shared" si="2"/>
        <v>0</v>
      </c>
      <c r="F10" s="686"/>
      <c r="G10" s="646"/>
      <c r="H10" s="646"/>
      <c r="I10" s="646"/>
      <c r="J10" s="646"/>
      <c r="K10" s="646"/>
      <c r="L10" s="646"/>
      <c r="M10" s="646"/>
      <c r="N10" s="646"/>
      <c r="O10" s="646"/>
      <c r="P10" s="646"/>
      <c r="Q10" s="646"/>
      <c r="R10" s="343">
        <f t="shared" si="0"/>
        <v>0</v>
      </c>
    </row>
    <row r="11" spans="2:18" s="373" customFormat="1" ht="15" customHeight="1" x14ac:dyDescent="0.25">
      <c r="B11" s="645">
        <v>8</v>
      </c>
      <c r="C11" s="642"/>
      <c r="D11" s="684">
        <f t="shared" si="1"/>
        <v>0</v>
      </c>
      <c r="E11" s="685">
        <f t="shared" si="2"/>
        <v>0</v>
      </c>
      <c r="F11" s="686"/>
      <c r="G11" s="646"/>
      <c r="H11" s="646"/>
      <c r="I11" s="646"/>
      <c r="J11" s="646"/>
      <c r="K11" s="646"/>
      <c r="L11" s="646"/>
      <c r="M11" s="646"/>
      <c r="N11" s="646"/>
      <c r="O11" s="646"/>
      <c r="P11" s="646"/>
      <c r="Q11" s="646"/>
      <c r="R11" s="343">
        <f t="shared" si="0"/>
        <v>0</v>
      </c>
    </row>
    <row r="12" spans="2:18" s="373" customFormat="1" ht="15" customHeight="1" x14ac:dyDescent="0.25">
      <c r="B12" s="645">
        <v>9</v>
      </c>
      <c r="C12" s="642"/>
      <c r="D12" s="684">
        <f t="shared" si="1"/>
        <v>0</v>
      </c>
      <c r="E12" s="685">
        <f t="shared" si="2"/>
        <v>0</v>
      </c>
      <c r="F12" s="686"/>
      <c r="G12" s="646"/>
      <c r="H12" s="646"/>
      <c r="I12" s="646"/>
      <c r="J12" s="646"/>
      <c r="K12" s="646"/>
      <c r="L12" s="646"/>
      <c r="M12" s="646"/>
      <c r="N12" s="646"/>
      <c r="O12" s="646"/>
      <c r="P12" s="646"/>
      <c r="Q12" s="646"/>
      <c r="R12" s="343">
        <f t="shared" si="0"/>
        <v>0</v>
      </c>
    </row>
    <row r="13" spans="2:18" s="373" customFormat="1" ht="15" customHeight="1" x14ac:dyDescent="0.25">
      <c r="B13" s="645">
        <v>10</v>
      </c>
      <c r="C13" s="642"/>
      <c r="D13" s="684">
        <f t="shared" si="1"/>
        <v>0</v>
      </c>
      <c r="E13" s="685">
        <f t="shared" si="2"/>
        <v>0</v>
      </c>
      <c r="F13" s="686"/>
      <c r="G13" s="646"/>
      <c r="H13" s="646"/>
      <c r="I13" s="646"/>
      <c r="J13" s="646"/>
      <c r="K13" s="646"/>
      <c r="L13" s="646"/>
      <c r="M13" s="646"/>
      <c r="N13" s="646"/>
      <c r="O13" s="646"/>
      <c r="P13" s="646"/>
      <c r="Q13" s="646"/>
      <c r="R13" s="343">
        <f t="shared" si="0"/>
        <v>0</v>
      </c>
    </row>
    <row r="14" spans="2:18" s="373" customFormat="1" ht="15" customHeight="1" x14ac:dyDescent="0.25">
      <c r="B14" s="645">
        <v>11</v>
      </c>
      <c r="C14" s="642"/>
      <c r="D14" s="684">
        <f t="shared" si="1"/>
        <v>0</v>
      </c>
      <c r="E14" s="685">
        <f t="shared" si="2"/>
        <v>0</v>
      </c>
      <c r="F14" s="686"/>
      <c r="G14" s="646"/>
      <c r="H14" s="646"/>
      <c r="I14" s="646"/>
      <c r="J14" s="646"/>
      <c r="K14" s="646"/>
      <c r="L14" s="646"/>
      <c r="M14" s="646"/>
      <c r="N14" s="646"/>
      <c r="O14" s="646"/>
      <c r="P14" s="646"/>
      <c r="Q14" s="646"/>
      <c r="R14" s="343">
        <f t="shared" si="0"/>
        <v>0</v>
      </c>
    </row>
    <row r="15" spans="2:18" s="373" customFormat="1" ht="15" customHeight="1" x14ac:dyDescent="0.25">
      <c r="B15" s="645">
        <v>12</v>
      </c>
      <c r="C15" s="642"/>
      <c r="D15" s="684">
        <f t="shared" si="1"/>
        <v>0</v>
      </c>
      <c r="E15" s="685">
        <f t="shared" si="2"/>
        <v>0</v>
      </c>
      <c r="F15" s="686"/>
      <c r="G15" s="646"/>
      <c r="H15" s="646"/>
      <c r="I15" s="646"/>
      <c r="J15" s="646"/>
      <c r="K15" s="646"/>
      <c r="L15" s="646"/>
      <c r="M15" s="646"/>
      <c r="N15" s="646"/>
      <c r="O15" s="646"/>
      <c r="P15" s="646"/>
      <c r="Q15" s="646"/>
      <c r="R15" s="343">
        <f t="shared" si="0"/>
        <v>0</v>
      </c>
    </row>
    <row r="16" spans="2:18" s="373" customFormat="1" ht="15" customHeight="1" x14ac:dyDescent="0.25">
      <c r="B16" s="645">
        <v>13</v>
      </c>
      <c r="C16" s="642"/>
      <c r="D16" s="684">
        <f t="shared" si="1"/>
        <v>0</v>
      </c>
      <c r="E16" s="685">
        <f t="shared" si="2"/>
        <v>0</v>
      </c>
      <c r="F16" s="686"/>
      <c r="G16" s="646"/>
      <c r="H16" s="646"/>
      <c r="I16" s="646"/>
      <c r="J16" s="646"/>
      <c r="K16" s="646"/>
      <c r="L16" s="646"/>
      <c r="M16" s="646"/>
      <c r="N16" s="646"/>
      <c r="O16" s="646"/>
      <c r="P16" s="646"/>
      <c r="Q16" s="646"/>
      <c r="R16" s="343">
        <f t="shared" si="0"/>
        <v>0</v>
      </c>
    </row>
    <row r="17" spans="2:18" s="373" customFormat="1" ht="15" customHeight="1" x14ac:dyDescent="0.25">
      <c r="B17" s="645">
        <v>14</v>
      </c>
      <c r="C17" s="642"/>
      <c r="D17" s="684">
        <f t="shared" si="1"/>
        <v>0</v>
      </c>
      <c r="E17" s="685">
        <f t="shared" si="2"/>
        <v>0</v>
      </c>
      <c r="F17" s="686"/>
      <c r="G17" s="646"/>
      <c r="H17" s="646"/>
      <c r="I17" s="646"/>
      <c r="J17" s="646"/>
      <c r="K17" s="646"/>
      <c r="L17" s="646"/>
      <c r="M17" s="646"/>
      <c r="N17" s="646"/>
      <c r="O17" s="646"/>
      <c r="P17" s="646"/>
      <c r="Q17" s="646"/>
      <c r="R17" s="343">
        <f t="shared" si="0"/>
        <v>0</v>
      </c>
    </row>
    <row r="18" spans="2:18" s="373" customFormat="1" ht="15" customHeight="1" x14ac:dyDescent="0.25">
      <c r="B18" s="645">
        <v>15</v>
      </c>
      <c r="C18" s="642"/>
      <c r="D18" s="684">
        <f t="shared" si="1"/>
        <v>0</v>
      </c>
      <c r="E18" s="685">
        <f t="shared" si="2"/>
        <v>0</v>
      </c>
      <c r="F18" s="686"/>
      <c r="G18" s="646"/>
      <c r="H18" s="646"/>
      <c r="I18" s="646"/>
      <c r="J18" s="646"/>
      <c r="K18" s="646"/>
      <c r="L18" s="646"/>
      <c r="M18" s="646"/>
      <c r="N18" s="646"/>
      <c r="O18" s="646"/>
      <c r="P18" s="646"/>
      <c r="Q18" s="646"/>
      <c r="R18" s="343">
        <f t="shared" si="0"/>
        <v>0</v>
      </c>
    </row>
    <row r="19" spans="2:18" s="373" customFormat="1" ht="15" customHeight="1" x14ac:dyDescent="0.25">
      <c r="B19" s="645">
        <v>16</v>
      </c>
      <c r="C19" s="642"/>
      <c r="D19" s="684">
        <f t="shared" si="1"/>
        <v>0</v>
      </c>
      <c r="E19" s="685">
        <f t="shared" si="2"/>
        <v>0</v>
      </c>
      <c r="F19" s="686"/>
      <c r="G19" s="646"/>
      <c r="H19" s="646"/>
      <c r="I19" s="646"/>
      <c r="J19" s="646"/>
      <c r="K19" s="646"/>
      <c r="L19" s="646"/>
      <c r="M19" s="646"/>
      <c r="N19" s="646"/>
      <c r="O19" s="646"/>
      <c r="P19" s="646"/>
      <c r="Q19" s="646"/>
      <c r="R19" s="343">
        <f t="shared" si="0"/>
        <v>0</v>
      </c>
    </row>
    <row r="20" spans="2:18" s="373" customFormat="1" ht="15" customHeight="1" x14ac:dyDescent="0.25">
      <c r="B20" s="645">
        <v>17</v>
      </c>
      <c r="C20" s="642"/>
      <c r="D20" s="684">
        <f t="shared" si="1"/>
        <v>0</v>
      </c>
      <c r="E20" s="685">
        <f t="shared" si="2"/>
        <v>0</v>
      </c>
      <c r="F20" s="68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343">
        <f t="shared" si="0"/>
        <v>0</v>
      </c>
    </row>
    <row r="21" spans="2:18" s="373" customFormat="1" ht="15" customHeight="1" x14ac:dyDescent="0.25">
      <c r="B21" s="645">
        <v>18</v>
      </c>
      <c r="C21" s="642"/>
      <c r="D21" s="684">
        <f t="shared" si="1"/>
        <v>0</v>
      </c>
      <c r="E21" s="685">
        <f t="shared" si="2"/>
        <v>0</v>
      </c>
      <c r="F21" s="68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343">
        <f t="shared" si="0"/>
        <v>0</v>
      </c>
    </row>
    <row r="22" spans="2:18" s="373" customFormat="1" ht="15" customHeight="1" x14ac:dyDescent="0.25">
      <c r="B22" s="645">
        <v>19</v>
      </c>
      <c r="C22" s="642"/>
      <c r="D22" s="684">
        <f t="shared" si="1"/>
        <v>0</v>
      </c>
      <c r="E22" s="685">
        <f t="shared" si="2"/>
        <v>0</v>
      </c>
      <c r="F22" s="686"/>
      <c r="G22" s="646"/>
      <c r="H22" s="646"/>
      <c r="I22" s="646"/>
      <c r="J22" s="646"/>
      <c r="K22" s="646"/>
      <c r="L22" s="646"/>
      <c r="M22" s="646"/>
      <c r="N22" s="646"/>
      <c r="O22" s="646"/>
      <c r="P22" s="646"/>
      <c r="Q22" s="646"/>
      <c r="R22" s="343">
        <f t="shared" si="0"/>
        <v>0</v>
      </c>
    </row>
    <row r="23" spans="2:18" s="373" customFormat="1" ht="15" customHeight="1" x14ac:dyDescent="0.25">
      <c r="B23" s="645">
        <v>20</v>
      </c>
      <c r="C23" s="642"/>
      <c r="D23" s="684">
        <f t="shared" si="1"/>
        <v>0</v>
      </c>
      <c r="E23" s="685">
        <f t="shared" si="2"/>
        <v>0</v>
      </c>
      <c r="F23" s="686"/>
      <c r="G23" s="646"/>
      <c r="H23" s="646"/>
      <c r="I23" s="646"/>
      <c r="J23" s="646"/>
      <c r="K23" s="646"/>
      <c r="L23" s="646"/>
      <c r="M23" s="646"/>
      <c r="N23" s="646"/>
      <c r="O23" s="646"/>
      <c r="P23" s="646"/>
      <c r="Q23" s="646"/>
      <c r="R23" s="343">
        <f t="shared" si="0"/>
        <v>0</v>
      </c>
    </row>
    <row r="24" spans="2:18" s="373" customFormat="1" ht="15" customHeight="1" thickBot="1" x14ac:dyDescent="0.3">
      <c r="B24" s="647"/>
      <c r="C24" s="648"/>
      <c r="D24" s="687"/>
      <c r="E24" s="688"/>
      <c r="F24" s="689"/>
      <c r="G24" s="650"/>
      <c r="H24" s="650"/>
      <c r="I24" s="650"/>
      <c r="J24" s="650"/>
      <c r="K24" s="650"/>
      <c r="L24" s="650"/>
      <c r="M24" s="650"/>
      <c r="N24" s="650"/>
      <c r="O24" s="650"/>
      <c r="P24" s="650"/>
      <c r="Q24" s="650"/>
      <c r="R24" s="349">
        <f t="shared" si="0"/>
        <v>0</v>
      </c>
    </row>
    <row r="25" spans="2:18" s="373" customFormat="1" ht="15" customHeight="1" thickBot="1" x14ac:dyDescent="0.3">
      <c r="B25" s="651"/>
      <c r="C25" s="652" t="s">
        <v>290</v>
      </c>
      <c r="D25" s="690"/>
      <c r="E25" s="691"/>
      <c r="F25" s="654">
        <f>SUM(F4:F24)</f>
        <v>0</v>
      </c>
      <c r="G25" s="655">
        <f t="shared" ref="G25:R25" si="3">SUM(G4:G24)</f>
        <v>0</v>
      </c>
      <c r="H25" s="655">
        <f t="shared" si="3"/>
        <v>0</v>
      </c>
      <c r="I25" s="655">
        <f t="shared" si="3"/>
        <v>0</v>
      </c>
      <c r="J25" s="655">
        <f t="shared" si="3"/>
        <v>0</v>
      </c>
      <c r="K25" s="655">
        <f t="shared" si="3"/>
        <v>0</v>
      </c>
      <c r="L25" s="655">
        <f t="shared" si="3"/>
        <v>0</v>
      </c>
      <c r="M25" s="655">
        <f t="shared" si="3"/>
        <v>0</v>
      </c>
      <c r="N25" s="655">
        <f t="shared" si="3"/>
        <v>0</v>
      </c>
      <c r="O25" s="655">
        <f t="shared" si="3"/>
        <v>0</v>
      </c>
      <c r="P25" s="655">
        <f t="shared" si="3"/>
        <v>0</v>
      </c>
      <c r="Q25" s="655">
        <f t="shared" si="3"/>
        <v>0</v>
      </c>
      <c r="R25" s="655">
        <f t="shared" si="3"/>
        <v>0</v>
      </c>
    </row>
    <row r="26" spans="2:18" ht="12" thickBot="1" x14ac:dyDescent="0.3"/>
    <row r="27" spans="2:18" s="373" customFormat="1" ht="15" customHeight="1" x14ac:dyDescent="0.25">
      <c r="B27" s="791" t="s">
        <v>276</v>
      </c>
      <c r="C27" s="778" t="s">
        <v>277</v>
      </c>
      <c r="D27" s="780" t="s">
        <v>150</v>
      </c>
      <c r="E27" s="782" t="s">
        <v>718</v>
      </c>
      <c r="F27" s="775" t="s">
        <v>291</v>
      </c>
      <c r="G27" s="776"/>
      <c r="H27" s="776"/>
      <c r="I27" s="776"/>
      <c r="J27" s="776"/>
      <c r="K27" s="776"/>
      <c r="L27" s="776"/>
      <c r="M27" s="776"/>
      <c r="N27" s="776"/>
      <c r="O27" s="776"/>
      <c r="P27" s="776"/>
      <c r="Q27" s="776"/>
      <c r="R27" s="777"/>
    </row>
    <row r="28" spans="2:18" s="373" customFormat="1" ht="15" customHeight="1" thickBot="1" x14ac:dyDescent="0.3">
      <c r="B28" s="792"/>
      <c r="C28" s="779"/>
      <c r="D28" s="781"/>
      <c r="E28" s="783"/>
      <c r="F28" s="638" t="s">
        <v>279</v>
      </c>
      <c r="G28" s="639" t="s">
        <v>280</v>
      </c>
      <c r="H28" s="639" t="s">
        <v>281</v>
      </c>
      <c r="I28" s="639" t="s">
        <v>282</v>
      </c>
      <c r="J28" s="639" t="s">
        <v>33</v>
      </c>
      <c r="K28" s="639" t="s">
        <v>283</v>
      </c>
      <c r="L28" s="639" t="s">
        <v>284</v>
      </c>
      <c r="M28" s="639" t="s">
        <v>285</v>
      </c>
      <c r="N28" s="639" t="s">
        <v>286</v>
      </c>
      <c r="O28" s="639" t="s">
        <v>287</v>
      </c>
      <c r="P28" s="639" t="s">
        <v>288</v>
      </c>
      <c r="Q28" s="639" t="s">
        <v>289</v>
      </c>
      <c r="R28" s="640" t="s">
        <v>98</v>
      </c>
    </row>
    <row r="29" spans="2:18" s="373" customFormat="1" ht="15" customHeight="1" x14ac:dyDescent="0.25">
      <c r="B29" s="641">
        <v>1</v>
      </c>
      <c r="C29" s="656">
        <f t="shared" ref="C29:D32" si="4">C4</f>
        <v>0</v>
      </c>
      <c r="D29" s="657">
        <f t="shared" si="4"/>
        <v>0</v>
      </c>
      <c r="E29" s="682"/>
      <c r="F29" s="663">
        <f t="shared" ref="F29:Q29" si="5">$D29*F4</f>
        <v>0</v>
      </c>
      <c r="G29" s="664">
        <f t="shared" si="5"/>
        <v>0</v>
      </c>
      <c r="H29" s="664">
        <f t="shared" si="5"/>
        <v>0</v>
      </c>
      <c r="I29" s="664">
        <f t="shared" si="5"/>
        <v>0</v>
      </c>
      <c r="J29" s="664">
        <f t="shared" si="5"/>
        <v>0</v>
      </c>
      <c r="K29" s="664">
        <f t="shared" si="5"/>
        <v>0</v>
      </c>
      <c r="L29" s="664">
        <f t="shared" si="5"/>
        <v>0</v>
      </c>
      <c r="M29" s="664">
        <f t="shared" si="5"/>
        <v>0</v>
      </c>
      <c r="N29" s="664">
        <f t="shared" si="5"/>
        <v>0</v>
      </c>
      <c r="O29" s="664">
        <f t="shared" si="5"/>
        <v>0</v>
      </c>
      <c r="P29" s="664">
        <f t="shared" si="5"/>
        <v>0</v>
      </c>
      <c r="Q29" s="664">
        <f t="shared" si="5"/>
        <v>0</v>
      </c>
      <c r="R29" s="665">
        <f>SUM(F29:Q29)</f>
        <v>0</v>
      </c>
    </row>
    <row r="30" spans="2:18" s="373" customFormat="1" ht="15" customHeight="1" x14ac:dyDescent="0.25">
      <c r="B30" s="645">
        <v>2</v>
      </c>
      <c r="C30" s="658">
        <f t="shared" si="4"/>
        <v>0</v>
      </c>
      <c r="D30" s="657">
        <f t="shared" si="4"/>
        <v>0</v>
      </c>
      <c r="E30" s="692"/>
      <c r="F30" s="666">
        <f t="shared" ref="F30:Q30" si="6">$D30*F5</f>
        <v>0</v>
      </c>
      <c r="G30" s="667">
        <f t="shared" si="6"/>
        <v>0</v>
      </c>
      <c r="H30" s="667">
        <f t="shared" si="6"/>
        <v>0</v>
      </c>
      <c r="I30" s="667">
        <f t="shared" si="6"/>
        <v>0</v>
      </c>
      <c r="J30" s="667">
        <f t="shared" si="6"/>
        <v>0</v>
      </c>
      <c r="K30" s="667">
        <f t="shared" si="6"/>
        <v>0</v>
      </c>
      <c r="L30" s="667">
        <f t="shared" si="6"/>
        <v>0</v>
      </c>
      <c r="M30" s="667">
        <f t="shared" si="6"/>
        <v>0</v>
      </c>
      <c r="N30" s="667">
        <f t="shared" si="6"/>
        <v>0</v>
      </c>
      <c r="O30" s="667">
        <f t="shared" si="6"/>
        <v>0</v>
      </c>
      <c r="P30" s="667">
        <f t="shared" si="6"/>
        <v>0</v>
      </c>
      <c r="Q30" s="667">
        <f t="shared" si="6"/>
        <v>0</v>
      </c>
      <c r="R30" s="668">
        <f t="shared" ref="R30:R32" si="7">SUM(F30:Q30)</f>
        <v>0</v>
      </c>
    </row>
    <row r="31" spans="2:18" s="373" customFormat="1" ht="15" customHeight="1" x14ac:dyDescent="0.25">
      <c r="B31" s="645">
        <v>3</v>
      </c>
      <c r="C31" s="658">
        <f t="shared" si="4"/>
        <v>0</v>
      </c>
      <c r="D31" s="657">
        <f t="shared" si="4"/>
        <v>0</v>
      </c>
      <c r="E31" s="692"/>
      <c r="F31" s="666">
        <f t="shared" ref="F31:Q31" si="8">$D31*F6</f>
        <v>0</v>
      </c>
      <c r="G31" s="667">
        <f t="shared" si="8"/>
        <v>0</v>
      </c>
      <c r="H31" s="667">
        <f t="shared" si="8"/>
        <v>0</v>
      </c>
      <c r="I31" s="667">
        <f t="shared" si="8"/>
        <v>0</v>
      </c>
      <c r="J31" s="667">
        <f t="shared" si="8"/>
        <v>0</v>
      </c>
      <c r="K31" s="667">
        <f t="shared" si="8"/>
        <v>0</v>
      </c>
      <c r="L31" s="667">
        <f t="shared" si="8"/>
        <v>0</v>
      </c>
      <c r="M31" s="667">
        <f t="shared" si="8"/>
        <v>0</v>
      </c>
      <c r="N31" s="667">
        <f t="shared" si="8"/>
        <v>0</v>
      </c>
      <c r="O31" s="667">
        <f t="shared" si="8"/>
        <v>0</v>
      </c>
      <c r="P31" s="667">
        <f t="shared" si="8"/>
        <v>0</v>
      </c>
      <c r="Q31" s="667">
        <f t="shared" si="8"/>
        <v>0</v>
      </c>
      <c r="R31" s="668">
        <f t="shared" si="7"/>
        <v>0</v>
      </c>
    </row>
    <row r="32" spans="2:18" s="373" customFormat="1" ht="15" customHeight="1" x14ac:dyDescent="0.25">
      <c r="B32" s="645">
        <v>4</v>
      </c>
      <c r="C32" s="658">
        <f t="shared" si="4"/>
        <v>0</v>
      </c>
      <c r="D32" s="657">
        <f t="shared" si="4"/>
        <v>0</v>
      </c>
      <c r="E32" s="692"/>
      <c r="F32" s="666">
        <f t="shared" ref="F32:Q32" si="9">$D32*F7</f>
        <v>0</v>
      </c>
      <c r="G32" s="667">
        <f t="shared" si="9"/>
        <v>0</v>
      </c>
      <c r="H32" s="667">
        <f t="shared" si="9"/>
        <v>0</v>
      </c>
      <c r="I32" s="667">
        <f t="shared" si="9"/>
        <v>0</v>
      </c>
      <c r="J32" s="667">
        <f t="shared" si="9"/>
        <v>0</v>
      </c>
      <c r="K32" s="667">
        <f t="shared" si="9"/>
        <v>0</v>
      </c>
      <c r="L32" s="667">
        <f t="shared" si="9"/>
        <v>0</v>
      </c>
      <c r="M32" s="667">
        <f t="shared" si="9"/>
        <v>0</v>
      </c>
      <c r="N32" s="667">
        <f t="shared" si="9"/>
        <v>0</v>
      </c>
      <c r="O32" s="667">
        <f t="shared" si="9"/>
        <v>0</v>
      </c>
      <c r="P32" s="667">
        <f t="shared" si="9"/>
        <v>0</v>
      </c>
      <c r="Q32" s="667">
        <f t="shared" si="9"/>
        <v>0</v>
      </c>
      <c r="R32" s="668">
        <f t="shared" si="7"/>
        <v>0</v>
      </c>
    </row>
    <row r="33" spans="2:18" s="373" customFormat="1" ht="15" customHeight="1" x14ac:dyDescent="0.25">
      <c r="B33" s="645">
        <v>5</v>
      </c>
      <c r="C33" s="658">
        <f t="shared" ref="C33:D33" si="10">C8</f>
        <v>0</v>
      </c>
      <c r="D33" s="657">
        <f t="shared" si="10"/>
        <v>0</v>
      </c>
      <c r="E33" s="692"/>
      <c r="F33" s="666">
        <f t="shared" ref="F33:Q33" si="11">$D33*F8</f>
        <v>0</v>
      </c>
      <c r="G33" s="667">
        <f t="shared" si="11"/>
        <v>0</v>
      </c>
      <c r="H33" s="667">
        <f t="shared" si="11"/>
        <v>0</v>
      </c>
      <c r="I33" s="667">
        <f t="shared" si="11"/>
        <v>0</v>
      </c>
      <c r="J33" s="667">
        <f t="shared" si="11"/>
        <v>0</v>
      </c>
      <c r="K33" s="667">
        <f t="shared" si="11"/>
        <v>0</v>
      </c>
      <c r="L33" s="667">
        <f t="shared" si="11"/>
        <v>0</v>
      </c>
      <c r="M33" s="667">
        <f t="shared" si="11"/>
        <v>0</v>
      </c>
      <c r="N33" s="667">
        <f t="shared" si="11"/>
        <v>0</v>
      </c>
      <c r="O33" s="667">
        <f t="shared" si="11"/>
        <v>0</v>
      </c>
      <c r="P33" s="667">
        <f t="shared" si="11"/>
        <v>0</v>
      </c>
      <c r="Q33" s="667">
        <f t="shared" si="11"/>
        <v>0</v>
      </c>
      <c r="R33" s="668">
        <f t="shared" ref="R33:R48" si="12">SUM(F33:Q33)</f>
        <v>0</v>
      </c>
    </row>
    <row r="34" spans="2:18" s="373" customFormat="1" ht="15" customHeight="1" x14ac:dyDescent="0.25">
      <c r="B34" s="645">
        <v>6</v>
      </c>
      <c r="C34" s="658">
        <f t="shared" ref="C34:D34" si="13">C9</f>
        <v>0</v>
      </c>
      <c r="D34" s="657">
        <f t="shared" si="13"/>
        <v>0</v>
      </c>
      <c r="E34" s="692"/>
      <c r="F34" s="666">
        <f t="shared" ref="F34:Q34" si="14">$D34*F9</f>
        <v>0</v>
      </c>
      <c r="G34" s="667">
        <f t="shared" si="14"/>
        <v>0</v>
      </c>
      <c r="H34" s="667">
        <f t="shared" si="14"/>
        <v>0</v>
      </c>
      <c r="I34" s="667">
        <f t="shared" si="14"/>
        <v>0</v>
      </c>
      <c r="J34" s="667">
        <f t="shared" si="14"/>
        <v>0</v>
      </c>
      <c r="K34" s="667">
        <f t="shared" si="14"/>
        <v>0</v>
      </c>
      <c r="L34" s="667">
        <f t="shared" si="14"/>
        <v>0</v>
      </c>
      <c r="M34" s="667">
        <f t="shared" si="14"/>
        <v>0</v>
      </c>
      <c r="N34" s="667">
        <f t="shared" si="14"/>
        <v>0</v>
      </c>
      <c r="O34" s="667">
        <f t="shared" si="14"/>
        <v>0</v>
      </c>
      <c r="P34" s="667">
        <f t="shared" si="14"/>
        <v>0</v>
      </c>
      <c r="Q34" s="667">
        <f t="shared" si="14"/>
        <v>0</v>
      </c>
      <c r="R34" s="668">
        <f t="shared" si="12"/>
        <v>0</v>
      </c>
    </row>
    <row r="35" spans="2:18" s="373" customFormat="1" ht="15" customHeight="1" x14ac:dyDescent="0.25">
      <c r="B35" s="645">
        <v>7</v>
      </c>
      <c r="C35" s="658">
        <f t="shared" ref="C35:D35" si="15">C10</f>
        <v>0</v>
      </c>
      <c r="D35" s="657">
        <f t="shared" si="15"/>
        <v>0</v>
      </c>
      <c r="E35" s="692"/>
      <c r="F35" s="666">
        <f t="shared" ref="F35:Q35" si="16">$D35*F10</f>
        <v>0</v>
      </c>
      <c r="G35" s="667">
        <f t="shared" si="16"/>
        <v>0</v>
      </c>
      <c r="H35" s="667">
        <f t="shared" si="16"/>
        <v>0</v>
      </c>
      <c r="I35" s="667">
        <f t="shared" si="16"/>
        <v>0</v>
      </c>
      <c r="J35" s="667">
        <f t="shared" si="16"/>
        <v>0</v>
      </c>
      <c r="K35" s="667">
        <f t="shared" si="16"/>
        <v>0</v>
      </c>
      <c r="L35" s="667">
        <f t="shared" si="16"/>
        <v>0</v>
      </c>
      <c r="M35" s="667">
        <f t="shared" si="16"/>
        <v>0</v>
      </c>
      <c r="N35" s="667">
        <f t="shared" si="16"/>
        <v>0</v>
      </c>
      <c r="O35" s="667">
        <f t="shared" si="16"/>
        <v>0</v>
      </c>
      <c r="P35" s="667">
        <f t="shared" si="16"/>
        <v>0</v>
      </c>
      <c r="Q35" s="667">
        <f t="shared" si="16"/>
        <v>0</v>
      </c>
      <c r="R35" s="668">
        <f t="shared" si="12"/>
        <v>0</v>
      </c>
    </row>
    <row r="36" spans="2:18" s="373" customFormat="1" ht="15" customHeight="1" x14ac:dyDescent="0.25">
      <c r="B36" s="645">
        <v>8</v>
      </c>
      <c r="C36" s="658">
        <f t="shared" ref="C36:D36" si="17">C11</f>
        <v>0</v>
      </c>
      <c r="D36" s="657">
        <f t="shared" si="17"/>
        <v>0</v>
      </c>
      <c r="E36" s="692"/>
      <c r="F36" s="666">
        <f t="shared" ref="F36:Q36" si="18">$D36*F11</f>
        <v>0</v>
      </c>
      <c r="G36" s="667">
        <f t="shared" si="18"/>
        <v>0</v>
      </c>
      <c r="H36" s="667">
        <f t="shared" si="18"/>
        <v>0</v>
      </c>
      <c r="I36" s="667">
        <f t="shared" si="18"/>
        <v>0</v>
      </c>
      <c r="J36" s="667">
        <f t="shared" si="18"/>
        <v>0</v>
      </c>
      <c r="K36" s="667">
        <f t="shared" si="18"/>
        <v>0</v>
      </c>
      <c r="L36" s="667">
        <f t="shared" si="18"/>
        <v>0</v>
      </c>
      <c r="M36" s="667">
        <f t="shared" si="18"/>
        <v>0</v>
      </c>
      <c r="N36" s="667">
        <f t="shared" si="18"/>
        <v>0</v>
      </c>
      <c r="O36" s="667">
        <f t="shared" si="18"/>
        <v>0</v>
      </c>
      <c r="P36" s="667">
        <f t="shared" si="18"/>
        <v>0</v>
      </c>
      <c r="Q36" s="667">
        <f t="shared" si="18"/>
        <v>0</v>
      </c>
      <c r="R36" s="668">
        <f t="shared" si="12"/>
        <v>0</v>
      </c>
    </row>
    <row r="37" spans="2:18" s="373" customFormat="1" ht="15" customHeight="1" x14ac:dyDescent="0.25">
      <c r="B37" s="645">
        <v>9</v>
      </c>
      <c r="C37" s="658">
        <f t="shared" ref="C37:D37" si="19">C12</f>
        <v>0</v>
      </c>
      <c r="D37" s="657">
        <f t="shared" si="19"/>
        <v>0</v>
      </c>
      <c r="E37" s="692"/>
      <c r="F37" s="666">
        <f t="shared" ref="F37:Q37" si="20">$D37*F12</f>
        <v>0</v>
      </c>
      <c r="G37" s="667">
        <f t="shared" si="20"/>
        <v>0</v>
      </c>
      <c r="H37" s="667">
        <f t="shared" si="20"/>
        <v>0</v>
      </c>
      <c r="I37" s="667">
        <f t="shared" si="20"/>
        <v>0</v>
      </c>
      <c r="J37" s="667">
        <f t="shared" si="20"/>
        <v>0</v>
      </c>
      <c r="K37" s="667">
        <f t="shared" si="20"/>
        <v>0</v>
      </c>
      <c r="L37" s="667">
        <f t="shared" si="20"/>
        <v>0</v>
      </c>
      <c r="M37" s="667">
        <f t="shared" si="20"/>
        <v>0</v>
      </c>
      <c r="N37" s="667">
        <f t="shared" si="20"/>
        <v>0</v>
      </c>
      <c r="O37" s="667">
        <f t="shared" si="20"/>
        <v>0</v>
      </c>
      <c r="P37" s="667">
        <f t="shared" si="20"/>
        <v>0</v>
      </c>
      <c r="Q37" s="667">
        <f t="shared" si="20"/>
        <v>0</v>
      </c>
      <c r="R37" s="668">
        <f t="shared" si="12"/>
        <v>0</v>
      </c>
    </row>
    <row r="38" spans="2:18" s="373" customFormat="1" ht="15" customHeight="1" x14ac:dyDescent="0.25">
      <c r="B38" s="645">
        <v>10</v>
      </c>
      <c r="C38" s="658">
        <f t="shared" ref="C38:D38" si="21">C13</f>
        <v>0</v>
      </c>
      <c r="D38" s="657">
        <f t="shared" si="21"/>
        <v>0</v>
      </c>
      <c r="E38" s="692"/>
      <c r="F38" s="666">
        <f t="shared" ref="F38:Q38" si="22">$D38*F13</f>
        <v>0</v>
      </c>
      <c r="G38" s="667">
        <f t="shared" si="22"/>
        <v>0</v>
      </c>
      <c r="H38" s="667">
        <f t="shared" si="22"/>
        <v>0</v>
      </c>
      <c r="I38" s="667">
        <f t="shared" si="22"/>
        <v>0</v>
      </c>
      <c r="J38" s="667">
        <f t="shared" si="22"/>
        <v>0</v>
      </c>
      <c r="K38" s="667">
        <f t="shared" si="22"/>
        <v>0</v>
      </c>
      <c r="L38" s="667">
        <f t="shared" si="22"/>
        <v>0</v>
      </c>
      <c r="M38" s="667">
        <f t="shared" si="22"/>
        <v>0</v>
      </c>
      <c r="N38" s="667">
        <f t="shared" si="22"/>
        <v>0</v>
      </c>
      <c r="O38" s="667">
        <f t="shared" si="22"/>
        <v>0</v>
      </c>
      <c r="P38" s="667">
        <f t="shared" si="22"/>
        <v>0</v>
      </c>
      <c r="Q38" s="667">
        <f t="shared" si="22"/>
        <v>0</v>
      </c>
      <c r="R38" s="668">
        <f t="shared" si="12"/>
        <v>0</v>
      </c>
    </row>
    <row r="39" spans="2:18" s="373" customFormat="1" ht="15" customHeight="1" x14ac:dyDescent="0.25">
      <c r="B39" s="645">
        <v>11</v>
      </c>
      <c r="C39" s="658">
        <f t="shared" ref="C39:D39" si="23">C14</f>
        <v>0</v>
      </c>
      <c r="D39" s="657">
        <f t="shared" si="23"/>
        <v>0</v>
      </c>
      <c r="E39" s="692"/>
      <c r="F39" s="666">
        <f t="shared" ref="F39:Q39" si="24">$D39*F14</f>
        <v>0</v>
      </c>
      <c r="G39" s="667">
        <f t="shared" si="24"/>
        <v>0</v>
      </c>
      <c r="H39" s="667">
        <f t="shared" si="24"/>
        <v>0</v>
      </c>
      <c r="I39" s="667">
        <f t="shared" si="24"/>
        <v>0</v>
      </c>
      <c r="J39" s="667">
        <f t="shared" si="24"/>
        <v>0</v>
      </c>
      <c r="K39" s="667">
        <f t="shared" si="24"/>
        <v>0</v>
      </c>
      <c r="L39" s="667">
        <f t="shared" si="24"/>
        <v>0</v>
      </c>
      <c r="M39" s="667">
        <f t="shared" si="24"/>
        <v>0</v>
      </c>
      <c r="N39" s="667">
        <f t="shared" si="24"/>
        <v>0</v>
      </c>
      <c r="O39" s="667">
        <f t="shared" si="24"/>
        <v>0</v>
      </c>
      <c r="P39" s="667">
        <f t="shared" si="24"/>
        <v>0</v>
      </c>
      <c r="Q39" s="667">
        <f t="shared" si="24"/>
        <v>0</v>
      </c>
      <c r="R39" s="668">
        <f t="shared" si="12"/>
        <v>0</v>
      </c>
    </row>
    <row r="40" spans="2:18" s="373" customFormat="1" ht="15" customHeight="1" x14ac:dyDescent="0.25">
      <c r="B40" s="645">
        <v>12</v>
      </c>
      <c r="C40" s="658">
        <f t="shared" ref="C40:D40" si="25">C15</f>
        <v>0</v>
      </c>
      <c r="D40" s="657">
        <f t="shared" si="25"/>
        <v>0</v>
      </c>
      <c r="E40" s="692"/>
      <c r="F40" s="666">
        <f t="shared" ref="F40:Q40" si="26">$D40*F15</f>
        <v>0</v>
      </c>
      <c r="G40" s="667">
        <f t="shared" si="26"/>
        <v>0</v>
      </c>
      <c r="H40" s="667">
        <f t="shared" si="26"/>
        <v>0</v>
      </c>
      <c r="I40" s="667">
        <f t="shared" si="26"/>
        <v>0</v>
      </c>
      <c r="J40" s="667">
        <f t="shared" si="26"/>
        <v>0</v>
      </c>
      <c r="K40" s="667">
        <f t="shared" si="26"/>
        <v>0</v>
      </c>
      <c r="L40" s="667">
        <f t="shared" si="26"/>
        <v>0</v>
      </c>
      <c r="M40" s="667">
        <f t="shared" si="26"/>
        <v>0</v>
      </c>
      <c r="N40" s="667">
        <f t="shared" si="26"/>
        <v>0</v>
      </c>
      <c r="O40" s="667">
        <f t="shared" si="26"/>
        <v>0</v>
      </c>
      <c r="P40" s="667">
        <f t="shared" si="26"/>
        <v>0</v>
      </c>
      <c r="Q40" s="667">
        <f t="shared" si="26"/>
        <v>0</v>
      </c>
      <c r="R40" s="668">
        <f t="shared" si="12"/>
        <v>0</v>
      </c>
    </row>
    <row r="41" spans="2:18" s="373" customFormat="1" ht="15" customHeight="1" x14ac:dyDescent="0.25">
      <c r="B41" s="645">
        <v>13</v>
      </c>
      <c r="C41" s="658">
        <f t="shared" ref="C41:D41" si="27">C16</f>
        <v>0</v>
      </c>
      <c r="D41" s="657">
        <f t="shared" si="27"/>
        <v>0</v>
      </c>
      <c r="E41" s="692"/>
      <c r="F41" s="666">
        <f t="shared" ref="F41:Q41" si="28">$D41*F16</f>
        <v>0</v>
      </c>
      <c r="G41" s="667">
        <f t="shared" si="28"/>
        <v>0</v>
      </c>
      <c r="H41" s="667">
        <f t="shared" si="28"/>
        <v>0</v>
      </c>
      <c r="I41" s="667">
        <f t="shared" si="28"/>
        <v>0</v>
      </c>
      <c r="J41" s="667">
        <f t="shared" si="28"/>
        <v>0</v>
      </c>
      <c r="K41" s="667">
        <f t="shared" si="28"/>
        <v>0</v>
      </c>
      <c r="L41" s="667">
        <f t="shared" si="28"/>
        <v>0</v>
      </c>
      <c r="M41" s="667">
        <f t="shared" si="28"/>
        <v>0</v>
      </c>
      <c r="N41" s="667">
        <f t="shared" si="28"/>
        <v>0</v>
      </c>
      <c r="O41" s="667">
        <f t="shared" si="28"/>
        <v>0</v>
      </c>
      <c r="P41" s="667">
        <f t="shared" si="28"/>
        <v>0</v>
      </c>
      <c r="Q41" s="667">
        <f t="shared" si="28"/>
        <v>0</v>
      </c>
      <c r="R41" s="668">
        <f t="shared" si="12"/>
        <v>0</v>
      </c>
    </row>
    <row r="42" spans="2:18" s="373" customFormat="1" ht="15" customHeight="1" x14ac:dyDescent="0.25">
      <c r="B42" s="645">
        <v>14</v>
      </c>
      <c r="C42" s="658">
        <f t="shared" ref="C42:D42" si="29">C17</f>
        <v>0</v>
      </c>
      <c r="D42" s="657">
        <f t="shared" si="29"/>
        <v>0</v>
      </c>
      <c r="E42" s="692"/>
      <c r="F42" s="666">
        <f t="shared" ref="F42:Q42" si="30">$D42*F17</f>
        <v>0</v>
      </c>
      <c r="G42" s="667">
        <f t="shared" si="30"/>
        <v>0</v>
      </c>
      <c r="H42" s="667">
        <f t="shared" si="30"/>
        <v>0</v>
      </c>
      <c r="I42" s="667">
        <f t="shared" si="30"/>
        <v>0</v>
      </c>
      <c r="J42" s="667">
        <f t="shared" si="30"/>
        <v>0</v>
      </c>
      <c r="K42" s="667">
        <f t="shared" si="30"/>
        <v>0</v>
      </c>
      <c r="L42" s="667">
        <f t="shared" si="30"/>
        <v>0</v>
      </c>
      <c r="M42" s="667">
        <f t="shared" si="30"/>
        <v>0</v>
      </c>
      <c r="N42" s="667">
        <f t="shared" si="30"/>
        <v>0</v>
      </c>
      <c r="O42" s="667">
        <f t="shared" si="30"/>
        <v>0</v>
      </c>
      <c r="P42" s="667">
        <f t="shared" si="30"/>
        <v>0</v>
      </c>
      <c r="Q42" s="667">
        <f t="shared" si="30"/>
        <v>0</v>
      </c>
      <c r="R42" s="668">
        <f t="shared" si="12"/>
        <v>0</v>
      </c>
    </row>
    <row r="43" spans="2:18" s="373" customFormat="1" ht="15" customHeight="1" x14ac:dyDescent="0.25">
      <c r="B43" s="645">
        <v>15</v>
      </c>
      <c r="C43" s="658">
        <f t="shared" ref="C43:D43" si="31">C18</f>
        <v>0</v>
      </c>
      <c r="D43" s="657">
        <f t="shared" si="31"/>
        <v>0</v>
      </c>
      <c r="E43" s="692"/>
      <c r="F43" s="666">
        <f t="shared" ref="F43:Q43" si="32">$D43*F18</f>
        <v>0</v>
      </c>
      <c r="G43" s="667">
        <f t="shared" si="32"/>
        <v>0</v>
      </c>
      <c r="H43" s="667">
        <f t="shared" si="32"/>
        <v>0</v>
      </c>
      <c r="I43" s="667">
        <f t="shared" si="32"/>
        <v>0</v>
      </c>
      <c r="J43" s="667">
        <f t="shared" si="32"/>
        <v>0</v>
      </c>
      <c r="K43" s="667">
        <f t="shared" si="32"/>
        <v>0</v>
      </c>
      <c r="L43" s="667">
        <f t="shared" si="32"/>
        <v>0</v>
      </c>
      <c r="M43" s="667">
        <f t="shared" si="32"/>
        <v>0</v>
      </c>
      <c r="N43" s="667">
        <f t="shared" si="32"/>
        <v>0</v>
      </c>
      <c r="O43" s="667">
        <f t="shared" si="32"/>
        <v>0</v>
      </c>
      <c r="P43" s="667">
        <f t="shared" si="32"/>
        <v>0</v>
      </c>
      <c r="Q43" s="667">
        <f t="shared" si="32"/>
        <v>0</v>
      </c>
      <c r="R43" s="668">
        <f t="shared" si="12"/>
        <v>0</v>
      </c>
    </row>
    <row r="44" spans="2:18" s="373" customFormat="1" ht="15" customHeight="1" x14ac:dyDescent="0.25">
      <c r="B44" s="645">
        <v>16</v>
      </c>
      <c r="C44" s="658">
        <f t="shared" ref="C44:D44" si="33">C19</f>
        <v>0</v>
      </c>
      <c r="D44" s="657">
        <f t="shared" si="33"/>
        <v>0</v>
      </c>
      <c r="E44" s="692"/>
      <c r="F44" s="666">
        <f t="shared" ref="F44:Q44" si="34">$D44*F19</f>
        <v>0</v>
      </c>
      <c r="G44" s="667">
        <f t="shared" si="34"/>
        <v>0</v>
      </c>
      <c r="H44" s="667">
        <f t="shared" si="34"/>
        <v>0</v>
      </c>
      <c r="I44" s="667">
        <f t="shared" si="34"/>
        <v>0</v>
      </c>
      <c r="J44" s="667">
        <f t="shared" si="34"/>
        <v>0</v>
      </c>
      <c r="K44" s="667">
        <f t="shared" si="34"/>
        <v>0</v>
      </c>
      <c r="L44" s="667">
        <f t="shared" si="34"/>
        <v>0</v>
      </c>
      <c r="M44" s="667">
        <f t="shared" si="34"/>
        <v>0</v>
      </c>
      <c r="N44" s="667">
        <f t="shared" si="34"/>
        <v>0</v>
      </c>
      <c r="O44" s="667">
        <f t="shared" si="34"/>
        <v>0</v>
      </c>
      <c r="P44" s="667">
        <f t="shared" si="34"/>
        <v>0</v>
      </c>
      <c r="Q44" s="667">
        <f t="shared" si="34"/>
        <v>0</v>
      </c>
      <c r="R44" s="668">
        <f t="shared" si="12"/>
        <v>0</v>
      </c>
    </row>
    <row r="45" spans="2:18" s="373" customFormat="1" ht="15" customHeight="1" x14ac:dyDescent="0.25">
      <c r="B45" s="645">
        <v>17</v>
      </c>
      <c r="C45" s="658">
        <f t="shared" ref="C45:D45" si="35">C20</f>
        <v>0</v>
      </c>
      <c r="D45" s="657">
        <f t="shared" si="35"/>
        <v>0</v>
      </c>
      <c r="E45" s="692"/>
      <c r="F45" s="666">
        <f t="shared" ref="F45:Q45" si="36">$D45*F20</f>
        <v>0</v>
      </c>
      <c r="G45" s="667">
        <f t="shared" si="36"/>
        <v>0</v>
      </c>
      <c r="H45" s="667">
        <f t="shared" si="36"/>
        <v>0</v>
      </c>
      <c r="I45" s="667">
        <f t="shared" si="36"/>
        <v>0</v>
      </c>
      <c r="J45" s="667">
        <f t="shared" si="36"/>
        <v>0</v>
      </c>
      <c r="K45" s="667">
        <f t="shared" si="36"/>
        <v>0</v>
      </c>
      <c r="L45" s="667">
        <f t="shared" si="36"/>
        <v>0</v>
      </c>
      <c r="M45" s="667">
        <f t="shared" si="36"/>
        <v>0</v>
      </c>
      <c r="N45" s="667">
        <f t="shared" si="36"/>
        <v>0</v>
      </c>
      <c r="O45" s="667">
        <f t="shared" si="36"/>
        <v>0</v>
      </c>
      <c r="P45" s="667">
        <f t="shared" si="36"/>
        <v>0</v>
      </c>
      <c r="Q45" s="667">
        <f t="shared" si="36"/>
        <v>0</v>
      </c>
      <c r="R45" s="668">
        <f t="shared" si="12"/>
        <v>0</v>
      </c>
    </row>
    <row r="46" spans="2:18" s="373" customFormat="1" ht="15" customHeight="1" x14ac:dyDescent="0.25">
      <c r="B46" s="645">
        <v>18</v>
      </c>
      <c r="C46" s="658">
        <f t="shared" ref="C46:D46" si="37">C21</f>
        <v>0</v>
      </c>
      <c r="D46" s="657">
        <f t="shared" si="37"/>
        <v>0</v>
      </c>
      <c r="E46" s="692"/>
      <c r="F46" s="666">
        <f t="shared" ref="F46:Q46" si="38">$D46*F21</f>
        <v>0</v>
      </c>
      <c r="G46" s="667">
        <f t="shared" si="38"/>
        <v>0</v>
      </c>
      <c r="H46" s="667">
        <f t="shared" si="38"/>
        <v>0</v>
      </c>
      <c r="I46" s="667">
        <f t="shared" si="38"/>
        <v>0</v>
      </c>
      <c r="J46" s="667">
        <f t="shared" si="38"/>
        <v>0</v>
      </c>
      <c r="K46" s="667">
        <f t="shared" si="38"/>
        <v>0</v>
      </c>
      <c r="L46" s="667">
        <f t="shared" si="38"/>
        <v>0</v>
      </c>
      <c r="M46" s="667">
        <f t="shared" si="38"/>
        <v>0</v>
      </c>
      <c r="N46" s="667">
        <f t="shared" si="38"/>
        <v>0</v>
      </c>
      <c r="O46" s="667">
        <f t="shared" si="38"/>
        <v>0</v>
      </c>
      <c r="P46" s="667">
        <f t="shared" si="38"/>
        <v>0</v>
      </c>
      <c r="Q46" s="667">
        <f t="shared" si="38"/>
        <v>0</v>
      </c>
      <c r="R46" s="668">
        <f t="shared" si="12"/>
        <v>0</v>
      </c>
    </row>
    <row r="47" spans="2:18" s="373" customFormat="1" ht="15" customHeight="1" x14ac:dyDescent="0.25">
      <c r="B47" s="645">
        <v>19</v>
      </c>
      <c r="C47" s="658">
        <f t="shared" ref="C47:D47" si="39">C22</f>
        <v>0</v>
      </c>
      <c r="D47" s="657">
        <f t="shared" si="39"/>
        <v>0</v>
      </c>
      <c r="E47" s="692"/>
      <c r="F47" s="666">
        <f t="shared" ref="F47:Q47" si="40">$D47*F22</f>
        <v>0</v>
      </c>
      <c r="G47" s="667">
        <f t="shared" si="40"/>
        <v>0</v>
      </c>
      <c r="H47" s="667">
        <f t="shared" si="40"/>
        <v>0</v>
      </c>
      <c r="I47" s="667">
        <f t="shared" si="40"/>
        <v>0</v>
      </c>
      <c r="J47" s="667">
        <f t="shared" si="40"/>
        <v>0</v>
      </c>
      <c r="K47" s="667">
        <f t="shared" si="40"/>
        <v>0</v>
      </c>
      <c r="L47" s="667">
        <f t="shared" si="40"/>
        <v>0</v>
      </c>
      <c r="M47" s="667">
        <f t="shared" si="40"/>
        <v>0</v>
      </c>
      <c r="N47" s="667">
        <f t="shared" si="40"/>
        <v>0</v>
      </c>
      <c r="O47" s="667">
        <f t="shared" si="40"/>
        <v>0</v>
      </c>
      <c r="P47" s="667">
        <f t="shared" si="40"/>
        <v>0</v>
      </c>
      <c r="Q47" s="667">
        <f t="shared" si="40"/>
        <v>0</v>
      </c>
      <c r="R47" s="668">
        <f t="shared" si="12"/>
        <v>0</v>
      </c>
    </row>
    <row r="48" spans="2:18" s="373" customFormat="1" ht="15" customHeight="1" x14ac:dyDescent="0.25">
      <c r="B48" s="645">
        <v>20</v>
      </c>
      <c r="C48" s="658">
        <f t="shared" ref="C48:D48" si="41">C23</f>
        <v>0</v>
      </c>
      <c r="D48" s="657">
        <f t="shared" si="41"/>
        <v>0</v>
      </c>
      <c r="E48" s="692"/>
      <c r="F48" s="666">
        <f t="shared" ref="F48:Q48" si="42">$D48*F23</f>
        <v>0</v>
      </c>
      <c r="G48" s="667">
        <f t="shared" si="42"/>
        <v>0</v>
      </c>
      <c r="H48" s="667">
        <f t="shared" si="42"/>
        <v>0</v>
      </c>
      <c r="I48" s="667">
        <f t="shared" si="42"/>
        <v>0</v>
      </c>
      <c r="J48" s="667">
        <f t="shared" si="42"/>
        <v>0</v>
      </c>
      <c r="K48" s="667">
        <f t="shared" si="42"/>
        <v>0</v>
      </c>
      <c r="L48" s="667">
        <f t="shared" si="42"/>
        <v>0</v>
      </c>
      <c r="M48" s="667">
        <f t="shared" si="42"/>
        <v>0</v>
      </c>
      <c r="N48" s="667">
        <f t="shared" si="42"/>
        <v>0</v>
      </c>
      <c r="O48" s="667">
        <f t="shared" si="42"/>
        <v>0</v>
      </c>
      <c r="P48" s="667">
        <f t="shared" si="42"/>
        <v>0</v>
      </c>
      <c r="Q48" s="667">
        <f t="shared" si="42"/>
        <v>0</v>
      </c>
      <c r="R48" s="668">
        <f t="shared" si="12"/>
        <v>0</v>
      </c>
    </row>
    <row r="49" spans="2:18" s="373" customFormat="1" ht="15" customHeight="1" thickBot="1" x14ac:dyDescent="0.3">
      <c r="B49" s="647"/>
      <c r="C49" s="648"/>
      <c r="D49" s="659"/>
      <c r="E49" s="693"/>
      <c r="F49" s="669"/>
      <c r="G49" s="670"/>
      <c r="H49" s="670"/>
      <c r="I49" s="670"/>
      <c r="J49" s="670"/>
      <c r="K49" s="670"/>
      <c r="L49" s="670"/>
      <c r="M49" s="670"/>
      <c r="N49" s="670"/>
      <c r="O49" s="670"/>
      <c r="P49" s="670"/>
      <c r="Q49" s="670"/>
      <c r="R49" s="671"/>
    </row>
    <row r="50" spans="2:18" s="373" customFormat="1" ht="15" customHeight="1" thickBot="1" x14ac:dyDescent="0.3">
      <c r="B50" s="651"/>
      <c r="C50" s="652" t="s">
        <v>290</v>
      </c>
      <c r="D50" s="660"/>
      <c r="E50" s="694"/>
      <c r="F50" s="672">
        <f t="shared" ref="F50:R50" si="43">SUM(F29:F49)</f>
        <v>0</v>
      </c>
      <c r="G50" s="673">
        <f t="shared" si="43"/>
        <v>0</v>
      </c>
      <c r="H50" s="673">
        <f t="shared" si="43"/>
        <v>0</v>
      </c>
      <c r="I50" s="673">
        <f t="shared" si="43"/>
        <v>0</v>
      </c>
      <c r="J50" s="673">
        <f t="shared" si="43"/>
        <v>0</v>
      </c>
      <c r="K50" s="673">
        <f t="shared" si="43"/>
        <v>0</v>
      </c>
      <c r="L50" s="673">
        <f t="shared" si="43"/>
        <v>0</v>
      </c>
      <c r="M50" s="673">
        <f t="shared" si="43"/>
        <v>0</v>
      </c>
      <c r="N50" s="673">
        <f t="shared" si="43"/>
        <v>0</v>
      </c>
      <c r="O50" s="673">
        <f t="shared" si="43"/>
        <v>0</v>
      </c>
      <c r="P50" s="673">
        <f t="shared" si="43"/>
        <v>0</v>
      </c>
      <c r="Q50" s="673">
        <f t="shared" si="43"/>
        <v>0</v>
      </c>
      <c r="R50" s="674">
        <f t="shared" si="43"/>
        <v>0</v>
      </c>
    </row>
    <row r="51" spans="2:18" ht="12" thickBot="1" x14ac:dyDescent="0.3"/>
    <row r="52" spans="2:18" s="373" customFormat="1" ht="15" customHeight="1" x14ac:dyDescent="0.25">
      <c r="B52" s="791" t="s">
        <v>276</v>
      </c>
      <c r="C52" s="778" t="s">
        <v>277</v>
      </c>
      <c r="D52" s="780" t="s">
        <v>150</v>
      </c>
      <c r="E52" s="782" t="s">
        <v>718</v>
      </c>
      <c r="F52" s="775" t="s">
        <v>291</v>
      </c>
      <c r="G52" s="776"/>
      <c r="H52" s="776"/>
      <c r="I52" s="776"/>
      <c r="J52" s="776"/>
      <c r="K52" s="776"/>
      <c r="L52" s="776"/>
      <c r="M52" s="776"/>
      <c r="N52" s="776"/>
      <c r="O52" s="776"/>
      <c r="P52" s="776"/>
      <c r="Q52" s="776"/>
      <c r="R52" s="777"/>
    </row>
    <row r="53" spans="2:18" s="373" customFormat="1" ht="15" customHeight="1" thickBot="1" x14ac:dyDescent="0.3">
      <c r="B53" s="792"/>
      <c r="C53" s="779"/>
      <c r="D53" s="781"/>
      <c r="E53" s="783"/>
      <c r="F53" s="638" t="s">
        <v>279</v>
      </c>
      <c r="G53" s="639" t="s">
        <v>280</v>
      </c>
      <c r="H53" s="639" t="s">
        <v>281</v>
      </c>
      <c r="I53" s="639" t="s">
        <v>282</v>
      </c>
      <c r="J53" s="639" t="s">
        <v>33</v>
      </c>
      <c r="K53" s="639" t="s">
        <v>283</v>
      </c>
      <c r="L53" s="639" t="s">
        <v>284</v>
      </c>
      <c r="M53" s="639" t="s">
        <v>285</v>
      </c>
      <c r="N53" s="639" t="s">
        <v>286</v>
      </c>
      <c r="O53" s="639" t="s">
        <v>287</v>
      </c>
      <c r="P53" s="639" t="s">
        <v>288</v>
      </c>
      <c r="Q53" s="639" t="s">
        <v>289</v>
      </c>
      <c r="R53" s="640" t="s">
        <v>98</v>
      </c>
    </row>
    <row r="54" spans="2:18" s="373" customFormat="1" ht="15" customHeight="1" x14ac:dyDescent="0.25">
      <c r="B54" s="641">
        <v>1</v>
      </c>
      <c r="C54" s="656">
        <f>C4</f>
        <v>0</v>
      </c>
      <c r="D54" s="657"/>
      <c r="E54" s="682">
        <f>E4</f>
        <v>0</v>
      </c>
      <c r="F54" s="663">
        <f>$E54*F4</f>
        <v>0</v>
      </c>
      <c r="G54" s="664">
        <f t="shared" ref="G54:Q54" si="44">$E54*G4</f>
        <v>0</v>
      </c>
      <c r="H54" s="664">
        <f t="shared" si="44"/>
        <v>0</v>
      </c>
      <c r="I54" s="664">
        <f t="shared" si="44"/>
        <v>0</v>
      </c>
      <c r="J54" s="664">
        <f t="shared" si="44"/>
        <v>0</v>
      </c>
      <c r="K54" s="664">
        <f t="shared" si="44"/>
        <v>0</v>
      </c>
      <c r="L54" s="664">
        <f t="shared" si="44"/>
        <v>0</v>
      </c>
      <c r="M54" s="664">
        <f t="shared" si="44"/>
        <v>0</v>
      </c>
      <c r="N54" s="664">
        <f t="shared" si="44"/>
        <v>0</v>
      </c>
      <c r="O54" s="664">
        <f t="shared" si="44"/>
        <v>0</v>
      </c>
      <c r="P54" s="664">
        <f t="shared" si="44"/>
        <v>0</v>
      </c>
      <c r="Q54" s="664">
        <f t="shared" si="44"/>
        <v>0</v>
      </c>
      <c r="R54" s="665">
        <f>SUM(F54:Q54)</f>
        <v>0</v>
      </c>
    </row>
    <row r="55" spans="2:18" s="373" customFormat="1" ht="15" customHeight="1" x14ac:dyDescent="0.25">
      <c r="B55" s="645">
        <v>2</v>
      </c>
      <c r="C55" s="658">
        <f t="shared" ref="C55:C73" si="45">C5</f>
        <v>0</v>
      </c>
      <c r="D55" s="657"/>
      <c r="E55" s="692">
        <f t="shared" ref="E55:E73" si="46">E5</f>
        <v>0</v>
      </c>
      <c r="F55" s="666">
        <f t="shared" ref="F55:Q55" si="47">$E55*F5</f>
        <v>0</v>
      </c>
      <c r="G55" s="667">
        <f t="shared" si="47"/>
        <v>0</v>
      </c>
      <c r="H55" s="667">
        <f t="shared" si="47"/>
        <v>0</v>
      </c>
      <c r="I55" s="667">
        <f t="shared" si="47"/>
        <v>0</v>
      </c>
      <c r="J55" s="667">
        <f t="shared" si="47"/>
        <v>0</v>
      </c>
      <c r="K55" s="667">
        <f t="shared" si="47"/>
        <v>0</v>
      </c>
      <c r="L55" s="667">
        <f t="shared" si="47"/>
        <v>0</v>
      </c>
      <c r="M55" s="667">
        <f t="shared" si="47"/>
        <v>0</v>
      </c>
      <c r="N55" s="667">
        <f t="shared" si="47"/>
        <v>0</v>
      </c>
      <c r="O55" s="667">
        <f t="shared" si="47"/>
        <v>0</v>
      </c>
      <c r="P55" s="667">
        <f t="shared" si="47"/>
        <v>0</v>
      </c>
      <c r="Q55" s="667">
        <f t="shared" si="47"/>
        <v>0</v>
      </c>
      <c r="R55" s="668">
        <f t="shared" ref="R55:R73" si="48">SUM(F55:Q55)</f>
        <v>0</v>
      </c>
    </row>
    <row r="56" spans="2:18" s="373" customFormat="1" ht="15" customHeight="1" x14ac:dyDescent="0.25">
      <c r="B56" s="645">
        <v>3</v>
      </c>
      <c r="C56" s="658">
        <f t="shared" si="45"/>
        <v>0</v>
      </c>
      <c r="D56" s="657"/>
      <c r="E56" s="692">
        <f t="shared" si="46"/>
        <v>0</v>
      </c>
      <c r="F56" s="666">
        <f t="shared" ref="F56:Q56" si="49">$E56*F6</f>
        <v>0</v>
      </c>
      <c r="G56" s="667">
        <f t="shared" si="49"/>
        <v>0</v>
      </c>
      <c r="H56" s="667">
        <f t="shared" si="49"/>
        <v>0</v>
      </c>
      <c r="I56" s="667">
        <f t="shared" si="49"/>
        <v>0</v>
      </c>
      <c r="J56" s="667">
        <f t="shared" si="49"/>
        <v>0</v>
      </c>
      <c r="K56" s="667">
        <f t="shared" si="49"/>
        <v>0</v>
      </c>
      <c r="L56" s="667">
        <f t="shared" si="49"/>
        <v>0</v>
      </c>
      <c r="M56" s="667">
        <f t="shared" si="49"/>
        <v>0</v>
      </c>
      <c r="N56" s="667">
        <f t="shared" si="49"/>
        <v>0</v>
      </c>
      <c r="O56" s="667">
        <f t="shared" si="49"/>
        <v>0</v>
      </c>
      <c r="P56" s="667">
        <f t="shared" si="49"/>
        <v>0</v>
      </c>
      <c r="Q56" s="667">
        <f t="shared" si="49"/>
        <v>0</v>
      </c>
      <c r="R56" s="668">
        <f t="shared" si="48"/>
        <v>0</v>
      </c>
    </row>
    <row r="57" spans="2:18" s="373" customFormat="1" ht="15" customHeight="1" x14ac:dyDescent="0.25">
      <c r="B57" s="645">
        <v>4</v>
      </c>
      <c r="C57" s="658">
        <f t="shared" si="45"/>
        <v>0</v>
      </c>
      <c r="D57" s="657"/>
      <c r="E57" s="692">
        <f t="shared" si="46"/>
        <v>0</v>
      </c>
      <c r="F57" s="666">
        <f t="shared" ref="F57:Q57" si="50">$E57*F7</f>
        <v>0</v>
      </c>
      <c r="G57" s="667">
        <f t="shared" si="50"/>
        <v>0</v>
      </c>
      <c r="H57" s="667">
        <f t="shared" si="50"/>
        <v>0</v>
      </c>
      <c r="I57" s="667">
        <f t="shared" si="50"/>
        <v>0</v>
      </c>
      <c r="J57" s="667">
        <f t="shared" si="50"/>
        <v>0</v>
      </c>
      <c r="K57" s="667">
        <f t="shared" si="50"/>
        <v>0</v>
      </c>
      <c r="L57" s="667">
        <f t="shared" si="50"/>
        <v>0</v>
      </c>
      <c r="M57" s="667">
        <f t="shared" si="50"/>
        <v>0</v>
      </c>
      <c r="N57" s="667">
        <f t="shared" si="50"/>
        <v>0</v>
      </c>
      <c r="O57" s="667">
        <f t="shared" si="50"/>
        <v>0</v>
      </c>
      <c r="P57" s="667">
        <f t="shared" si="50"/>
        <v>0</v>
      </c>
      <c r="Q57" s="667">
        <f t="shared" si="50"/>
        <v>0</v>
      </c>
      <c r="R57" s="668">
        <f t="shared" si="48"/>
        <v>0</v>
      </c>
    </row>
    <row r="58" spans="2:18" s="373" customFormat="1" ht="15" customHeight="1" x14ac:dyDescent="0.25">
      <c r="B58" s="645">
        <v>5</v>
      </c>
      <c r="C58" s="658">
        <f t="shared" si="45"/>
        <v>0</v>
      </c>
      <c r="D58" s="657"/>
      <c r="E58" s="692">
        <f t="shared" si="46"/>
        <v>0</v>
      </c>
      <c r="F58" s="666">
        <f t="shared" ref="F58:Q58" si="51">$E58*F8</f>
        <v>0</v>
      </c>
      <c r="G58" s="667">
        <f t="shared" si="51"/>
        <v>0</v>
      </c>
      <c r="H58" s="667">
        <f t="shared" si="51"/>
        <v>0</v>
      </c>
      <c r="I58" s="667">
        <f t="shared" si="51"/>
        <v>0</v>
      </c>
      <c r="J58" s="667">
        <f t="shared" si="51"/>
        <v>0</v>
      </c>
      <c r="K58" s="667">
        <f t="shared" si="51"/>
        <v>0</v>
      </c>
      <c r="L58" s="667">
        <f t="shared" si="51"/>
        <v>0</v>
      </c>
      <c r="M58" s="667">
        <f t="shared" si="51"/>
        <v>0</v>
      </c>
      <c r="N58" s="667">
        <f t="shared" si="51"/>
        <v>0</v>
      </c>
      <c r="O58" s="667">
        <f t="shared" si="51"/>
        <v>0</v>
      </c>
      <c r="P58" s="667">
        <f t="shared" si="51"/>
        <v>0</v>
      </c>
      <c r="Q58" s="667">
        <f t="shared" si="51"/>
        <v>0</v>
      </c>
      <c r="R58" s="668">
        <f t="shared" si="48"/>
        <v>0</v>
      </c>
    </row>
    <row r="59" spans="2:18" s="373" customFormat="1" ht="15" customHeight="1" x14ac:dyDescent="0.25">
      <c r="B59" s="645">
        <v>6</v>
      </c>
      <c r="C59" s="658">
        <f t="shared" si="45"/>
        <v>0</v>
      </c>
      <c r="D59" s="657"/>
      <c r="E59" s="692">
        <f t="shared" si="46"/>
        <v>0</v>
      </c>
      <c r="F59" s="666">
        <f t="shared" ref="F59:Q59" si="52">$E59*F9</f>
        <v>0</v>
      </c>
      <c r="G59" s="667">
        <f t="shared" si="52"/>
        <v>0</v>
      </c>
      <c r="H59" s="667">
        <f t="shared" si="52"/>
        <v>0</v>
      </c>
      <c r="I59" s="667">
        <f t="shared" si="52"/>
        <v>0</v>
      </c>
      <c r="J59" s="667">
        <f t="shared" si="52"/>
        <v>0</v>
      </c>
      <c r="K59" s="667">
        <f t="shared" si="52"/>
        <v>0</v>
      </c>
      <c r="L59" s="667">
        <f t="shared" si="52"/>
        <v>0</v>
      </c>
      <c r="M59" s="667">
        <f t="shared" si="52"/>
        <v>0</v>
      </c>
      <c r="N59" s="667">
        <f t="shared" si="52"/>
        <v>0</v>
      </c>
      <c r="O59" s="667">
        <f t="shared" si="52"/>
        <v>0</v>
      </c>
      <c r="P59" s="667">
        <f t="shared" si="52"/>
        <v>0</v>
      </c>
      <c r="Q59" s="667">
        <f t="shared" si="52"/>
        <v>0</v>
      </c>
      <c r="R59" s="668">
        <f t="shared" si="48"/>
        <v>0</v>
      </c>
    </row>
    <row r="60" spans="2:18" s="373" customFormat="1" ht="15" customHeight="1" x14ac:dyDescent="0.25">
      <c r="B60" s="645">
        <v>7</v>
      </c>
      <c r="C60" s="658">
        <f t="shared" si="45"/>
        <v>0</v>
      </c>
      <c r="D60" s="657"/>
      <c r="E60" s="692">
        <f t="shared" si="46"/>
        <v>0</v>
      </c>
      <c r="F60" s="666">
        <f t="shared" ref="F60:Q60" si="53">$E60*F10</f>
        <v>0</v>
      </c>
      <c r="G60" s="667">
        <f t="shared" si="53"/>
        <v>0</v>
      </c>
      <c r="H60" s="667">
        <f t="shared" si="53"/>
        <v>0</v>
      </c>
      <c r="I60" s="667">
        <f t="shared" si="53"/>
        <v>0</v>
      </c>
      <c r="J60" s="667">
        <f t="shared" si="53"/>
        <v>0</v>
      </c>
      <c r="K60" s="667">
        <f t="shared" si="53"/>
        <v>0</v>
      </c>
      <c r="L60" s="667">
        <f t="shared" si="53"/>
        <v>0</v>
      </c>
      <c r="M60" s="667">
        <f t="shared" si="53"/>
        <v>0</v>
      </c>
      <c r="N60" s="667">
        <f t="shared" si="53"/>
        <v>0</v>
      </c>
      <c r="O60" s="667">
        <f t="shared" si="53"/>
        <v>0</v>
      </c>
      <c r="P60" s="667">
        <f t="shared" si="53"/>
        <v>0</v>
      </c>
      <c r="Q60" s="667">
        <f t="shared" si="53"/>
        <v>0</v>
      </c>
      <c r="R60" s="668">
        <f t="shared" si="48"/>
        <v>0</v>
      </c>
    </row>
    <row r="61" spans="2:18" s="373" customFormat="1" ht="15" customHeight="1" x14ac:dyDescent="0.25">
      <c r="B61" s="645">
        <v>8</v>
      </c>
      <c r="C61" s="658">
        <f t="shared" si="45"/>
        <v>0</v>
      </c>
      <c r="D61" s="657"/>
      <c r="E61" s="692">
        <f t="shared" si="46"/>
        <v>0</v>
      </c>
      <c r="F61" s="666">
        <f t="shared" ref="F61:Q61" si="54">$E61*F11</f>
        <v>0</v>
      </c>
      <c r="G61" s="667">
        <f t="shared" si="54"/>
        <v>0</v>
      </c>
      <c r="H61" s="667">
        <f t="shared" si="54"/>
        <v>0</v>
      </c>
      <c r="I61" s="667">
        <f t="shared" si="54"/>
        <v>0</v>
      </c>
      <c r="J61" s="667">
        <f t="shared" si="54"/>
        <v>0</v>
      </c>
      <c r="K61" s="667">
        <f t="shared" si="54"/>
        <v>0</v>
      </c>
      <c r="L61" s="667">
        <f t="shared" si="54"/>
        <v>0</v>
      </c>
      <c r="M61" s="667">
        <f t="shared" si="54"/>
        <v>0</v>
      </c>
      <c r="N61" s="667">
        <f t="shared" si="54"/>
        <v>0</v>
      </c>
      <c r="O61" s="667">
        <f t="shared" si="54"/>
        <v>0</v>
      </c>
      <c r="P61" s="667">
        <f t="shared" si="54"/>
        <v>0</v>
      </c>
      <c r="Q61" s="667">
        <f t="shared" si="54"/>
        <v>0</v>
      </c>
      <c r="R61" s="668">
        <f t="shared" si="48"/>
        <v>0</v>
      </c>
    </row>
    <row r="62" spans="2:18" s="373" customFormat="1" ht="15" customHeight="1" x14ac:dyDescent="0.25">
      <c r="B62" s="645">
        <v>9</v>
      </c>
      <c r="C62" s="658">
        <f t="shared" si="45"/>
        <v>0</v>
      </c>
      <c r="D62" s="657"/>
      <c r="E62" s="692">
        <f t="shared" si="46"/>
        <v>0</v>
      </c>
      <c r="F62" s="666">
        <f t="shared" ref="F62:Q62" si="55">$E62*F12</f>
        <v>0</v>
      </c>
      <c r="G62" s="667">
        <f t="shared" si="55"/>
        <v>0</v>
      </c>
      <c r="H62" s="667">
        <f t="shared" si="55"/>
        <v>0</v>
      </c>
      <c r="I62" s="667">
        <f t="shared" si="55"/>
        <v>0</v>
      </c>
      <c r="J62" s="667">
        <f t="shared" si="55"/>
        <v>0</v>
      </c>
      <c r="K62" s="667">
        <f t="shared" si="55"/>
        <v>0</v>
      </c>
      <c r="L62" s="667">
        <f t="shared" si="55"/>
        <v>0</v>
      </c>
      <c r="M62" s="667">
        <f t="shared" si="55"/>
        <v>0</v>
      </c>
      <c r="N62" s="667">
        <f t="shared" si="55"/>
        <v>0</v>
      </c>
      <c r="O62" s="667">
        <f t="shared" si="55"/>
        <v>0</v>
      </c>
      <c r="P62" s="667">
        <f t="shared" si="55"/>
        <v>0</v>
      </c>
      <c r="Q62" s="667">
        <f t="shared" si="55"/>
        <v>0</v>
      </c>
      <c r="R62" s="668">
        <f t="shared" si="48"/>
        <v>0</v>
      </c>
    </row>
    <row r="63" spans="2:18" s="373" customFormat="1" ht="15" customHeight="1" x14ac:dyDescent="0.25">
      <c r="B63" s="645">
        <v>10</v>
      </c>
      <c r="C63" s="658">
        <f t="shared" si="45"/>
        <v>0</v>
      </c>
      <c r="D63" s="657"/>
      <c r="E63" s="692">
        <f t="shared" si="46"/>
        <v>0</v>
      </c>
      <c r="F63" s="666">
        <f t="shared" ref="F63:Q63" si="56">$E63*F13</f>
        <v>0</v>
      </c>
      <c r="G63" s="667">
        <f t="shared" si="56"/>
        <v>0</v>
      </c>
      <c r="H63" s="667">
        <f t="shared" si="56"/>
        <v>0</v>
      </c>
      <c r="I63" s="667">
        <f t="shared" si="56"/>
        <v>0</v>
      </c>
      <c r="J63" s="667">
        <f t="shared" si="56"/>
        <v>0</v>
      </c>
      <c r="K63" s="667">
        <f t="shared" si="56"/>
        <v>0</v>
      </c>
      <c r="L63" s="667">
        <f t="shared" si="56"/>
        <v>0</v>
      </c>
      <c r="M63" s="667">
        <f t="shared" si="56"/>
        <v>0</v>
      </c>
      <c r="N63" s="667">
        <f t="shared" si="56"/>
        <v>0</v>
      </c>
      <c r="O63" s="667">
        <f t="shared" si="56"/>
        <v>0</v>
      </c>
      <c r="P63" s="667">
        <f t="shared" si="56"/>
        <v>0</v>
      </c>
      <c r="Q63" s="667">
        <f t="shared" si="56"/>
        <v>0</v>
      </c>
      <c r="R63" s="668">
        <f t="shared" si="48"/>
        <v>0</v>
      </c>
    </row>
    <row r="64" spans="2:18" s="373" customFormat="1" ht="15" customHeight="1" x14ac:dyDescent="0.25">
      <c r="B64" s="645">
        <v>11</v>
      </c>
      <c r="C64" s="658">
        <f t="shared" si="45"/>
        <v>0</v>
      </c>
      <c r="D64" s="657"/>
      <c r="E64" s="692">
        <f t="shared" si="46"/>
        <v>0</v>
      </c>
      <c r="F64" s="666">
        <f t="shared" ref="F64:Q64" si="57">$E64*F14</f>
        <v>0</v>
      </c>
      <c r="G64" s="667">
        <f t="shared" si="57"/>
        <v>0</v>
      </c>
      <c r="H64" s="667">
        <f t="shared" si="57"/>
        <v>0</v>
      </c>
      <c r="I64" s="667">
        <f t="shared" si="57"/>
        <v>0</v>
      </c>
      <c r="J64" s="667">
        <f t="shared" si="57"/>
        <v>0</v>
      </c>
      <c r="K64" s="667">
        <f t="shared" si="57"/>
        <v>0</v>
      </c>
      <c r="L64" s="667">
        <f t="shared" si="57"/>
        <v>0</v>
      </c>
      <c r="M64" s="667">
        <f t="shared" si="57"/>
        <v>0</v>
      </c>
      <c r="N64" s="667">
        <f t="shared" si="57"/>
        <v>0</v>
      </c>
      <c r="O64" s="667">
        <f t="shared" si="57"/>
        <v>0</v>
      </c>
      <c r="P64" s="667">
        <f t="shared" si="57"/>
        <v>0</v>
      </c>
      <c r="Q64" s="667">
        <f t="shared" si="57"/>
        <v>0</v>
      </c>
      <c r="R64" s="668">
        <f t="shared" si="48"/>
        <v>0</v>
      </c>
    </row>
    <row r="65" spans="2:18" s="373" customFormat="1" ht="15" customHeight="1" x14ac:dyDescent="0.25">
      <c r="B65" s="645">
        <v>12</v>
      </c>
      <c r="C65" s="658">
        <f t="shared" si="45"/>
        <v>0</v>
      </c>
      <c r="D65" s="657"/>
      <c r="E65" s="692">
        <f t="shared" si="46"/>
        <v>0</v>
      </c>
      <c r="F65" s="666">
        <f t="shared" ref="F65:Q65" si="58">$E65*F15</f>
        <v>0</v>
      </c>
      <c r="G65" s="667">
        <f t="shared" si="58"/>
        <v>0</v>
      </c>
      <c r="H65" s="667">
        <f t="shared" si="58"/>
        <v>0</v>
      </c>
      <c r="I65" s="667">
        <f t="shared" si="58"/>
        <v>0</v>
      </c>
      <c r="J65" s="667">
        <f t="shared" si="58"/>
        <v>0</v>
      </c>
      <c r="K65" s="667">
        <f t="shared" si="58"/>
        <v>0</v>
      </c>
      <c r="L65" s="667">
        <f t="shared" si="58"/>
        <v>0</v>
      </c>
      <c r="M65" s="667">
        <f t="shared" si="58"/>
        <v>0</v>
      </c>
      <c r="N65" s="667">
        <f t="shared" si="58"/>
        <v>0</v>
      </c>
      <c r="O65" s="667">
        <f t="shared" si="58"/>
        <v>0</v>
      </c>
      <c r="P65" s="667">
        <f t="shared" si="58"/>
        <v>0</v>
      </c>
      <c r="Q65" s="667">
        <f t="shared" si="58"/>
        <v>0</v>
      </c>
      <c r="R65" s="668">
        <f t="shared" si="48"/>
        <v>0</v>
      </c>
    </row>
    <row r="66" spans="2:18" s="373" customFormat="1" ht="15" customHeight="1" x14ac:dyDescent="0.25">
      <c r="B66" s="645">
        <v>13</v>
      </c>
      <c r="C66" s="658">
        <f t="shared" si="45"/>
        <v>0</v>
      </c>
      <c r="D66" s="657"/>
      <c r="E66" s="692">
        <f t="shared" si="46"/>
        <v>0</v>
      </c>
      <c r="F66" s="666">
        <f t="shared" ref="F66:Q66" si="59">$E66*F16</f>
        <v>0</v>
      </c>
      <c r="G66" s="667">
        <f t="shared" si="59"/>
        <v>0</v>
      </c>
      <c r="H66" s="667">
        <f t="shared" si="59"/>
        <v>0</v>
      </c>
      <c r="I66" s="667">
        <f t="shared" si="59"/>
        <v>0</v>
      </c>
      <c r="J66" s="667">
        <f t="shared" si="59"/>
        <v>0</v>
      </c>
      <c r="K66" s="667">
        <f t="shared" si="59"/>
        <v>0</v>
      </c>
      <c r="L66" s="667">
        <f t="shared" si="59"/>
        <v>0</v>
      </c>
      <c r="M66" s="667">
        <f t="shared" si="59"/>
        <v>0</v>
      </c>
      <c r="N66" s="667">
        <f t="shared" si="59"/>
        <v>0</v>
      </c>
      <c r="O66" s="667">
        <f t="shared" si="59"/>
        <v>0</v>
      </c>
      <c r="P66" s="667">
        <f t="shared" si="59"/>
        <v>0</v>
      </c>
      <c r="Q66" s="667">
        <f t="shared" si="59"/>
        <v>0</v>
      </c>
      <c r="R66" s="668">
        <f t="shared" si="48"/>
        <v>0</v>
      </c>
    </row>
    <row r="67" spans="2:18" s="373" customFormat="1" ht="15" customHeight="1" x14ac:dyDescent="0.25">
      <c r="B67" s="645">
        <v>14</v>
      </c>
      <c r="C67" s="658">
        <f t="shared" si="45"/>
        <v>0</v>
      </c>
      <c r="D67" s="657"/>
      <c r="E67" s="692">
        <f t="shared" si="46"/>
        <v>0</v>
      </c>
      <c r="F67" s="666">
        <f t="shared" ref="F67:Q67" si="60">$E67*F17</f>
        <v>0</v>
      </c>
      <c r="G67" s="667">
        <f t="shared" si="60"/>
        <v>0</v>
      </c>
      <c r="H67" s="667">
        <f t="shared" si="60"/>
        <v>0</v>
      </c>
      <c r="I67" s="667">
        <f t="shared" si="60"/>
        <v>0</v>
      </c>
      <c r="J67" s="667">
        <f t="shared" si="60"/>
        <v>0</v>
      </c>
      <c r="K67" s="667">
        <f t="shared" si="60"/>
        <v>0</v>
      </c>
      <c r="L67" s="667">
        <f t="shared" si="60"/>
        <v>0</v>
      </c>
      <c r="M67" s="667">
        <f t="shared" si="60"/>
        <v>0</v>
      </c>
      <c r="N67" s="667">
        <f t="shared" si="60"/>
        <v>0</v>
      </c>
      <c r="O67" s="667">
        <f t="shared" si="60"/>
        <v>0</v>
      </c>
      <c r="P67" s="667">
        <f t="shared" si="60"/>
        <v>0</v>
      </c>
      <c r="Q67" s="667">
        <f t="shared" si="60"/>
        <v>0</v>
      </c>
      <c r="R67" s="668">
        <f t="shared" si="48"/>
        <v>0</v>
      </c>
    </row>
    <row r="68" spans="2:18" s="373" customFormat="1" ht="15" customHeight="1" x14ac:dyDescent="0.25">
      <c r="B68" s="645">
        <v>15</v>
      </c>
      <c r="C68" s="658">
        <f t="shared" si="45"/>
        <v>0</v>
      </c>
      <c r="D68" s="657"/>
      <c r="E68" s="692">
        <f t="shared" si="46"/>
        <v>0</v>
      </c>
      <c r="F68" s="666">
        <f t="shared" ref="F68:Q68" si="61">$E68*F18</f>
        <v>0</v>
      </c>
      <c r="G68" s="667">
        <f t="shared" si="61"/>
        <v>0</v>
      </c>
      <c r="H68" s="667">
        <f t="shared" si="61"/>
        <v>0</v>
      </c>
      <c r="I68" s="667">
        <f t="shared" si="61"/>
        <v>0</v>
      </c>
      <c r="J68" s="667">
        <f t="shared" si="61"/>
        <v>0</v>
      </c>
      <c r="K68" s="667">
        <f t="shared" si="61"/>
        <v>0</v>
      </c>
      <c r="L68" s="667">
        <f t="shared" si="61"/>
        <v>0</v>
      </c>
      <c r="M68" s="667">
        <f t="shared" si="61"/>
        <v>0</v>
      </c>
      <c r="N68" s="667">
        <f t="shared" si="61"/>
        <v>0</v>
      </c>
      <c r="O68" s="667">
        <f t="shared" si="61"/>
        <v>0</v>
      </c>
      <c r="P68" s="667">
        <f t="shared" si="61"/>
        <v>0</v>
      </c>
      <c r="Q68" s="667">
        <f t="shared" si="61"/>
        <v>0</v>
      </c>
      <c r="R68" s="668">
        <f t="shared" si="48"/>
        <v>0</v>
      </c>
    </row>
    <row r="69" spans="2:18" s="373" customFormat="1" ht="15" customHeight="1" x14ac:dyDescent="0.25">
      <c r="B69" s="645">
        <v>16</v>
      </c>
      <c r="C69" s="658">
        <f t="shared" si="45"/>
        <v>0</v>
      </c>
      <c r="D69" s="657"/>
      <c r="E69" s="692">
        <f t="shared" si="46"/>
        <v>0</v>
      </c>
      <c r="F69" s="666">
        <f t="shared" ref="F69:Q69" si="62">$E69*F19</f>
        <v>0</v>
      </c>
      <c r="G69" s="667">
        <f t="shared" si="62"/>
        <v>0</v>
      </c>
      <c r="H69" s="667">
        <f t="shared" si="62"/>
        <v>0</v>
      </c>
      <c r="I69" s="667">
        <f t="shared" si="62"/>
        <v>0</v>
      </c>
      <c r="J69" s="667">
        <f t="shared" si="62"/>
        <v>0</v>
      </c>
      <c r="K69" s="667">
        <f t="shared" si="62"/>
        <v>0</v>
      </c>
      <c r="L69" s="667">
        <f t="shared" si="62"/>
        <v>0</v>
      </c>
      <c r="M69" s="667">
        <f t="shared" si="62"/>
        <v>0</v>
      </c>
      <c r="N69" s="667">
        <f t="shared" si="62"/>
        <v>0</v>
      </c>
      <c r="O69" s="667">
        <f t="shared" si="62"/>
        <v>0</v>
      </c>
      <c r="P69" s="667">
        <f t="shared" si="62"/>
        <v>0</v>
      </c>
      <c r="Q69" s="667">
        <f t="shared" si="62"/>
        <v>0</v>
      </c>
      <c r="R69" s="668">
        <f t="shared" si="48"/>
        <v>0</v>
      </c>
    </row>
    <row r="70" spans="2:18" s="373" customFormat="1" ht="15" customHeight="1" x14ac:dyDescent="0.25">
      <c r="B70" s="645">
        <v>17</v>
      </c>
      <c r="C70" s="658">
        <f t="shared" si="45"/>
        <v>0</v>
      </c>
      <c r="D70" s="657"/>
      <c r="E70" s="692">
        <f t="shared" si="46"/>
        <v>0</v>
      </c>
      <c r="F70" s="666">
        <f t="shared" ref="F70:Q70" si="63">$E70*F20</f>
        <v>0</v>
      </c>
      <c r="G70" s="667">
        <f t="shared" si="63"/>
        <v>0</v>
      </c>
      <c r="H70" s="667">
        <f t="shared" si="63"/>
        <v>0</v>
      </c>
      <c r="I70" s="667">
        <f t="shared" si="63"/>
        <v>0</v>
      </c>
      <c r="J70" s="667">
        <f t="shared" si="63"/>
        <v>0</v>
      </c>
      <c r="K70" s="667">
        <f t="shared" si="63"/>
        <v>0</v>
      </c>
      <c r="L70" s="667">
        <f t="shared" si="63"/>
        <v>0</v>
      </c>
      <c r="M70" s="667">
        <f t="shared" si="63"/>
        <v>0</v>
      </c>
      <c r="N70" s="667">
        <f t="shared" si="63"/>
        <v>0</v>
      </c>
      <c r="O70" s="667">
        <f t="shared" si="63"/>
        <v>0</v>
      </c>
      <c r="P70" s="667">
        <f t="shared" si="63"/>
        <v>0</v>
      </c>
      <c r="Q70" s="667">
        <f t="shared" si="63"/>
        <v>0</v>
      </c>
      <c r="R70" s="668">
        <f t="shared" si="48"/>
        <v>0</v>
      </c>
    </row>
    <row r="71" spans="2:18" s="373" customFormat="1" ht="15" customHeight="1" x14ac:dyDescent="0.25">
      <c r="B71" s="645">
        <v>18</v>
      </c>
      <c r="C71" s="658">
        <f t="shared" si="45"/>
        <v>0</v>
      </c>
      <c r="D71" s="657"/>
      <c r="E71" s="692">
        <f t="shared" si="46"/>
        <v>0</v>
      </c>
      <c r="F71" s="666">
        <f t="shared" ref="F71:Q71" si="64">$E71*F21</f>
        <v>0</v>
      </c>
      <c r="G71" s="667">
        <f t="shared" si="64"/>
        <v>0</v>
      </c>
      <c r="H71" s="667">
        <f t="shared" si="64"/>
        <v>0</v>
      </c>
      <c r="I71" s="667">
        <f t="shared" si="64"/>
        <v>0</v>
      </c>
      <c r="J71" s="667">
        <f t="shared" si="64"/>
        <v>0</v>
      </c>
      <c r="K71" s="667">
        <f t="shared" si="64"/>
        <v>0</v>
      </c>
      <c r="L71" s="667">
        <f t="shared" si="64"/>
        <v>0</v>
      </c>
      <c r="M71" s="667">
        <f t="shared" si="64"/>
        <v>0</v>
      </c>
      <c r="N71" s="667">
        <f t="shared" si="64"/>
        <v>0</v>
      </c>
      <c r="O71" s="667">
        <f t="shared" si="64"/>
        <v>0</v>
      </c>
      <c r="P71" s="667">
        <f t="shared" si="64"/>
        <v>0</v>
      </c>
      <c r="Q71" s="667">
        <f t="shared" si="64"/>
        <v>0</v>
      </c>
      <c r="R71" s="668">
        <f t="shared" si="48"/>
        <v>0</v>
      </c>
    </row>
    <row r="72" spans="2:18" s="373" customFormat="1" ht="15" customHeight="1" x14ac:dyDescent="0.25">
      <c r="B72" s="645">
        <v>19</v>
      </c>
      <c r="C72" s="658">
        <f t="shared" si="45"/>
        <v>0</v>
      </c>
      <c r="D72" s="657"/>
      <c r="E72" s="692">
        <f t="shared" si="46"/>
        <v>0</v>
      </c>
      <c r="F72" s="666">
        <f t="shared" ref="F72:Q72" si="65">$E72*F22</f>
        <v>0</v>
      </c>
      <c r="G72" s="667">
        <f t="shared" si="65"/>
        <v>0</v>
      </c>
      <c r="H72" s="667">
        <f t="shared" si="65"/>
        <v>0</v>
      </c>
      <c r="I72" s="667">
        <f t="shared" si="65"/>
        <v>0</v>
      </c>
      <c r="J72" s="667">
        <f t="shared" si="65"/>
        <v>0</v>
      </c>
      <c r="K72" s="667">
        <f t="shared" si="65"/>
        <v>0</v>
      </c>
      <c r="L72" s="667">
        <f t="shared" si="65"/>
        <v>0</v>
      </c>
      <c r="M72" s="667">
        <f t="shared" si="65"/>
        <v>0</v>
      </c>
      <c r="N72" s="667">
        <f t="shared" si="65"/>
        <v>0</v>
      </c>
      <c r="O72" s="667">
        <f t="shared" si="65"/>
        <v>0</v>
      </c>
      <c r="P72" s="667">
        <f t="shared" si="65"/>
        <v>0</v>
      </c>
      <c r="Q72" s="667">
        <f t="shared" si="65"/>
        <v>0</v>
      </c>
      <c r="R72" s="668">
        <f t="shared" si="48"/>
        <v>0</v>
      </c>
    </row>
    <row r="73" spans="2:18" s="373" customFormat="1" ht="15" customHeight="1" x14ac:dyDescent="0.25">
      <c r="B73" s="645">
        <v>20</v>
      </c>
      <c r="C73" s="658">
        <f t="shared" si="45"/>
        <v>0</v>
      </c>
      <c r="D73" s="657"/>
      <c r="E73" s="692">
        <f t="shared" si="46"/>
        <v>0</v>
      </c>
      <c r="F73" s="666">
        <f t="shared" ref="F73:Q73" si="66">$E73*F23</f>
        <v>0</v>
      </c>
      <c r="G73" s="667">
        <f t="shared" si="66"/>
        <v>0</v>
      </c>
      <c r="H73" s="667">
        <f t="shared" si="66"/>
        <v>0</v>
      </c>
      <c r="I73" s="667">
        <f t="shared" si="66"/>
        <v>0</v>
      </c>
      <c r="J73" s="667">
        <f t="shared" si="66"/>
        <v>0</v>
      </c>
      <c r="K73" s="667">
        <f t="shared" si="66"/>
        <v>0</v>
      </c>
      <c r="L73" s="667">
        <f t="shared" si="66"/>
        <v>0</v>
      </c>
      <c r="M73" s="667">
        <f t="shared" si="66"/>
        <v>0</v>
      </c>
      <c r="N73" s="667">
        <f t="shared" si="66"/>
        <v>0</v>
      </c>
      <c r="O73" s="667">
        <f t="shared" si="66"/>
        <v>0</v>
      </c>
      <c r="P73" s="667">
        <f t="shared" si="66"/>
        <v>0</v>
      </c>
      <c r="Q73" s="667">
        <f t="shared" si="66"/>
        <v>0</v>
      </c>
      <c r="R73" s="668">
        <f t="shared" si="48"/>
        <v>0</v>
      </c>
    </row>
    <row r="74" spans="2:18" s="373" customFormat="1" ht="15" customHeight="1" thickBot="1" x14ac:dyDescent="0.3">
      <c r="B74" s="647"/>
      <c r="C74" s="648"/>
      <c r="D74" s="659"/>
      <c r="E74" s="693"/>
      <c r="F74" s="669"/>
      <c r="G74" s="670"/>
      <c r="H74" s="670"/>
      <c r="I74" s="670"/>
      <c r="J74" s="670"/>
      <c r="K74" s="670"/>
      <c r="L74" s="670"/>
      <c r="M74" s="670"/>
      <c r="N74" s="670"/>
      <c r="O74" s="670"/>
      <c r="P74" s="670"/>
      <c r="Q74" s="670"/>
      <c r="R74" s="671"/>
    </row>
    <row r="75" spans="2:18" s="373" customFormat="1" ht="15" customHeight="1" thickBot="1" x14ac:dyDescent="0.3">
      <c r="B75" s="651"/>
      <c r="C75" s="652" t="s">
        <v>290</v>
      </c>
      <c r="D75" s="660"/>
      <c r="E75" s="694"/>
      <c r="F75" s="672">
        <f t="shared" ref="F75:R75" si="67">SUM(F54:F74)</f>
        <v>0</v>
      </c>
      <c r="G75" s="673">
        <f t="shared" si="67"/>
        <v>0</v>
      </c>
      <c r="H75" s="673">
        <f t="shared" si="67"/>
        <v>0</v>
      </c>
      <c r="I75" s="673">
        <f t="shared" si="67"/>
        <v>0</v>
      </c>
      <c r="J75" s="673">
        <f t="shared" si="67"/>
        <v>0</v>
      </c>
      <c r="K75" s="673">
        <f t="shared" si="67"/>
        <v>0</v>
      </c>
      <c r="L75" s="673">
        <f t="shared" si="67"/>
        <v>0</v>
      </c>
      <c r="M75" s="673">
        <f t="shared" si="67"/>
        <v>0</v>
      </c>
      <c r="N75" s="673">
        <f t="shared" si="67"/>
        <v>0</v>
      </c>
      <c r="O75" s="673">
        <f t="shared" si="67"/>
        <v>0</v>
      </c>
      <c r="P75" s="673">
        <f t="shared" si="67"/>
        <v>0</v>
      </c>
      <c r="Q75" s="673">
        <f t="shared" si="67"/>
        <v>0</v>
      </c>
      <c r="R75" s="674">
        <f t="shared" si="67"/>
        <v>0</v>
      </c>
    </row>
    <row r="77" spans="2:18" ht="12" thickBot="1" x14ac:dyDescent="0.3"/>
    <row r="78" spans="2:18" s="373" customFormat="1" ht="11.25" customHeight="1" x14ac:dyDescent="0.25">
      <c r="B78" s="784" t="s">
        <v>292</v>
      </c>
      <c r="C78" s="785"/>
      <c r="D78" s="786"/>
      <c r="E78" s="787" t="s">
        <v>717</v>
      </c>
      <c r="F78" s="789" t="s">
        <v>98</v>
      </c>
      <c r="G78" s="372"/>
    </row>
    <row r="79" spans="2:18" s="373" customFormat="1" x14ac:dyDescent="0.25">
      <c r="B79" s="592" t="s">
        <v>293</v>
      </c>
      <c r="C79" s="586" t="s">
        <v>294</v>
      </c>
      <c r="D79" s="587" t="s">
        <v>150</v>
      </c>
      <c r="E79" s="788"/>
      <c r="F79" s="790"/>
    </row>
    <row r="80" spans="2:18" s="373" customFormat="1" x14ac:dyDescent="0.25">
      <c r="B80" s="377">
        <v>1</v>
      </c>
      <c r="C80" s="378" t="s">
        <v>295</v>
      </c>
      <c r="D80" s="588">
        <v>15000</v>
      </c>
      <c r="E80" s="589">
        <v>3000</v>
      </c>
      <c r="F80" s="593">
        <f t="shared" ref="F80:F111" si="68">SUM(D80:E80)</f>
        <v>18000</v>
      </c>
    </row>
    <row r="81" spans="2:6" s="373" customFormat="1" x14ac:dyDescent="0.25">
      <c r="B81" s="377">
        <v>2</v>
      </c>
      <c r="C81" s="378" t="s">
        <v>296</v>
      </c>
      <c r="D81" s="588">
        <v>11500</v>
      </c>
      <c r="E81" s="589">
        <v>3000</v>
      </c>
      <c r="F81" s="593">
        <f t="shared" si="68"/>
        <v>14500</v>
      </c>
    </row>
    <row r="82" spans="2:6" s="373" customFormat="1" x14ac:dyDescent="0.25">
      <c r="B82" s="377">
        <v>3</v>
      </c>
      <c r="C82" s="378" t="s">
        <v>297</v>
      </c>
      <c r="D82" s="588">
        <v>15000</v>
      </c>
      <c r="E82" s="589">
        <v>3000</v>
      </c>
      <c r="F82" s="593">
        <f t="shared" si="68"/>
        <v>18000</v>
      </c>
    </row>
    <row r="83" spans="2:6" s="373" customFormat="1" x14ac:dyDescent="0.25">
      <c r="B83" s="377">
        <v>4</v>
      </c>
      <c r="C83" s="378" t="s">
        <v>298</v>
      </c>
      <c r="D83" s="588">
        <v>15000</v>
      </c>
      <c r="E83" s="589">
        <v>3000</v>
      </c>
      <c r="F83" s="593">
        <f t="shared" si="68"/>
        <v>18000</v>
      </c>
    </row>
    <row r="84" spans="2:6" s="373" customFormat="1" x14ac:dyDescent="0.25">
      <c r="B84" s="377">
        <v>5</v>
      </c>
      <c r="C84" s="378" t="s">
        <v>299</v>
      </c>
      <c r="D84" s="588">
        <v>15000</v>
      </c>
      <c r="E84" s="589">
        <v>3000</v>
      </c>
      <c r="F84" s="593">
        <f t="shared" si="68"/>
        <v>18000</v>
      </c>
    </row>
    <row r="85" spans="2:6" s="373" customFormat="1" x14ac:dyDescent="0.25">
      <c r="B85" s="377">
        <v>6</v>
      </c>
      <c r="C85" s="378" t="s">
        <v>300</v>
      </c>
      <c r="D85" s="588">
        <v>16000</v>
      </c>
      <c r="E85" s="589">
        <v>3000</v>
      </c>
      <c r="F85" s="593">
        <f t="shared" si="68"/>
        <v>19000</v>
      </c>
    </row>
    <row r="86" spans="2:6" s="373" customFormat="1" x14ac:dyDescent="0.25">
      <c r="B86" s="377">
        <v>7</v>
      </c>
      <c r="C86" s="378" t="s">
        <v>301</v>
      </c>
      <c r="D86" s="588">
        <v>16000</v>
      </c>
      <c r="E86" s="589">
        <v>3000</v>
      </c>
      <c r="F86" s="593">
        <f t="shared" si="68"/>
        <v>19000</v>
      </c>
    </row>
    <row r="87" spans="2:6" s="373" customFormat="1" x14ac:dyDescent="0.25">
      <c r="B87" s="377">
        <v>8</v>
      </c>
      <c r="C87" s="378" t="s">
        <v>302</v>
      </c>
      <c r="D87" s="588">
        <v>16000</v>
      </c>
      <c r="E87" s="589">
        <v>3000</v>
      </c>
      <c r="F87" s="593">
        <f t="shared" si="68"/>
        <v>19000</v>
      </c>
    </row>
    <row r="88" spans="2:6" s="373" customFormat="1" x14ac:dyDescent="0.25">
      <c r="B88" s="377">
        <v>9</v>
      </c>
      <c r="C88" s="378" t="s">
        <v>303</v>
      </c>
      <c r="D88" s="588">
        <v>16000</v>
      </c>
      <c r="E88" s="589">
        <v>3000</v>
      </c>
      <c r="F88" s="593">
        <f t="shared" si="68"/>
        <v>19000</v>
      </c>
    </row>
    <row r="89" spans="2:6" s="373" customFormat="1" x14ac:dyDescent="0.25">
      <c r="B89" s="377">
        <v>10</v>
      </c>
      <c r="C89" s="378" t="s">
        <v>304</v>
      </c>
      <c r="D89" s="588">
        <v>15000</v>
      </c>
      <c r="E89" s="589">
        <v>3000</v>
      </c>
      <c r="F89" s="593">
        <f t="shared" si="68"/>
        <v>18000</v>
      </c>
    </row>
    <row r="90" spans="2:6" s="373" customFormat="1" x14ac:dyDescent="0.25">
      <c r="B90" s="377">
        <v>11</v>
      </c>
      <c r="C90" s="378" t="s">
        <v>305</v>
      </c>
      <c r="D90" s="588">
        <v>11500</v>
      </c>
      <c r="E90" s="589">
        <v>1000</v>
      </c>
      <c r="F90" s="593">
        <f t="shared" si="68"/>
        <v>12500</v>
      </c>
    </row>
    <row r="91" spans="2:6" s="373" customFormat="1" x14ac:dyDescent="0.25">
      <c r="B91" s="377">
        <v>12</v>
      </c>
      <c r="C91" s="378" t="s">
        <v>306</v>
      </c>
      <c r="D91" s="588">
        <v>11500</v>
      </c>
      <c r="E91" s="589">
        <v>1000</v>
      </c>
      <c r="F91" s="593">
        <f t="shared" si="68"/>
        <v>12500</v>
      </c>
    </row>
    <row r="92" spans="2:6" s="373" customFormat="1" x14ac:dyDescent="0.25">
      <c r="B92" s="377">
        <v>13</v>
      </c>
      <c r="C92" s="378" t="s">
        <v>307</v>
      </c>
      <c r="D92" s="588">
        <v>15000</v>
      </c>
      <c r="E92" s="589">
        <v>1000</v>
      </c>
      <c r="F92" s="593">
        <f t="shared" si="68"/>
        <v>16000</v>
      </c>
    </row>
    <row r="93" spans="2:6" s="373" customFormat="1" x14ac:dyDescent="0.25">
      <c r="B93" s="377">
        <v>14</v>
      </c>
      <c r="C93" s="378" t="s">
        <v>308</v>
      </c>
      <c r="D93" s="588">
        <v>15000</v>
      </c>
      <c r="E93" s="589">
        <v>1000</v>
      </c>
      <c r="F93" s="593">
        <f t="shared" si="68"/>
        <v>16000</v>
      </c>
    </row>
    <row r="94" spans="2:6" s="373" customFormat="1" x14ac:dyDescent="0.25">
      <c r="B94" s="377">
        <v>15</v>
      </c>
      <c r="C94" s="378" t="s">
        <v>309</v>
      </c>
      <c r="D94" s="588">
        <v>15000</v>
      </c>
      <c r="E94" s="589">
        <v>3000</v>
      </c>
      <c r="F94" s="593">
        <f t="shared" si="68"/>
        <v>18000</v>
      </c>
    </row>
    <row r="95" spans="2:6" s="373" customFormat="1" x14ac:dyDescent="0.25">
      <c r="B95" s="377">
        <v>16</v>
      </c>
      <c r="C95" s="378" t="s">
        <v>310</v>
      </c>
      <c r="D95" s="588">
        <v>16000</v>
      </c>
      <c r="E95" s="589">
        <v>3000</v>
      </c>
      <c r="F95" s="593">
        <f t="shared" si="68"/>
        <v>19000</v>
      </c>
    </row>
    <row r="96" spans="2:6" s="373" customFormat="1" x14ac:dyDescent="0.25">
      <c r="B96" s="377">
        <v>17</v>
      </c>
      <c r="C96" s="378" t="s">
        <v>311</v>
      </c>
      <c r="D96" s="588">
        <v>15000</v>
      </c>
      <c r="E96" s="589">
        <v>3000</v>
      </c>
      <c r="F96" s="593">
        <f t="shared" si="68"/>
        <v>18000</v>
      </c>
    </row>
    <row r="97" spans="2:6" s="373" customFormat="1" x14ac:dyDescent="0.25">
      <c r="B97" s="377">
        <v>18</v>
      </c>
      <c r="C97" s="378" t="s">
        <v>312</v>
      </c>
      <c r="D97" s="588">
        <v>15000</v>
      </c>
      <c r="E97" s="589">
        <v>3000</v>
      </c>
      <c r="F97" s="593">
        <f t="shared" si="68"/>
        <v>18000</v>
      </c>
    </row>
    <row r="98" spans="2:6" s="373" customFormat="1" x14ac:dyDescent="0.25">
      <c r="B98" s="377">
        <v>19</v>
      </c>
      <c r="C98" s="378" t="s">
        <v>313</v>
      </c>
      <c r="D98" s="588">
        <v>15000</v>
      </c>
      <c r="E98" s="589">
        <v>3000</v>
      </c>
      <c r="F98" s="593">
        <f t="shared" si="68"/>
        <v>18000</v>
      </c>
    </row>
    <row r="99" spans="2:6" s="373" customFormat="1" x14ac:dyDescent="0.25">
      <c r="B99" s="377">
        <v>20</v>
      </c>
      <c r="C99" s="378" t="s">
        <v>314</v>
      </c>
      <c r="D99" s="588">
        <v>15000</v>
      </c>
      <c r="E99" s="589">
        <v>3000</v>
      </c>
      <c r="F99" s="593">
        <f t="shared" si="68"/>
        <v>18000</v>
      </c>
    </row>
    <row r="100" spans="2:6" s="373" customFormat="1" x14ac:dyDescent="0.25">
      <c r="B100" s="377">
        <v>21</v>
      </c>
      <c r="C100" s="380" t="s">
        <v>315</v>
      </c>
      <c r="D100" s="588">
        <v>25000</v>
      </c>
      <c r="E100" s="589">
        <v>3000</v>
      </c>
      <c r="F100" s="593">
        <f t="shared" si="68"/>
        <v>28000</v>
      </c>
    </row>
    <row r="101" spans="2:6" s="373" customFormat="1" x14ac:dyDescent="0.25">
      <c r="B101" s="377">
        <v>22</v>
      </c>
      <c r="C101" s="378" t="s">
        <v>316</v>
      </c>
      <c r="D101" s="589">
        <v>15000</v>
      </c>
      <c r="E101" s="589">
        <v>3000</v>
      </c>
      <c r="F101" s="593">
        <f t="shared" si="68"/>
        <v>18000</v>
      </c>
    </row>
    <row r="102" spans="2:6" s="373" customFormat="1" x14ac:dyDescent="0.25">
      <c r="B102" s="377">
        <v>23</v>
      </c>
      <c r="C102" s="378" t="s">
        <v>317</v>
      </c>
      <c r="D102" s="589">
        <v>15000</v>
      </c>
      <c r="E102" s="589">
        <v>3000</v>
      </c>
      <c r="F102" s="593">
        <f t="shared" si="68"/>
        <v>18000</v>
      </c>
    </row>
    <row r="103" spans="2:6" s="373" customFormat="1" x14ac:dyDescent="0.25">
      <c r="B103" s="377">
        <v>24</v>
      </c>
      <c r="C103" s="378" t="s">
        <v>318</v>
      </c>
      <c r="D103" s="589">
        <v>15000</v>
      </c>
      <c r="E103" s="589">
        <v>3000</v>
      </c>
      <c r="F103" s="593">
        <f t="shared" si="68"/>
        <v>18000</v>
      </c>
    </row>
    <row r="104" spans="2:6" s="373" customFormat="1" x14ac:dyDescent="0.25">
      <c r="B104" s="377">
        <v>25</v>
      </c>
      <c r="C104" s="378" t="s">
        <v>319</v>
      </c>
      <c r="D104" s="589">
        <v>15000</v>
      </c>
      <c r="E104" s="589">
        <v>3000</v>
      </c>
      <c r="F104" s="593">
        <f t="shared" si="68"/>
        <v>18000</v>
      </c>
    </row>
    <row r="105" spans="2:6" s="373" customFormat="1" x14ac:dyDescent="0.25">
      <c r="B105" s="377">
        <v>26</v>
      </c>
      <c r="C105" s="380" t="s">
        <v>320</v>
      </c>
      <c r="D105" s="588">
        <v>16000</v>
      </c>
      <c r="E105" s="589">
        <v>3000</v>
      </c>
      <c r="F105" s="593">
        <f t="shared" si="68"/>
        <v>19000</v>
      </c>
    </row>
    <row r="106" spans="2:6" s="373" customFormat="1" x14ac:dyDescent="0.25">
      <c r="B106" s="377">
        <v>27</v>
      </c>
      <c r="C106" s="382" t="s">
        <v>321</v>
      </c>
      <c r="D106" s="590">
        <v>0</v>
      </c>
      <c r="E106" s="591"/>
      <c r="F106" s="593">
        <f t="shared" si="68"/>
        <v>0</v>
      </c>
    </row>
    <row r="107" spans="2:6" s="373" customFormat="1" x14ac:dyDescent="0.25">
      <c r="B107" s="377">
        <v>28</v>
      </c>
      <c r="C107" s="382" t="s">
        <v>322</v>
      </c>
      <c r="D107" s="590">
        <v>0</v>
      </c>
      <c r="E107" s="591"/>
      <c r="F107" s="593">
        <f t="shared" si="68"/>
        <v>0</v>
      </c>
    </row>
    <row r="108" spans="2:6" s="373" customFormat="1" x14ac:dyDescent="0.25">
      <c r="B108" s="377">
        <v>29</v>
      </c>
      <c r="C108" s="382" t="s">
        <v>323</v>
      </c>
      <c r="D108" s="590">
        <v>0</v>
      </c>
      <c r="E108" s="591"/>
      <c r="F108" s="593">
        <f t="shared" si="68"/>
        <v>0</v>
      </c>
    </row>
    <row r="109" spans="2:6" s="373" customFormat="1" x14ac:dyDescent="0.25">
      <c r="B109" s="377">
        <v>30</v>
      </c>
      <c r="C109" s="381" t="s">
        <v>324</v>
      </c>
      <c r="D109" s="590">
        <v>0</v>
      </c>
      <c r="E109" s="591"/>
      <c r="F109" s="593">
        <f t="shared" si="68"/>
        <v>0</v>
      </c>
    </row>
    <row r="110" spans="2:6" s="373" customFormat="1" x14ac:dyDescent="0.25">
      <c r="B110" s="377">
        <v>31</v>
      </c>
      <c r="C110" s="378" t="s">
        <v>325</v>
      </c>
      <c r="D110" s="590">
        <v>0</v>
      </c>
      <c r="E110" s="591"/>
      <c r="F110" s="593">
        <f t="shared" si="68"/>
        <v>0</v>
      </c>
    </row>
    <row r="111" spans="2:6" s="373" customFormat="1" x14ac:dyDescent="0.25">
      <c r="B111" s="377">
        <v>32</v>
      </c>
      <c r="C111" s="383" t="s">
        <v>326</v>
      </c>
      <c r="D111" s="590">
        <v>0</v>
      </c>
      <c r="E111" s="591"/>
      <c r="F111" s="593">
        <f t="shared" si="68"/>
        <v>0</v>
      </c>
    </row>
    <row r="112" spans="2:6" s="373" customFormat="1" x14ac:dyDescent="0.25">
      <c r="B112" s="377">
        <v>33</v>
      </c>
      <c r="C112" s="384" t="s">
        <v>327</v>
      </c>
      <c r="D112" s="590">
        <v>0</v>
      </c>
      <c r="E112" s="591"/>
      <c r="F112" s="593">
        <f t="shared" ref="F112:F143" si="69">SUM(D112:E112)</f>
        <v>0</v>
      </c>
    </row>
    <row r="113" spans="2:6" s="373" customFormat="1" x14ac:dyDescent="0.25">
      <c r="B113" s="377">
        <v>34</v>
      </c>
      <c r="C113" s="384" t="s">
        <v>328</v>
      </c>
      <c r="D113" s="590">
        <v>0</v>
      </c>
      <c r="E113" s="591"/>
      <c r="F113" s="593">
        <f t="shared" si="69"/>
        <v>0</v>
      </c>
    </row>
    <row r="114" spans="2:6" s="373" customFormat="1" x14ac:dyDescent="0.25">
      <c r="B114" s="377">
        <v>35</v>
      </c>
      <c r="C114" s="383" t="s">
        <v>329</v>
      </c>
      <c r="D114" s="590">
        <v>0</v>
      </c>
      <c r="E114" s="591"/>
      <c r="F114" s="593">
        <f t="shared" si="69"/>
        <v>0</v>
      </c>
    </row>
    <row r="115" spans="2:6" s="373" customFormat="1" x14ac:dyDescent="0.25">
      <c r="B115" s="377">
        <v>36</v>
      </c>
      <c r="C115" s="383" t="s">
        <v>330</v>
      </c>
      <c r="D115" s="590">
        <v>0</v>
      </c>
      <c r="E115" s="591"/>
      <c r="F115" s="593">
        <f t="shared" si="69"/>
        <v>0</v>
      </c>
    </row>
    <row r="116" spans="2:6" s="373" customFormat="1" x14ac:dyDescent="0.25">
      <c r="B116" s="377">
        <v>37</v>
      </c>
      <c r="C116" s="384" t="s">
        <v>331</v>
      </c>
      <c r="D116" s="590">
        <v>0</v>
      </c>
      <c r="E116" s="591"/>
      <c r="F116" s="593">
        <f t="shared" si="69"/>
        <v>0</v>
      </c>
    </row>
    <row r="117" spans="2:6" s="373" customFormat="1" x14ac:dyDescent="0.25">
      <c r="B117" s="377">
        <v>38</v>
      </c>
      <c r="C117" s="381" t="s">
        <v>332</v>
      </c>
      <c r="D117" s="590">
        <v>0</v>
      </c>
      <c r="E117" s="591"/>
      <c r="F117" s="593">
        <f t="shared" si="69"/>
        <v>0</v>
      </c>
    </row>
    <row r="118" spans="2:6" s="373" customFormat="1" x14ac:dyDescent="0.25">
      <c r="B118" s="377">
        <v>39</v>
      </c>
      <c r="C118" s="381" t="s">
        <v>333</v>
      </c>
      <c r="D118" s="590">
        <v>0</v>
      </c>
      <c r="E118" s="591"/>
      <c r="F118" s="593">
        <f t="shared" si="69"/>
        <v>0</v>
      </c>
    </row>
    <row r="119" spans="2:6" s="373" customFormat="1" x14ac:dyDescent="0.25">
      <c r="B119" s="377">
        <v>40</v>
      </c>
      <c r="C119" s="381" t="s">
        <v>334</v>
      </c>
      <c r="D119" s="590">
        <v>0</v>
      </c>
      <c r="E119" s="591"/>
      <c r="F119" s="593">
        <f t="shared" si="69"/>
        <v>0</v>
      </c>
    </row>
    <row r="120" spans="2:6" s="373" customFormat="1" x14ac:dyDescent="0.25">
      <c r="B120" s="377">
        <v>41</v>
      </c>
      <c r="C120" s="381" t="s">
        <v>335</v>
      </c>
      <c r="D120" s="590">
        <v>0</v>
      </c>
      <c r="E120" s="591"/>
      <c r="F120" s="593">
        <f t="shared" si="69"/>
        <v>0</v>
      </c>
    </row>
    <row r="121" spans="2:6" s="373" customFormat="1" x14ac:dyDescent="0.25">
      <c r="B121" s="377">
        <v>42</v>
      </c>
      <c r="C121" s="381" t="s">
        <v>336</v>
      </c>
      <c r="D121" s="588">
        <v>33000</v>
      </c>
      <c r="E121" s="589">
        <v>6000</v>
      </c>
      <c r="F121" s="593">
        <f t="shared" si="69"/>
        <v>39000</v>
      </c>
    </row>
    <row r="122" spans="2:6" s="373" customFormat="1" x14ac:dyDescent="0.25">
      <c r="B122" s="377">
        <v>43</v>
      </c>
      <c r="C122" s="381" t="s">
        <v>337</v>
      </c>
      <c r="D122" s="588">
        <v>33000</v>
      </c>
      <c r="E122" s="589">
        <v>6000</v>
      </c>
      <c r="F122" s="593">
        <f t="shared" si="69"/>
        <v>39000</v>
      </c>
    </row>
    <row r="123" spans="2:6" s="373" customFormat="1" x14ac:dyDescent="0.25">
      <c r="B123" s="377">
        <v>44</v>
      </c>
      <c r="C123" s="378" t="s">
        <v>338</v>
      </c>
      <c r="D123" s="588">
        <v>33000</v>
      </c>
      <c r="E123" s="589">
        <v>6000</v>
      </c>
      <c r="F123" s="593">
        <f t="shared" si="69"/>
        <v>39000</v>
      </c>
    </row>
    <row r="124" spans="2:6" s="373" customFormat="1" x14ac:dyDescent="0.25">
      <c r="B124" s="377">
        <v>45</v>
      </c>
      <c r="C124" s="378" t="s">
        <v>339</v>
      </c>
      <c r="D124" s="588">
        <v>33000</v>
      </c>
      <c r="E124" s="589">
        <v>6000</v>
      </c>
      <c r="F124" s="593">
        <f t="shared" si="69"/>
        <v>39000</v>
      </c>
    </row>
    <row r="125" spans="2:6" s="373" customFormat="1" x14ac:dyDescent="0.25">
      <c r="B125" s="377">
        <v>46</v>
      </c>
      <c r="C125" s="378" t="s">
        <v>340</v>
      </c>
      <c r="D125" s="588">
        <v>33000</v>
      </c>
      <c r="E125" s="589">
        <v>6000</v>
      </c>
      <c r="F125" s="593">
        <f t="shared" si="69"/>
        <v>39000</v>
      </c>
    </row>
    <row r="126" spans="2:6" s="373" customFormat="1" x14ac:dyDescent="0.25">
      <c r="B126" s="377">
        <v>47</v>
      </c>
      <c r="C126" s="378" t="s">
        <v>341</v>
      </c>
      <c r="D126" s="588">
        <v>33000</v>
      </c>
      <c r="E126" s="589">
        <v>6000</v>
      </c>
      <c r="F126" s="593">
        <f t="shared" si="69"/>
        <v>39000</v>
      </c>
    </row>
    <row r="127" spans="2:6" s="373" customFormat="1" x14ac:dyDescent="0.25">
      <c r="B127" s="377">
        <v>48</v>
      </c>
      <c r="C127" s="378" t="s">
        <v>342</v>
      </c>
      <c r="D127" s="588">
        <v>33000</v>
      </c>
      <c r="E127" s="589">
        <v>6000</v>
      </c>
      <c r="F127" s="593">
        <f t="shared" si="69"/>
        <v>39000</v>
      </c>
    </row>
    <row r="128" spans="2:6" s="373" customFormat="1" x14ac:dyDescent="0.25">
      <c r="B128" s="377">
        <v>49</v>
      </c>
      <c r="C128" s="378" t="s">
        <v>343</v>
      </c>
      <c r="D128" s="588">
        <v>29000</v>
      </c>
      <c r="E128" s="589">
        <v>3000</v>
      </c>
      <c r="F128" s="593">
        <f t="shared" si="69"/>
        <v>32000</v>
      </c>
    </row>
    <row r="129" spans="2:6" s="373" customFormat="1" x14ac:dyDescent="0.25">
      <c r="B129" s="377">
        <v>50</v>
      </c>
      <c r="C129" s="378" t="s">
        <v>344</v>
      </c>
      <c r="D129" s="588">
        <v>29000</v>
      </c>
      <c r="E129" s="589">
        <v>3000</v>
      </c>
      <c r="F129" s="593">
        <f t="shared" si="69"/>
        <v>32000</v>
      </c>
    </row>
    <row r="130" spans="2:6" s="373" customFormat="1" x14ac:dyDescent="0.25">
      <c r="B130" s="377">
        <v>51</v>
      </c>
      <c r="C130" s="378" t="s">
        <v>345</v>
      </c>
      <c r="D130" s="588">
        <v>29000</v>
      </c>
      <c r="E130" s="589">
        <v>3000</v>
      </c>
      <c r="F130" s="593">
        <f t="shared" si="69"/>
        <v>32000</v>
      </c>
    </row>
    <row r="131" spans="2:6" s="373" customFormat="1" x14ac:dyDescent="0.25">
      <c r="B131" s="377">
        <v>52</v>
      </c>
      <c r="C131" s="378" t="s">
        <v>346</v>
      </c>
      <c r="D131" s="588">
        <v>29000</v>
      </c>
      <c r="E131" s="589">
        <v>3000</v>
      </c>
      <c r="F131" s="593">
        <f t="shared" si="69"/>
        <v>32000</v>
      </c>
    </row>
    <row r="132" spans="2:6" s="373" customFormat="1" x14ac:dyDescent="0.25">
      <c r="B132" s="377">
        <v>53</v>
      </c>
      <c r="C132" s="378" t="s">
        <v>347</v>
      </c>
      <c r="D132" s="588">
        <v>29000</v>
      </c>
      <c r="E132" s="589">
        <v>3000</v>
      </c>
      <c r="F132" s="593">
        <f t="shared" si="69"/>
        <v>32000</v>
      </c>
    </row>
    <row r="133" spans="2:6" s="373" customFormat="1" x14ac:dyDescent="0.25">
      <c r="B133" s="377">
        <v>54</v>
      </c>
      <c r="C133" s="378" t="s">
        <v>348</v>
      </c>
      <c r="D133" s="588">
        <v>29000</v>
      </c>
      <c r="E133" s="589">
        <v>3000</v>
      </c>
      <c r="F133" s="593">
        <f t="shared" si="69"/>
        <v>32000</v>
      </c>
    </row>
    <row r="134" spans="2:6" s="373" customFormat="1" x14ac:dyDescent="0.25">
      <c r="B134" s="377">
        <v>55</v>
      </c>
      <c r="C134" s="378" t="s">
        <v>349</v>
      </c>
      <c r="D134" s="588">
        <v>24000</v>
      </c>
      <c r="E134" s="589">
        <v>3000</v>
      </c>
      <c r="F134" s="593">
        <f t="shared" si="69"/>
        <v>27000</v>
      </c>
    </row>
    <row r="135" spans="2:6" s="373" customFormat="1" x14ac:dyDescent="0.25">
      <c r="B135" s="377">
        <v>56</v>
      </c>
      <c r="C135" s="378" t="s">
        <v>350</v>
      </c>
      <c r="D135" s="588">
        <v>24000</v>
      </c>
      <c r="E135" s="589">
        <v>3000</v>
      </c>
      <c r="F135" s="593">
        <f t="shared" si="69"/>
        <v>27000</v>
      </c>
    </row>
    <row r="136" spans="2:6" s="373" customFormat="1" x14ac:dyDescent="0.25">
      <c r="B136" s="377">
        <v>57</v>
      </c>
      <c r="C136" s="378" t="s">
        <v>351</v>
      </c>
      <c r="D136" s="588">
        <v>29000</v>
      </c>
      <c r="E136" s="589">
        <v>3000</v>
      </c>
      <c r="F136" s="593">
        <f t="shared" si="69"/>
        <v>32000</v>
      </c>
    </row>
    <row r="137" spans="2:6" s="373" customFormat="1" x14ac:dyDescent="0.25">
      <c r="B137" s="377">
        <v>58</v>
      </c>
      <c r="C137" s="378" t="s">
        <v>352</v>
      </c>
      <c r="D137" s="588">
        <v>24000</v>
      </c>
      <c r="E137" s="589">
        <v>3000</v>
      </c>
      <c r="F137" s="593">
        <f t="shared" si="69"/>
        <v>27000</v>
      </c>
    </row>
    <row r="138" spans="2:6" s="373" customFormat="1" x14ac:dyDescent="0.25">
      <c r="B138" s="377">
        <v>59</v>
      </c>
      <c r="C138" s="378" t="s">
        <v>353</v>
      </c>
      <c r="D138" s="588">
        <v>24000</v>
      </c>
      <c r="E138" s="589">
        <v>3000</v>
      </c>
      <c r="F138" s="593">
        <f t="shared" si="69"/>
        <v>27000</v>
      </c>
    </row>
    <row r="139" spans="2:6" s="373" customFormat="1" x14ac:dyDescent="0.25">
      <c r="B139" s="377">
        <v>60</v>
      </c>
      <c r="C139" s="378" t="s">
        <v>354</v>
      </c>
      <c r="D139" s="588">
        <v>24000</v>
      </c>
      <c r="E139" s="589">
        <v>3000</v>
      </c>
      <c r="F139" s="593">
        <f t="shared" si="69"/>
        <v>27000</v>
      </c>
    </row>
    <row r="140" spans="2:6" s="373" customFormat="1" x14ac:dyDescent="0.25">
      <c r="B140" s="377">
        <v>61</v>
      </c>
      <c r="C140" s="378" t="s">
        <v>355</v>
      </c>
      <c r="D140" s="588">
        <v>24000</v>
      </c>
      <c r="E140" s="589">
        <v>3000</v>
      </c>
      <c r="F140" s="593">
        <f t="shared" si="69"/>
        <v>27000</v>
      </c>
    </row>
    <row r="141" spans="2:6" s="373" customFormat="1" x14ac:dyDescent="0.25">
      <c r="B141" s="377">
        <v>62</v>
      </c>
      <c r="C141" s="378" t="s">
        <v>356</v>
      </c>
      <c r="D141" s="588">
        <v>24000</v>
      </c>
      <c r="E141" s="589">
        <v>3000</v>
      </c>
      <c r="F141" s="593">
        <f t="shared" si="69"/>
        <v>27000</v>
      </c>
    </row>
    <row r="142" spans="2:6" s="373" customFormat="1" x14ac:dyDescent="0.25">
      <c r="B142" s="377">
        <v>63</v>
      </c>
      <c r="C142" s="378" t="s">
        <v>357</v>
      </c>
      <c r="D142" s="588">
        <v>24000</v>
      </c>
      <c r="E142" s="589">
        <v>3000</v>
      </c>
      <c r="F142" s="593">
        <f t="shared" si="69"/>
        <v>27000</v>
      </c>
    </row>
    <row r="143" spans="2:6" s="373" customFormat="1" x14ac:dyDescent="0.25">
      <c r="B143" s="377">
        <v>64</v>
      </c>
      <c r="C143" s="378" t="s">
        <v>358</v>
      </c>
      <c r="D143" s="588">
        <v>24000</v>
      </c>
      <c r="E143" s="589">
        <v>4000</v>
      </c>
      <c r="F143" s="593">
        <f t="shared" si="69"/>
        <v>28000</v>
      </c>
    </row>
    <row r="144" spans="2:6" s="373" customFormat="1" x14ac:dyDescent="0.25">
      <c r="B144" s="377">
        <v>65</v>
      </c>
      <c r="C144" s="378" t="s">
        <v>359</v>
      </c>
      <c r="D144" s="588">
        <v>29000</v>
      </c>
      <c r="E144" s="589">
        <v>3000</v>
      </c>
      <c r="F144" s="593">
        <f t="shared" ref="F144:F175" si="70">SUM(D144:E144)</f>
        <v>32000</v>
      </c>
    </row>
    <row r="145" spans="2:6" s="373" customFormat="1" x14ac:dyDescent="0.25">
      <c r="B145" s="377">
        <v>66</v>
      </c>
      <c r="C145" s="378" t="s">
        <v>360</v>
      </c>
      <c r="D145" s="588">
        <v>29000</v>
      </c>
      <c r="E145" s="589">
        <v>3000</v>
      </c>
      <c r="F145" s="593">
        <f t="shared" si="70"/>
        <v>32000</v>
      </c>
    </row>
    <row r="146" spans="2:6" s="373" customFormat="1" x14ac:dyDescent="0.25">
      <c r="B146" s="377">
        <v>67</v>
      </c>
      <c r="C146" s="378" t="s">
        <v>361</v>
      </c>
      <c r="D146" s="588">
        <v>24000</v>
      </c>
      <c r="E146" s="589">
        <v>3000</v>
      </c>
      <c r="F146" s="593">
        <f t="shared" si="70"/>
        <v>27000</v>
      </c>
    </row>
    <row r="147" spans="2:6" s="373" customFormat="1" x14ac:dyDescent="0.25">
      <c r="B147" s="377">
        <v>68</v>
      </c>
      <c r="C147" s="378" t="s">
        <v>362</v>
      </c>
      <c r="D147" s="588">
        <v>24000</v>
      </c>
      <c r="E147" s="589">
        <v>4000</v>
      </c>
      <c r="F147" s="593">
        <f t="shared" si="70"/>
        <v>28000</v>
      </c>
    </row>
    <row r="148" spans="2:6" s="373" customFormat="1" x14ac:dyDescent="0.25">
      <c r="B148" s="377">
        <v>69</v>
      </c>
      <c r="C148" s="378" t="s">
        <v>363</v>
      </c>
      <c r="D148" s="588">
        <v>24000</v>
      </c>
      <c r="E148" s="589">
        <v>4000</v>
      </c>
      <c r="F148" s="593">
        <f t="shared" si="70"/>
        <v>28000</v>
      </c>
    </row>
    <row r="149" spans="2:6" s="373" customFormat="1" x14ac:dyDescent="0.25">
      <c r="B149" s="377">
        <v>70</v>
      </c>
      <c r="C149" s="378" t="s">
        <v>364</v>
      </c>
      <c r="D149" s="588">
        <v>24000</v>
      </c>
      <c r="E149" s="589">
        <v>3000</v>
      </c>
      <c r="F149" s="593">
        <f t="shared" si="70"/>
        <v>27000</v>
      </c>
    </row>
    <row r="150" spans="2:6" s="373" customFormat="1" x14ac:dyDescent="0.25">
      <c r="B150" s="377">
        <v>71</v>
      </c>
      <c r="C150" s="380" t="s">
        <v>365</v>
      </c>
      <c r="D150" s="588">
        <v>24000</v>
      </c>
      <c r="E150" s="589">
        <v>3000</v>
      </c>
      <c r="F150" s="593">
        <f t="shared" si="70"/>
        <v>27000</v>
      </c>
    </row>
    <row r="151" spans="2:6" s="373" customFormat="1" x14ac:dyDescent="0.25">
      <c r="B151" s="377">
        <v>72</v>
      </c>
      <c r="C151" s="380" t="s">
        <v>366</v>
      </c>
      <c r="D151" s="588">
        <v>24000</v>
      </c>
      <c r="E151" s="589">
        <v>3000</v>
      </c>
      <c r="F151" s="593">
        <f t="shared" si="70"/>
        <v>27000</v>
      </c>
    </row>
    <row r="152" spans="2:6" s="373" customFormat="1" x14ac:dyDescent="0.25">
      <c r="B152" s="377">
        <v>73</v>
      </c>
      <c r="C152" s="380" t="s">
        <v>358</v>
      </c>
      <c r="D152" s="588">
        <v>24000</v>
      </c>
      <c r="E152" s="589">
        <v>3000</v>
      </c>
      <c r="F152" s="593">
        <f t="shared" si="70"/>
        <v>27000</v>
      </c>
    </row>
    <row r="153" spans="2:6" s="373" customFormat="1" x14ac:dyDescent="0.25">
      <c r="B153" s="377">
        <v>74</v>
      </c>
      <c r="C153" s="378" t="s">
        <v>367</v>
      </c>
      <c r="D153" s="588">
        <v>24000</v>
      </c>
      <c r="E153" s="589">
        <v>3000</v>
      </c>
      <c r="F153" s="593">
        <f t="shared" si="70"/>
        <v>27000</v>
      </c>
    </row>
    <row r="154" spans="2:6" s="373" customFormat="1" x14ac:dyDescent="0.25">
      <c r="B154" s="377">
        <v>75</v>
      </c>
      <c r="C154" s="378" t="s">
        <v>368</v>
      </c>
      <c r="D154" s="588">
        <v>24000</v>
      </c>
      <c r="E154" s="589">
        <v>3000</v>
      </c>
      <c r="F154" s="593">
        <f t="shared" si="70"/>
        <v>27000</v>
      </c>
    </row>
    <row r="155" spans="2:6" s="373" customFormat="1" x14ac:dyDescent="0.25">
      <c r="B155" s="377">
        <v>76</v>
      </c>
      <c r="C155" s="378" t="s">
        <v>369</v>
      </c>
      <c r="D155" s="588">
        <v>24000</v>
      </c>
      <c r="E155" s="589">
        <v>3000</v>
      </c>
      <c r="F155" s="593">
        <f t="shared" si="70"/>
        <v>27000</v>
      </c>
    </row>
    <row r="156" spans="2:6" s="373" customFormat="1" x14ac:dyDescent="0.25">
      <c r="B156" s="377">
        <v>77</v>
      </c>
      <c r="C156" s="378" t="s">
        <v>370</v>
      </c>
      <c r="D156" s="588">
        <v>24000</v>
      </c>
      <c r="E156" s="589">
        <v>3000</v>
      </c>
      <c r="F156" s="593">
        <f t="shared" si="70"/>
        <v>27000</v>
      </c>
    </row>
    <row r="157" spans="2:6" s="373" customFormat="1" x14ac:dyDescent="0.25">
      <c r="B157" s="377">
        <v>78</v>
      </c>
      <c r="C157" s="378" t="s">
        <v>371</v>
      </c>
      <c r="D157" s="588">
        <v>24000</v>
      </c>
      <c r="E157" s="589">
        <v>3000</v>
      </c>
      <c r="F157" s="593">
        <f t="shared" si="70"/>
        <v>27000</v>
      </c>
    </row>
    <row r="158" spans="2:6" s="373" customFormat="1" x14ac:dyDescent="0.25">
      <c r="B158" s="377">
        <v>79</v>
      </c>
      <c r="C158" s="378" t="s">
        <v>372</v>
      </c>
      <c r="D158" s="588">
        <v>24000</v>
      </c>
      <c r="E158" s="589">
        <v>3000</v>
      </c>
      <c r="F158" s="593">
        <f t="shared" si="70"/>
        <v>27000</v>
      </c>
    </row>
    <row r="159" spans="2:6" s="373" customFormat="1" x14ac:dyDescent="0.25">
      <c r="B159" s="377">
        <v>80</v>
      </c>
      <c r="C159" s="378" t="s">
        <v>373</v>
      </c>
      <c r="D159" s="588">
        <v>24000</v>
      </c>
      <c r="E159" s="589">
        <v>3000</v>
      </c>
      <c r="F159" s="593">
        <f t="shared" si="70"/>
        <v>27000</v>
      </c>
    </row>
    <row r="160" spans="2:6" s="373" customFormat="1" x14ac:dyDescent="0.25">
      <c r="B160" s="377">
        <v>81</v>
      </c>
      <c r="C160" s="378" t="s">
        <v>374</v>
      </c>
      <c r="D160" s="588">
        <v>24000</v>
      </c>
      <c r="E160" s="589">
        <v>3000</v>
      </c>
      <c r="F160" s="593">
        <f t="shared" si="70"/>
        <v>27000</v>
      </c>
    </row>
    <row r="161" spans="2:6" s="373" customFormat="1" x14ac:dyDescent="0.25">
      <c r="B161" s="377">
        <v>82</v>
      </c>
      <c r="C161" s="380" t="s">
        <v>375</v>
      </c>
      <c r="D161" s="590">
        <v>0</v>
      </c>
      <c r="E161" s="591"/>
      <c r="F161" s="593">
        <f t="shared" si="70"/>
        <v>0</v>
      </c>
    </row>
    <row r="162" spans="2:6" s="373" customFormat="1" x14ac:dyDescent="0.25">
      <c r="B162" s="377">
        <v>83</v>
      </c>
      <c r="C162" s="380" t="s">
        <v>376</v>
      </c>
      <c r="D162" s="590">
        <v>0</v>
      </c>
      <c r="E162" s="591"/>
      <c r="F162" s="593">
        <f t="shared" si="70"/>
        <v>0</v>
      </c>
    </row>
    <row r="163" spans="2:6" s="373" customFormat="1" x14ac:dyDescent="0.25">
      <c r="B163" s="377">
        <v>84</v>
      </c>
      <c r="C163" s="380" t="s">
        <v>377</v>
      </c>
      <c r="D163" s="590">
        <v>0</v>
      </c>
      <c r="E163" s="591"/>
      <c r="F163" s="593">
        <f t="shared" si="70"/>
        <v>0</v>
      </c>
    </row>
    <row r="164" spans="2:6" s="373" customFormat="1" x14ac:dyDescent="0.25">
      <c r="B164" s="377">
        <v>85</v>
      </c>
      <c r="C164" s="380" t="s">
        <v>378</v>
      </c>
      <c r="D164" s="590">
        <v>0</v>
      </c>
      <c r="E164" s="591"/>
      <c r="F164" s="593">
        <f t="shared" si="70"/>
        <v>0</v>
      </c>
    </row>
    <row r="165" spans="2:6" s="373" customFormat="1" x14ac:dyDescent="0.25">
      <c r="B165" s="377">
        <v>86</v>
      </c>
      <c r="C165" s="380" t="s">
        <v>379</v>
      </c>
      <c r="D165" s="590">
        <v>0</v>
      </c>
      <c r="E165" s="591"/>
      <c r="F165" s="593">
        <f t="shared" si="70"/>
        <v>0</v>
      </c>
    </row>
    <row r="166" spans="2:6" s="373" customFormat="1" x14ac:dyDescent="0.25">
      <c r="B166" s="377">
        <v>87</v>
      </c>
      <c r="C166" s="378" t="s">
        <v>380</v>
      </c>
      <c r="D166" s="590">
        <v>0</v>
      </c>
      <c r="E166" s="591"/>
      <c r="F166" s="593">
        <f t="shared" si="70"/>
        <v>0</v>
      </c>
    </row>
    <row r="167" spans="2:6" s="373" customFormat="1" x14ac:dyDescent="0.25">
      <c r="B167" s="377">
        <v>88</v>
      </c>
      <c r="C167" s="378" t="s">
        <v>381</v>
      </c>
      <c r="D167" s="590">
        <v>0</v>
      </c>
      <c r="E167" s="591"/>
      <c r="F167" s="593">
        <f t="shared" si="70"/>
        <v>0</v>
      </c>
    </row>
    <row r="168" spans="2:6" s="373" customFormat="1" x14ac:dyDescent="0.25">
      <c r="B168" s="377">
        <v>89</v>
      </c>
      <c r="C168" s="378" t="s">
        <v>382</v>
      </c>
      <c r="D168" s="590">
        <v>0</v>
      </c>
      <c r="E168" s="591"/>
      <c r="F168" s="593">
        <f t="shared" si="70"/>
        <v>0</v>
      </c>
    </row>
    <row r="169" spans="2:6" s="373" customFormat="1" x14ac:dyDescent="0.25">
      <c r="B169" s="377">
        <v>90</v>
      </c>
      <c r="C169" s="378" t="s">
        <v>383</v>
      </c>
      <c r="D169" s="590">
        <v>0</v>
      </c>
      <c r="E169" s="591"/>
      <c r="F169" s="593">
        <f t="shared" si="70"/>
        <v>0</v>
      </c>
    </row>
    <row r="170" spans="2:6" s="373" customFormat="1" x14ac:dyDescent="0.25">
      <c r="B170" s="377">
        <v>91</v>
      </c>
      <c r="C170" s="378" t="s">
        <v>384</v>
      </c>
      <c r="D170" s="590">
        <v>0</v>
      </c>
      <c r="E170" s="591"/>
      <c r="F170" s="593">
        <f t="shared" si="70"/>
        <v>0</v>
      </c>
    </row>
    <row r="171" spans="2:6" s="373" customFormat="1" x14ac:dyDescent="0.25">
      <c r="B171" s="377">
        <v>92</v>
      </c>
      <c r="C171" s="378" t="s">
        <v>385</v>
      </c>
      <c r="D171" s="590">
        <v>0</v>
      </c>
      <c r="E171" s="591"/>
      <c r="F171" s="593">
        <f t="shared" si="70"/>
        <v>0</v>
      </c>
    </row>
    <row r="172" spans="2:6" s="373" customFormat="1" x14ac:dyDescent="0.25">
      <c r="B172" s="377">
        <v>93</v>
      </c>
      <c r="C172" s="381" t="s">
        <v>386</v>
      </c>
      <c r="D172" s="590">
        <v>0</v>
      </c>
      <c r="E172" s="591"/>
      <c r="F172" s="593">
        <f t="shared" si="70"/>
        <v>0</v>
      </c>
    </row>
    <row r="173" spans="2:6" s="373" customFormat="1" x14ac:dyDescent="0.25">
      <c r="B173" s="377">
        <v>94</v>
      </c>
      <c r="C173" s="381" t="s">
        <v>387</v>
      </c>
      <c r="D173" s="590">
        <v>0</v>
      </c>
      <c r="E173" s="591"/>
      <c r="F173" s="593">
        <f t="shared" si="70"/>
        <v>0</v>
      </c>
    </row>
    <row r="174" spans="2:6" s="373" customFormat="1" x14ac:dyDescent="0.25">
      <c r="B174" s="377">
        <v>95</v>
      </c>
      <c r="C174" s="381" t="s">
        <v>388</v>
      </c>
      <c r="D174" s="590">
        <v>0</v>
      </c>
      <c r="E174" s="591"/>
      <c r="F174" s="593">
        <f t="shared" si="70"/>
        <v>0</v>
      </c>
    </row>
    <row r="175" spans="2:6" s="373" customFormat="1" x14ac:dyDescent="0.25">
      <c r="B175" s="377">
        <v>96</v>
      </c>
      <c r="C175" s="381" t="s">
        <v>389</v>
      </c>
      <c r="D175" s="590">
        <v>0</v>
      </c>
      <c r="E175" s="591"/>
      <c r="F175" s="593">
        <f t="shared" si="70"/>
        <v>0</v>
      </c>
    </row>
    <row r="176" spans="2:6" s="373" customFormat="1" x14ac:dyDescent="0.25">
      <c r="B176" s="377">
        <v>97</v>
      </c>
      <c r="C176" s="381" t="s">
        <v>390</v>
      </c>
      <c r="D176" s="590">
        <v>0</v>
      </c>
      <c r="E176" s="591"/>
      <c r="F176" s="593">
        <f t="shared" ref="F176:F207" si="71">SUM(D176:E176)</f>
        <v>0</v>
      </c>
    </row>
    <row r="177" spans="2:6" s="373" customFormat="1" x14ac:dyDescent="0.25">
      <c r="B177" s="377">
        <v>98</v>
      </c>
      <c r="C177" s="381" t="s">
        <v>391</v>
      </c>
      <c r="D177" s="590">
        <v>0</v>
      </c>
      <c r="E177" s="591"/>
      <c r="F177" s="593">
        <f t="shared" si="71"/>
        <v>0</v>
      </c>
    </row>
    <row r="178" spans="2:6" s="373" customFormat="1" x14ac:dyDescent="0.25">
      <c r="B178" s="377">
        <v>99</v>
      </c>
      <c r="C178" s="381" t="s">
        <v>392</v>
      </c>
      <c r="D178" s="590">
        <v>0</v>
      </c>
      <c r="E178" s="591"/>
      <c r="F178" s="593">
        <f t="shared" si="71"/>
        <v>0</v>
      </c>
    </row>
    <row r="179" spans="2:6" s="373" customFormat="1" x14ac:dyDescent="0.25">
      <c r="B179" s="377">
        <v>100</v>
      </c>
      <c r="C179" s="381" t="s">
        <v>393</v>
      </c>
      <c r="D179" s="590">
        <v>0</v>
      </c>
      <c r="E179" s="591"/>
      <c r="F179" s="593">
        <f t="shared" si="71"/>
        <v>0</v>
      </c>
    </row>
    <row r="180" spans="2:6" s="373" customFormat="1" x14ac:dyDescent="0.25">
      <c r="B180" s="377">
        <v>101</v>
      </c>
      <c r="C180" s="381" t="s">
        <v>394</v>
      </c>
      <c r="D180" s="590">
        <v>0</v>
      </c>
      <c r="E180" s="591"/>
      <c r="F180" s="593">
        <f t="shared" si="71"/>
        <v>0</v>
      </c>
    </row>
    <row r="181" spans="2:6" s="373" customFormat="1" x14ac:dyDescent="0.25">
      <c r="B181" s="377">
        <v>102</v>
      </c>
      <c r="C181" s="381" t="s">
        <v>395</v>
      </c>
      <c r="D181" s="590">
        <v>0</v>
      </c>
      <c r="E181" s="591"/>
      <c r="F181" s="593">
        <f t="shared" si="71"/>
        <v>0</v>
      </c>
    </row>
    <row r="182" spans="2:6" s="373" customFormat="1" x14ac:dyDescent="0.25">
      <c r="B182" s="377">
        <v>103</v>
      </c>
      <c r="C182" s="381" t="s">
        <v>396</v>
      </c>
      <c r="D182" s="590">
        <v>0</v>
      </c>
      <c r="E182" s="591"/>
      <c r="F182" s="593">
        <f t="shared" si="71"/>
        <v>0</v>
      </c>
    </row>
    <row r="183" spans="2:6" s="373" customFormat="1" x14ac:dyDescent="0.25">
      <c r="B183" s="377">
        <v>104</v>
      </c>
      <c r="C183" s="381" t="s">
        <v>397</v>
      </c>
      <c r="D183" s="590">
        <v>0</v>
      </c>
      <c r="E183" s="591"/>
      <c r="F183" s="593">
        <f t="shared" si="71"/>
        <v>0</v>
      </c>
    </row>
    <row r="184" spans="2:6" s="373" customFormat="1" x14ac:dyDescent="0.25">
      <c r="B184" s="377">
        <v>105</v>
      </c>
      <c r="C184" s="381" t="s">
        <v>398</v>
      </c>
      <c r="D184" s="590">
        <v>0</v>
      </c>
      <c r="E184" s="591"/>
      <c r="F184" s="593">
        <f t="shared" si="71"/>
        <v>0</v>
      </c>
    </row>
    <row r="185" spans="2:6" s="373" customFormat="1" x14ac:dyDescent="0.25">
      <c r="B185" s="377">
        <v>106</v>
      </c>
      <c r="C185" s="381" t="s">
        <v>399</v>
      </c>
      <c r="D185" s="590">
        <v>0</v>
      </c>
      <c r="E185" s="591"/>
      <c r="F185" s="593">
        <f t="shared" si="71"/>
        <v>0</v>
      </c>
    </row>
    <row r="186" spans="2:6" s="373" customFormat="1" x14ac:dyDescent="0.25">
      <c r="B186" s="377">
        <v>107</v>
      </c>
      <c r="C186" s="381" t="s">
        <v>400</v>
      </c>
      <c r="D186" s="590">
        <v>0</v>
      </c>
      <c r="E186" s="591"/>
      <c r="F186" s="593">
        <f t="shared" si="71"/>
        <v>0</v>
      </c>
    </row>
    <row r="187" spans="2:6" s="373" customFormat="1" x14ac:dyDescent="0.25">
      <c r="B187" s="377">
        <v>108</v>
      </c>
      <c r="C187" s="381" t="s">
        <v>401</v>
      </c>
      <c r="D187" s="590">
        <v>0</v>
      </c>
      <c r="E187" s="591"/>
      <c r="F187" s="593">
        <f t="shared" si="71"/>
        <v>0</v>
      </c>
    </row>
    <row r="188" spans="2:6" s="373" customFormat="1" x14ac:dyDescent="0.25">
      <c r="B188" s="377">
        <v>109</v>
      </c>
      <c r="C188" s="381" t="s">
        <v>402</v>
      </c>
      <c r="D188" s="590">
        <v>0</v>
      </c>
      <c r="E188" s="591"/>
      <c r="F188" s="593">
        <f t="shared" si="71"/>
        <v>0</v>
      </c>
    </row>
    <row r="189" spans="2:6" s="373" customFormat="1" x14ac:dyDescent="0.25">
      <c r="B189" s="377">
        <v>110</v>
      </c>
      <c r="C189" s="381" t="s">
        <v>403</v>
      </c>
      <c r="D189" s="590">
        <v>0</v>
      </c>
      <c r="E189" s="591"/>
      <c r="F189" s="593">
        <f t="shared" si="71"/>
        <v>0</v>
      </c>
    </row>
    <row r="190" spans="2:6" s="373" customFormat="1" x14ac:dyDescent="0.25">
      <c r="B190" s="377">
        <v>111</v>
      </c>
      <c r="C190" s="381" t="s">
        <v>404</v>
      </c>
      <c r="D190" s="590">
        <v>0</v>
      </c>
      <c r="E190" s="591"/>
      <c r="F190" s="593">
        <f t="shared" si="71"/>
        <v>0</v>
      </c>
    </row>
    <row r="191" spans="2:6" s="373" customFormat="1" x14ac:dyDescent="0.25">
      <c r="B191" s="377">
        <v>112</v>
      </c>
      <c r="C191" s="378" t="s">
        <v>405</v>
      </c>
      <c r="D191" s="590">
        <v>0</v>
      </c>
      <c r="E191" s="591"/>
      <c r="F191" s="593">
        <f t="shared" si="71"/>
        <v>0</v>
      </c>
    </row>
    <row r="192" spans="2:6" s="373" customFormat="1" x14ac:dyDescent="0.25">
      <c r="B192" s="377">
        <v>113</v>
      </c>
      <c r="C192" s="378" t="s">
        <v>406</v>
      </c>
      <c r="D192" s="590">
        <v>0</v>
      </c>
      <c r="E192" s="591"/>
      <c r="F192" s="593">
        <f t="shared" si="71"/>
        <v>0</v>
      </c>
    </row>
    <row r="193" spans="2:6" s="373" customFormat="1" x14ac:dyDescent="0.25">
      <c r="B193" s="377">
        <v>114</v>
      </c>
      <c r="C193" s="381" t="s">
        <v>407</v>
      </c>
      <c r="D193" s="590">
        <v>0</v>
      </c>
      <c r="E193" s="591"/>
      <c r="F193" s="593">
        <f t="shared" si="71"/>
        <v>0</v>
      </c>
    </row>
    <row r="194" spans="2:6" s="373" customFormat="1" x14ac:dyDescent="0.25">
      <c r="B194" s="377">
        <v>115</v>
      </c>
      <c r="C194" s="381" t="s">
        <v>408</v>
      </c>
      <c r="D194" s="590">
        <v>0</v>
      </c>
      <c r="E194" s="591"/>
      <c r="F194" s="593">
        <f t="shared" si="71"/>
        <v>0</v>
      </c>
    </row>
    <row r="195" spans="2:6" s="373" customFormat="1" x14ac:dyDescent="0.25">
      <c r="B195" s="377">
        <v>116</v>
      </c>
      <c r="C195" s="381" t="s">
        <v>409</v>
      </c>
      <c r="D195" s="590">
        <v>0</v>
      </c>
      <c r="E195" s="591"/>
      <c r="F195" s="593">
        <f t="shared" si="71"/>
        <v>0</v>
      </c>
    </row>
    <row r="196" spans="2:6" s="373" customFormat="1" x14ac:dyDescent="0.25">
      <c r="B196" s="377">
        <v>117</v>
      </c>
      <c r="C196" s="381" t="s">
        <v>410</v>
      </c>
      <c r="D196" s="590">
        <v>0</v>
      </c>
      <c r="E196" s="591"/>
      <c r="F196" s="593">
        <f t="shared" si="71"/>
        <v>0</v>
      </c>
    </row>
    <row r="197" spans="2:6" s="373" customFormat="1" x14ac:dyDescent="0.25">
      <c r="B197" s="377">
        <v>118</v>
      </c>
      <c r="C197" s="378" t="s">
        <v>411</v>
      </c>
      <c r="D197" s="590">
        <v>0</v>
      </c>
      <c r="E197" s="591"/>
      <c r="F197" s="593">
        <f t="shared" si="71"/>
        <v>0</v>
      </c>
    </row>
    <row r="198" spans="2:6" s="373" customFormat="1" x14ac:dyDescent="0.25">
      <c r="B198" s="377">
        <v>119</v>
      </c>
      <c r="C198" s="378" t="s">
        <v>412</v>
      </c>
      <c r="D198" s="590">
        <v>0</v>
      </c>
      <c r="E198" s="591"/>
      <c r="F198" s="593">
        <f t="shared" si="71"/>
        <v>0</v>
      </c>
    </row>
    <row r="199" spans="2:6" s="373" customFormat="1" x14ac:dyDescent="0.25">
      <c r="B199" s="377">
        <v>120</v>
      </c>
      <c r="C199" s="381" t="s">
        <v>413</v>
      </c>
      <c r="D199" s="590">
        <v>0</v>
      </c>
      <c r="E199" s="591"/>
      <c r="F199" s="593">
        <f t="shared" si="71"/>
        <v>0</v>
      </c>
    </row>
    <row r="200" spans="2:6" s="373" customFormat="1" x14ac:dyDescent="0.25">
      <c r="B200" s="377">
        <v>121</v>
      </c>
      <c r="C200" s="378" t="s">
        <v>414</v>
      </c>
      <c r="D200" s="590">
        <v>0</v>
      </c>
      <c r="E200" s="591"/>
      <c r="F200" s="593">
        <f t="shared" si="71"/>
        <v>0</v>
      </c>
    </row>
    <row r="201" spans="2:6" s="373" customFormat="1" x14ac:dyDescent="0.25">
      <c r="B201" s="377">
        <v>122</v>
      </c>
      <c r="C201" s="378" t="s">
        <v>415</v>
      </c>
      <c r="D201" s="590">
        <v>0</v>
      </c>
      <c r="E201" s="591"/>
      <c r="F201" s="593">
        <f t="shared" si="71"/>
        <v>0</v>
      </c>
    </row>
    <row r="202" spans="2:6" s="373" customFormat="1" x14ac:dyDescent="0.25">
      <c r="B202" s="377">
        <v>123</v>
      </c>
      <c r="C202" s="378" t="s">
        <v>416</v>
      </c>
      <c r="D202" s="590">
        <v>0</v>
      </c>
      <c r="E202" s="591"/>
      <c r="F202" s="593">
        <f t="shared" si="71"/>
        <v>0</v>
      </c>
    </row>
    <row r="203" spans="2:6" s="373" customFormat="1" x14ac:dyDescent="0.25">
      <c r="B203" s="377">
        <v>124</v>
      </c>
      <c r="C203" s="378" t="s">
        <v>417</v>
      </c>
      <c r="D203" s="590">
        <v>0</v>
      </c>
      <c r="E203" s="591"/>
      <c r="F203" s="593">
        <f t="shared" si="71"/>
        <v>0</v>
      </c>
    </row>
    <row r="204" spans="2:6" s="373" customFormat="1" x14ac:dyDescent="0.25">
      <c r="B204" s="377">
        <v>125</v>
      </c>
      <c r="C204" s="380" t="s">
        <v>418</v>
      </c>
      <c r="D204" s="590">
        <v>0</v>
      </c>
      <c r="E204" s="591"/>
      <c r="F204" s="593">
        <f t="shared" si="71"/>
        <v>0</v>
      </c>
    </row>
    <row r="205" spans="2:6" s="373" customFormat="1" x14ac:dyDescent="0.25">
      <c r="B205" s="377">
        <v>126</v>
      </c>
      <c r="C205" s="378" t="s">
        <v>419</v>
      </c>
      <c r="D205" s="590">
        <v>0</v>
      </c>
      <c r="E205" s="591"/>
      <c r="F205" s="593">
        <f t="shared" si="71"/>
        <v>0</v>
      </c>
    </row>
    <row r="206" spans="2:6" s="373" customFormat="1" x14ac:dyDescent="0.25">
      <c r="B206" s="377">
        <v>127</v>
      </c>
      <c r="C206" s="378" t="s">
        <v>420</v>
      </c>
      <c r="D206" s="590">
        <v>0</v>
      </c>
      <c r="E206" s="591"/>
      <c r="F206" s="593">
        <f t="shared" si="71"/>
        <v>0</v>
      </c>
    </row>
    <row r="207" spans="2:6" s="373" customFormat="1" x14ac:dyDescent="0.25">
      <c r="B207" s="377">
        <v>128</v>
      </c>
      <c r="C207" s="378" t="s">
        <v>421</v>
      </c>
      <c r="D207" s="590">
        <v>0</v>
      </c>
      <c r="E207" s="591"/>
      <c r="F207" s="593">
        <f t="shared" si="71"/>
        <v>0</v>
      </c>
    </row>
    <row r="208" spans="2:6" s="373" customFormat="1" x14ac:dyDescent="0.25">
      <c r="B208" s="377">
        <v>129</v>
      </c>
      <c r="C208" s="378" t="s">
        <v>422</v>
      </c>
      <c r="D208" s="590">
        <v>0</v>
      </c>
      <c r="E208" s="591"/>
      <c r="F208" s="593">
        <f t="shared" ref="F208:F239" si="72">SUM(D208:E208)</f>
        <v>0</v>
      </c>
    </row>
    <row r="209" spans="2:6" s="373" customFormat="1" x14ac:dyDescent="0.25">
      <c r="B209" s="377">
        <v>130</v>
      </c>
      <c r="C209" s="378" t="s">
        <v>423</v>
      </c>
      <c r="D209" s="590">
        <v>0</v>
      </c>
      <c r="E209" s="591"/>
      <c r="F209" s="593">
        <f t="shared" si="72"/>
        <v>0</v>
      </c>
    </row>
    <row r="210" spans="2:6" s="373" customFormat="1" x14ac:dyDescent="0.25">
      <c r="B210" s="377">
        <v>131</v>
      </c>
      <c r="C210" s="381" t="s">
        <v>424</v>
      </c>
      <c r="D210" s="590">
        <v>0</v>
      </c>
      <c r="E210" s="591"/>
      <c r="F210" s="593">
        <f t="shared" si="72"/>
        <v>0</v>
      </c>
    </row>
    <row r="211" spans="2:6" s="373" customFormat="1" x14ac:dyDescent="0.25">
      <c r="B211" s="377">
        <v>132</v>
      </c>
      <c r="C211" s="380" t="s">
        <v>425</v>
      </c>
      <c r="D211" s="590">
        <v>0</v>
      </c>
      <c r="E211" s="591"/>
      <c r="F211" s="593">
        <f t="shared" si="72"/>
        <v>0</v>
      </c>
    </row>
    <row r="212" spans="2:6" s="373" customFormat="1" x14ac:dyDescent="0.25">
      <c r="B212" s="377">
        <v>133</v>
      </c>
      <c r="C212" s="381" t="s">
        <v>426</v>
      </c>
      <c r="D212" s="590">
        <v>0</v>
      </c>
      <c r="E212" s="591"/>
      <c r="F212" s="593">
        <f t="shared" si="72"/>
        <v>0</v>
      </c>
    </row>
    <row r="213" spans="2:6" s="373" customFormat="1" x14ac:dyDescent="0.25">
      <c r="B213" s="377">
        <v>134</v>
      </c>
      <c r="C213" s="380" t="s">
        <v>427</v>
      </c>
      <c r="D213" s="590">
        <v>0</v>
      </c>
      <c r="E213" s="591"/>
      <c r="F213" s="593">
        <f t="shared" si="72"/>
        <v>0</v>
      </c>
    </row>
    <row r="214" spans="2:6" s="373" customFormat="1" x14ac:dyDescent="0.25">
      <c r="B214" s="377">
        <v>135</v>
      </c>
      <c r="C214" s="380" t="s">
        <v>428</v>
      </c>
      <c r="D214" s="590">
        <v>0</v>
      </c>
      <c r="E214" s="591"/>
      <c r="F214" s="593">
        <f t="shared" si="72"/>
        <v>0</v>
      </c>
    </row>
    <row r="215" spans="2:6" s="373" customFormat="1" x14ac:dyDescent="0.25">
      <c r="B215" s="377">
        <v>136</v>
      </c>
      <c r="C215" s="380" t="s">
        <v>429</v>
      </c>
      <c r="D215" s="590">
        <v>0</v>
      </c>
      <c r="E215" s="591"/>
      <c r="F215" s="593">
        <f t="shared" si="72"/>
        <v>0</v>
      </c>
    </row>
    <row r="216" spans="2:6" s="373" customFormat="1" x14ac:dyDescent="0.25">
      <c r="B216" s="377">
        <v>137</v>
      </c>
      <c r="C216" s="380" t="s">
        <v>430</v>
      </c>
      <c r="D216" s="590">
        <v>0</v>
      </c>
      <c r="E216" s="591"/>
      <c r="F216" s="593">
        <f t="shared" si="72"/>
        <v>0</v>
      </c>
    </row>
    <row r="217" spans="2:6" s="373" customFormat="1" x14ac:dyDescent="0.25">
      <c r="B217" s="377">
        <v>138</v>
      </c>
      <c r="C217" s="380" t="s">
        <v>431</v>
      </c>
      <c r="D217" s="590">
        <v>0</v>
      </c>
      <c r="E217" s="591"/>
      <c r="F217" s="593">
        <f t="shared" si="72"/>
        <v>0</v>
      </c>
    </row>
    <row r="218" spans="2:6" s="373" customFormat="1" x14ac:dyDescent="0.25">
      <c r="B218" s="377">
        <v>139</v>
      </c>
      <c r="C218" s="380" t="s">
        <v>432</v>
      </c>
      <c r="D218" s="590">
        <v>0</v>
      </c>
      <c r="E218" s="591"/>
      <c r="F218" s="593">
        <f t="shared" si="72"/>
        <v>0</v>
      </c>
    </row>
    <row r="219" spans="2:6" s="373" customFormat="1" x14ac:dyDescent="0.25">
      <c r="B219" s="377">
        <v>140</v>
      </c>
      <c r="C219" s="380" t="s">
        <v>433</v>
      </c>
      <c r="D219" s="590">
        <v>0</v>
      </c>
      <c r="E219" s="591"/>
      <c r="F219" s="593">
        <f t="shared" si="72"/>
        <v>0</v>
      </c>
    </row>
    <row r="220" spans="2:6" s="373" customFormat="1" x14ac:dyDescent="0.25">
      <c r="B220" s="377">
        <v>141</v>
      </c>
      <c r="C220" s="378" t="s">
        <v>434</v>
      </c>
      <c r="D220" s="590">
        <v>0</v>
      </c>
      <c r="E220" s="591"/>
      <c r="F220" s="593">
        <f t="shared" si="72"/>
        <v>0</v>
      </c>
    </row>
    <row r="221" spans="2:6" s="373" customFormat="1" x14ac:dyDescent="0.25">
      <c r="B221" s="377">
        <v>142</v>
      </c>
      <c r="C221" s="378" t="s">
        <v>435</v>
      </c>
      <c r="D221" s="590">
        <v>0</v>
      </c>
      <c r="E221" s="591"/>
      <c r="F221" s="593">
        <f t="shared" si="72"/>
        <v>0</v>
      </c>
    </row>
    <row r="222" spans="2:6" s="373" customFormat="1" x14ac:dyDescent="0.25">
      <c r="B222" s="377">
        <v>143</v>
      </c>
      <c r="C222" s="380" t="s">
        <v>436</v>
      </c>
      <c r="D222" s="590">
        <v>0</v>
      </c>
      <c r="E222" s="591"/>
      <c r="F222" s="593">
        <f t="shared" si="72"/>
        <v>0</v>
      </c>
    </row>
    <row r="223" spans="2:6" s="373" customFormat="1" x14ac:dyDescent="0.25">
      <c r="B223" s="377">
        <v>144</v>
      </c>
      <c r="C223" s="380" t="s">
        <v>437</v>
      </c>
      <c r="D223" s="590">
        <v>0</v>
      </c>
      <c r="E223" s="591"/>
      <c r="F223" s="593">
        <f t="shared" si="72"/>
        <v>0</v>
      </c>
    </row>
    <row r="224" spans="2:6" s="373" customFormat="1" x14ac:dyDescent="0.25">
      <c r="B224" s="377">
        <v>145</v>
      </c>
      <c r="C224" s="380" t="s">
        <v>438</v>
      </c>
      <c r="D224" s="590">
        <v>0</v>
      </c>
      <c r="E224" s="591"/>
      <c r="F224" s="593">
        <f t="shared" si="72"/>
        <v>0</v>
      </c>
    </row>
    <row r="225" spans="2:6" s="373" customFormat="1" x14ac:dyDescent="0.25">
      <c r="B225" s="377">
        <v>146</v>
      </c>
      <c r="C225" s="380" t="s">
        <v>439</v>
      </c>
      <c r="D225" s="590">
        <v>0</v>
      </c>
      <c r="E225" s="591"/>
      <c r="F225" s="593">
        <f t="shared" si="72"/>
        <v>0</v>
      </c>
    </row>
    <row r="226" spans="2:6" s="373" customFormat="1" x14ac:dyDescent="0.25">
      <c r="B226" s="377">
        <v>147</v>
      </c>
      <c r="C226" s="380" t="s">
        <v>440</v>
      </c>
      <c r="D226" s="590">
        <v>0</v>
      </c>
      <c r="E226" s="591"/>
      <c r="F226" s="593">
        <f t="shared" si="72"/>
        <v>0</v>
      </c>
    </row>
    <row r="227" spans="2:6" s="373" customFormat="1" x14ac:dyDescent="0.25">
      <c r="B227" s="377">
        <v>148</v>
      </c>
      <c r="C227" s="380" t="s">
        <v>441</v>
      </c>
      <c r="D227" s="590">
        <v>0</v>
      </c>
      <c r="E227" s="591"/>
      <c r="F227" s="593">
        <f t="shared" si="72"/>
        <v>0</v>
      </c>
    </row>
    <row r="228" spans="2:6" s="373" customFormat="1" x14ac:dyDescent="0.25">
      <c r="B228" s="377">
        <v>149</v>
      </c>
      <c r="C228" s="380" t="s">
        <v>442</v>
      </c>
      <c r="D228" s="590">
        <v>0</v>
      </c>
      <c r="E228" s="591"/>
      <c r="F228" s="593">
        <f t="shared" si="72"/>
        <v>0</v>
      </c>
    </row>
    <row r="229" spans="2:6" s="373" customFormat="1" x14ac:dyDescent="0.25">
      <c r="B229" s="377">
        <v>150</v>
      </c>
      <c r="C229" s="380" t="s">
        <v>443</v>
      </c>
      <c r="D229" s="590">
        <v>0</v>
      </c>
      <c r="E229" s="591"/>
      <c r="F229" s="593">
        <f t="shared" si="72"/>
        <v>0</v>
      </c>
    </row>
    <row r="230" spans="2:6" s="373" customFormat="1" x14ac:dyDescent="0.25">
      <c r="B230" s="377">
        <v>151</v>
      </c>
      <c r="C230" s="380" t="s">
        <v>444</v>
      </c>
      <c r="D230" s="590">
        <v>0</v>
      </c>
      <c r="E230" s="591"/>
      <c r="F230" s="593">
        <f t="shared" si="72"/>
        <v>0</v>
      </c>
    </row>
    <row r="231" spans="2:6" s="373" customFormat="1" x14ac:dyDescent="0.25">
      <c r="B231" s="377">
        <v>152</v>
      </c>
      <c r="C231" s="380" t="s">
        <v>445</v>
      </c>
      <c r="D231" s="590">
        <v>0</v>
      </c>
      <c r="E231" s="591"/>
      <c r="F231" s="593">
        <f t="shared" si="72"/>
        <v>0</v>
      </c>
    </row>
    <row r="232" spans="2:6" s="373" customFormat="1" x14ac:dyDescent="0.25">
      <c r="B232" s="377">
        <v>153</v>
      </c>
      <c r="C232" s="380" t="s">
        <v>446</v>
      </c>
      <c r="D232" s="590">
        <v>0</v>
      </c>
      <c r="E232" s="591"/>
      <c r="F232" s="593">
        <f t="shared" si="72"/>
        <v>0</v>
      </c>
    </row>
    <row r="233" spans="2:6" s="373" customFormat="1" x14ac:dyDescent="0.25">
      <c r="B233" s="377">
        <v>154</v>
      </c>
      <c r="C233" s="380" t="s">
        <v>447</v>
      </c>
      <c r="D233" s="590">
        <v>0</v>
      </c>
      <c r="E233" s="591"/>
      <c r="F233" s="593">
        <f t="shared" si="72"/>
        <v>0</v>
      </c>
    </row>
    <row r="234" spans="2:6" s="373" customFormat="1" x14ac:dyDescent="0.25">
      <c r="B234" s="377">
        <v>155</v>
      </c>
      <c r="C234" s="380" t="s">
        <v>448</v>
      </c>
      <c r="D234" s="590">
        <v>0</v>
      </c>
      <c r="E234" s="591"/>
      <c r="F234" s="593">
        <f t="shared" si="72"/>
        <v>0</v>
      </c>
    </row>
    <row r="235" spans="2:6" s="373" customFormat="1" x14ac:dyDescent="0.25">
      <c r="B235" s="377">
        <v>156</v>
      </c>
      <c r="C235" s="380" t="s">
        <v>449</v>
      </c>
      <c r="D235" s="590">
        <v>0</v>
      </c>
      <c r="E235" s="591"/>
      <c r="F235" s="593">
        <f t="shared" si="72"/>
        <v>0</v>
      </c>
    </row>
    <row r="236" spans="2:6" s="373" customFormat="1" x14ac:dyDescent="0.25">
      <c r="B236" s="377">
        <v>157</v>
      </c>
      <c r="C236" s="380" t="s">
        <v>450</v>
      </c>
      <c r="D236" s="590">
        <v>0</v>
      </c>
      <c r="E236" s="591"/>
      <c r="F236" s="593">
        <f t="shared" si="72"/>
        <v>0</v>
      </c>
    </row>
    <row r="237" spans="2:6" s="373" customFormat="1" x14ac:dyDescent="0.25">
      <c r="B237" s="377">
        <v>158</v>
      </c>
      <c r="C237" s="378" t="s">
        <v>451</v>
      </c>
      <c r="D237" s="590">
        <v>0</v>
      </c>
      <c r="E237" s="591"/>
      <c r="F237" s="593">
        <f t="shared" si="72"/>
        <v>0</v>
      </c>
    </row>
    <row r="238" spans="2:6" s="373" customFormat="1" x14ac:dyDescent="0.25">
      <c r="B238" s="377">
        <v>159</v>
      </c>
      <c r="C238" s="378" t="s">
        <v>452</v>
      </c>
      <c r="D238" s="590">
        <v>0</v>
      </c>
      <c r="E238" s="591"/>
      <c r="F238" s="593">
        <f t="shared" si="72"/>
        <v>0</v>
      </c>
    </row>
    <row r="239" spans="2:6" s="373" customFormat="1" x14ac:dyDescent="0.25">
      <c r="B239" s="377">
        <v>160</v>
      </c>
      <c r="C239" s="380" t="s">
        <v>439</v>
      </c>
      <c r="D239" s="590">
        <v>0</v>
      </c>
      <c r="E239" s="591"/>
      <c r="F239" s="593">
        <f t="shared" si="72"/>
        <v>0</v>
      </c>
    </row>
    <row r="240" spans="2:6" s="373" customFormat="1" x14ac:dyDescent="0.25">
      <c r="B240" s="377">
        <v>161</v>
      </c>
      <c r="C240" s="378" t="s">
        <v>453</v>
      </c>
      <c r="D240" s="590">
        <v>0</v>
      </c>
      <c r="E240" s="591"/>
      <c r="F240" s="593">
        <f t="shared" ref="F240:F245" si="73">SUM(D240:E240)</f>
        <v>0</v>
      </c>
    </row>
    <row r="241" spans="2:6" s="373" customFormat="1" x14ac:dyDescent="0.25">
      <c r="B241" s="377">
        <v>162</v>
      </c>
      <c r="C241" s="378" t="s">
        <v>454</v>
      </c>
      <c r="D241" s="590">
        <v>0</v>
      </c>
      <c r="E241" s="591"/>
      <c r="F241" s="593">
        <f t="shared" si="73"/>
        <v>0</v>
      </c>
    </row>
    <row r="242" spans="2:6" s="373" customFormat="1" x14ac:dyDescent="0.25">
      <c r="B242" s="377">
        <v>163</v>
      </c>
      <c r="C242" s="378" t="s">
        <v>455</v>
      </c>
      <c r="D242" s="590">
        <v>0</v>
      </c>
      <c r="E242" s="591"/>
      <c r="F242" s="593">
        <f t="shared" si="73"/>
        <v>0</v>
      </c>
    </row>
    <row r="243" spans="2:6" s="373" customFormat="1" x14ac:dyDescent="0.25">
      <c r="B243" s="377">
        <v>164</v>
      </c>
      <c r="C243" s="378" t="s">
        <v>456</v>
      </c>
      <c r="D243" s="590">
        <v>0</v>
      </c>
      <c r="E243" s="591"/>
      <c r="F243" s="593">
        <f t="shared" si="73"/>
        <v>0</v>
      </c>
    </row>
    <row r="244" spans="2:6" s="373" customFormat="1" x14ac:dyDescent="0.25">
      <c r="B244" s="377">
        <v>165</v>
      </c>
      <c r="C244" s="380" t="s">
        <v>457</v>
      </c>
      <c r="D244" s="590">
        <v>0</v>
      </c>
      <c r="E244" s="591"/>
      <c r="F244" s="593">
        <f t="shared" si="73"/>
        <v>0</v>
      </c>
    </row>
    <row r="245" spans="2:6" s="373" customFormat="1" ht="12" thickBot="1" x14ac:dyDescent="0.3">
      <c r="B245" s="385">
        <v>166</v>
      </c>
      <c r="C245" s="386" t="s">
        <v>458</v>
      </c>
      <c r="D245" s="594">
        <v>0</v>
      </c>
      <c r="E245" s="595"/>
      <c r="F245" s="596">
        <f t="shared" si="73"/>
        <v>0</v>
      </c>
    </row>
  </sheetData>
  <mergeCells count="18">
    <mergeCell ref="B2:B3"/>
    <mergeCell ref="C2:C3"/>
    <mergeCell ref="D2:D3"/>
    <mergeCell ref="F2:R2"/>
    <mergeCell ref="B27:B28"/>
    <mergeCell ref="C27:C28"/>
    <mergeCell ref="D27:D28"/>
    <mergeCell ref="F27:R27"/>
    <mergeCell ref="E2:E3"/>
    <mergeCell ref="E27:E28"/>
    <mergeCell ref="C52:C53"/>
    <mergeCell ref="D52:D53"/>
    <mergeCell ref="E52:E53"/>
    <mergeCell ref="F52:R52"/>
    <mergeCell ref="B78:D78"/>
    <mergeCell ref="E78:E79"/>
    <mergeCell ref="F78:F79"/>
    <mergeCell ref="B52:B53"/>
  </mergeCells>
  <dataValidations count="1">
    <dataValidation type="list" allowBlank="1" showInputMessage="1" showErrorMessage="1" sqref="C4:C23" xr:uid="{00000000-0002-0000-0500-000000000000}">
      <formula1>$C$80:$C$245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59F6C-3EFF-42CD-B035-C8F11B090A9F}">
  <sheetPr>
    <tabColor rgb="FFFFFF00"/>
  </sheetPr>
  <dimension ref="B1:Y44"/>
  <sheetViews>
    <sheetView topLeftCell="A23" zoomScale="80" zoomScaleNormal="80" workbookViewId="0">
      <selection activeCell="F4" sqref="F4"/>
    </sheetView>
  </sheetViews>
  <sheetFormatPr defaultColWidth="8.6640625" defaultRowHeight="11.5" x14ac:dyDescent="0.25"/>
  <cols>
    <col min="1" max="1" width="8.6640625" style="597"/>
    <col min="2" max="2" width="6.33203125" style="598" customWidth="1"/>
    <col min="3" max="4" width="26.33203125" style="597" customWidth="1"/>
    <col min="5" max="5" width="14.33203125" style="597" customWidth="1"/>
    <col min="6" max="6" width="16.6640625" style="597" customWidth="1"/>
    <col min="7" max="7" width="13.109375" style="597" customWidth="1"/>
    <col min="8" max="8" width="11.33203125" style="597" bestFit="1" customWidth="1"/>
    <col min="9" max="9" width="15.88671875" style="597" customWidth="1"/>
    <col min="10" max="10" width="13.88671875" style="597" customWidth="1"/>
    <col min="11" max="11" width="11.109375" style="597" customWidth="1"/>
    <col min="12" max="12" width="16.77734375" style="597" customWidth="1"/>
    <col min="13" max="16" width="8.77734375" style="597" bestFit="1" customWidth="1"/>
    <col min="17" max="17" width="10.21875" style="597" bestFit="1" customWidth="1"/>
    <col min="18" max="16384" width="8.6640625" style="597"/>
  </cols>
  <sheetData>
    <row r="1" spans="2:25" ht="12" thickBot="1" x14ac:dyDescent="0.3"/>
    <row r="2" spans="2:25" x14ac:dyDescent="0.25">
      <c r="B2" s="793" t="s">
        <v>276</v>
      </c>
      <c r="C2" s="795" t="s">
        <v>723</v>
      </c>
      <c r="D2" s="795"/>
      <c r="E2" s="795" t="s">
        <v>720</v>
      </c>
      <c r="F2" s="795"/>
      <c r="G2" s="795"/>
      <c r="H2" s="795" t="s">
        <v>721</v>
      </c>
      <c r="I2" s="795"/>
      <c r="J2" s="795"/>
      <c r="K2" s="795" t="s">
        <v>32</v>
      </c>
      <c r="L2" s="795"/>
      <c r="M2" s="797" t="s">
        <v>278</v>
      </c>
      <c r="N2" s="797"/>
      <c r="O2" s="797"/>
      <c r="P2" s="797"/>
      <c r="Q2" s="797"/>
      <c r="R2" s="797"/>
      <c r="S2" s="797"/>
      <c r="T2" s="797"/>
      <c r="U2" s="797"/>
      <c r="V2" s="797"/>
      <c r="W2" s="797"/>
      <c r="X2" s="797"/>
      <c r="Y2" s="798"/>
    </row>
    <row r="3" spans="2:25" ht="23" x14ac:dyDescent="0.25">
      <c r="B3" s="794"/>
      <c r="C3" s="609" t="s">
        <v>722</v>
      </c>
      <c r="D3" s="609" t="s">
        <v>719</v>
      </c>
      <c r="E3" s="609" t="s">
        <v>150</v>
      </c>
      <c r="F3" s="610" t="s">
        <v>718</v>
      </c>
      <c r="G3" s="609" t="s">
        <v>98</v>
      </c>
      <c r="H3" s="609" t="s">
        <v>150</v>
      </c>
      <c r="I3" s="610" t="s">
        <v>718</v>
      </c>
      <c r="J3" s="609" t="s">
        <v>98</v>
      </c>
      <c r="K3" s="609" t="s">
        <v>150</v>
      </c>
      <c r="L3" s="610" t="s">
        <v>718</v>
      </c>
      <c r="M3" s="599" t="s">
        <v>279</v>
      </c>
      <c r="N3" s="599" t="s">
        <v>280</v>
      </c>
      <c r="O3" s="599" t="s">
        <v>281</v>
      </c>
      <c r="P3" s="599" t="s">
        <v>282</v>
      </c>
      <c r="Q3" s="599" t="s">
        <v>33</v>
      </c>
      <c r="R3" s="599" t="s">
        <v>283</v>
      </c>
      <c r="S3" s="599" t="s">
        <v>284</v>
      </c>
      <c r="T3" s="599" t="s">
        <v>285</v>
      </c>
      <c r="U3" s="599" t="s">
        <v>286</v>
      </c>
      <c r="V3" s="599" t="s">
        <v>287</v>
      </c>
      <c r="W3" s="599" t="s">
        <v>288</v>
      </c>
      <c r="X3" s="599" t="s">
        <v>289</v>
      </c>
      <c r="Y3" s="603" t="s">
        <v>98</v>
      </c>
    </row>
    <row r="4" spans="2:25" x14ac:dyDescent="0.25">
      <c r="B4" s="604">
        <v>1</v>
      </c>
      <c r="C4" s="600"/>
      <c r="D4" s="600"/>
      <c r="E4" s="611"/>
      <c r="F4" s="611"/>
      <c r="G4" s="612">
        <f>SUM(E4:F4)</f>
        <v>0</v>
      </c>
      <c r="H4" s="611"/>
      <c r="I4" s="611"/>
      <c r="J4" s="612">
        <f>SUM(H4:I4)</f>
        <v>0</v>
      </c>
      <c r="K4" s="613">
        <f>H4-E4</f>
        <v>0</v>
      </c>
      <c r="L4" s="613">
        <f>I4-F4</f>
        <v>0</v>
      </c>
      <c r="M4" s="600"/>
      <c r="N4" s="600"/>
      <c r="O4" s="602"/>
      <c r="P4" s="600"/>
      <c r="Q4" s="600"/>
      <c r="R4" s="600"/>
      <c r="S4" s="600"/>
      <c r="T4" s="600"/>
      <c r="U4" s="600"/>
      <c r="V4" s="600"/>
      <c r="W4" s="600"/>
      <c r="X4" s="600"/>
      <c r="Y4" s="605">
        <f>SUM(M4:X4)</f>
        <v>0</v>
      </c>
    </row>
    <row r="5" spans="2:25" x14ac:dyDescent="0.25">
      <c r="B5" s="604">
        <v>2</v>
      </c>
      <c r="C5" s="600"/>
      <c r="D5" s="600"/>
      <c r="E5" s="611"/>
      <c r="F5" s="611"/>
      <c r="G5" s="612">
        <f t="shared" ref="G5:G13" si="0">SUM(E5:F5)</f>
        <v>0</v>
      </c>
      <c r="H5" s="611"/>
      <c r="I5" s="611"/>
      <c r="J5" s="612">
        <f t="shared" ref="J5:J13" si="1">SUM(H5:I5)</f>
        <v>0</v>
      </c>
      <c r="K5" s="613">
        <f t="shared" ref="K5:K13" si="2">H5-E5</f>
        <v>0</v>
      </c>
      <c r="L5" s="613">
        <f t="shared" ref="L5:L13" si="3">I5-F5</f>
        <v>0</v>
      </c>
      <c r="M5" s="600"/>
      <c r="N5" s="600"/>
      <c r="O5" s="602"/>
      <c r="P5" s="600"/>
      <c r="Q5" s="600"/>
      <c r="R5" s="600"/>
      <c r="S5" s="600"/>
      <c r="T5" s="600"/>
      <c r="U5" s="600"/>
      <c r="V5" s="600"/>
      <c r="W5" s="600"/>
      <c r="X5" s="600"/>
      <c r="Y5" s="605">
        <f t="shared" ref="Y5:Y13" si="4">SUM(M5:X5)</f>
        <v>0</v>
      </c>
    </row>
    <row r="6" spans="2:25" x14ac:dyDescent="0.25">
      <c r="B6" s="604">
        <v>3</v>
      </c>
      <c r="C6" s="600"/>
      <c r="D6" s="600"/>
      <c r="E6" s="611"/>
      <c r="F6" s="611"/>
      <c r="G6" s="612">
        <f t="shared" si="0"/>
        <v>0</v>
      </c>
      <c r="H6" s="611"/>
      <c r="I6" s="611"/>
      <c r="J6" s="612">
        <f t="shared" si="1"/>
        <v>0</v>
      </c>
      <c r="K6" s="613">
        <f t="shared" si="2"/>
        <v>0</v>
      </c>
      <c r="L6" s="613">
        <f t="shared" si="3"/>
        <v>0</v>
      </c>
      <c r="M6" s="600"/>
      <c r="N6" s="600"/>
      <c r="O6" s="602"/>
      <c r="P6" s="600"/>
      <c r="Q6" s="600"/>
      <c r="R6" s="600"/>
      <c r="S6" s="600"/>
      <c r="T6" s="600"/>
      <c r="U6" s="600"/>
      <c r="V6" s="600"/>
      <c r="W6" s="600"/>
      <c r="X6" s="600"/>
      <c r="Y6" s="605">
        <f t="shared" si="4"/>
        <v>0</v>
      </c>
    </row>
    <row r="7" spans="2:25" x14ac:dyDescent="0.25">
      <c r="B7" s="604">
        <v>4</v>
      </c>
      <c r="C7" s="600"/>
      <c r="D7" s="600"/>
      <c r="E7" s="611"/>
      <c r="F7" s="611"/>
      <c r="G7" s="612">
        <f t="shared" si="0"/>
        <v>0</v>
      </c>
      <c r="H7" s="611"/>
      <c r="I7" s="611"/>
      <c r="J7" s="612">
        <f t="shared" si="1"/>
        <v>0</v>
      </c>
      <c r="K7" s="613">
        <f t="shared" si="2"/>
        <v>0</v>
      </c>
      <c r="L7" s="613">
        <f t="shared" si="3"/>
        <v>0</v>
      </c>
      <c r="M7" s="600"/>
      <c r="N7" s="600"/>
      <c r="O7" s="602"/>
      <c r="P7" s="600"/>
      <c r="Q7" s="600"/>
      <c r="R7" s="600"/>
      <c r="S7" s="600"/>
      <c r="T7" s="600"/>
      <c r="U7" s="600"/>
      <c r="V7" s="600"/>
      <c r="W7" s="600"/>
      <c r="X7" s="600"/>
      <c r="Y7" s="605">
        <f t="shared" si="4"/>
        <v>0</v>
      </c>
    </row>
    <row r="8" spans="2:25" x14ac:dyDescent="0.25">
      <c r="B8" s="604">
        <v>5</v>
      </c>
      <c r="C8" s="600"/>
      <c r="D8" s="600"/>
      <c r="E8" s="611"/>
      <c r="F8" s="611"/>
      <c r="G8" s="612">
        <f t="shared" si="0"/>
        <v>0</v>
      </c>
      <c r="H8" s="611"/>
      <c r="I8" s="611"/>
      <c r="J8" s="612">
        <f t="shared" si="1"/>
        <v>0</v>
      </c>
      <c r="K8" s="613">
        <f t="shared" si="2"/>
        <v>0</v>
      </c>
      <c r="L8" s="613">
        <f t="shared" si="3"/>
        <v>0</v>
      </c>
      <c r="M8" s="600"/>
      <c r="N8" s="600"/>
      <c r="O8" s="602"/>
      <c r="P8" s="600"/>
      <c r="Q8" s="600"/>
      <c r="R8" s="600"/>
      <c r="S8" s="600"/>
      <c r="T8" s="600"/>
      <c r="U8" s="600"/>
      <c r="V8" s="600"/>
      <c r="W8" s="600"/>
      <c r="X8" s="600"/>
      <c r="Y8" s="605">
        <f t="shared" si="4"/>
        <v>0</v>
      </c>
    </row>
    <row r="9" spans="2:25" x14ac:dyDescent="0.25">
      <c r="B9" s="604">
        <v>6</v>
      </c>
      <c r="C9" s="600"/>
      <c r="D9" s="600"/>
      <c r="E9" s="611"/>
      <c r="F9" s="611"/>
      <c r="G9" s="612">
        <f t="shared" si="0"/>
        <v>0</v>
      </c>
      <c r="H9" s="611"/>
      <c r="I9" s="611"/>
      <c r="J9" s="612">
        <f t="shared" si="1"/>
        <v>0</v>
      </c>
      <c r="K9" s="613">
        <f t="shared" si="2"/>
        <v>0</v>
      </c>
      <c r="L9" s="613">
        <f t="shared" si="3"/>
        <v>0</v>
      </c>
      <c r="M9" s="600"/>
      <c r="N9" s="600"/>
      <c r="O9" s="602"/>
      <c r="P9" s="600"/>
      <c r="Q9" s="600"/>
      <c r="R9" s="600"/>
      <c r="S9" s="600"/>
      <c r="T9" s="600"/>
      <c r="U9" s="600"/>
      <c r="V9" s="600"/>
      <c r="W9" s="600"/>
      <c r="X9" s="600"/>
      <c r="Y9" s="605">
        <f t="shared" si="4"/>
        <v>0</v>
      </c>
    </row>
    <row r="10" spans="2:25" x14ac:dyDescent="0.25">
      <c r="B10" s="604">
        <v>7</v>
      </c>
      <c r="C10" s="600"/>
      <c r="D10" s="600"/>
      <c r="E10" s="611"/>
      <c r="F10" s="611"/>
      <c r="G10" s="612">
        <f t="shared" si="0"/>
        <v>0</v>
      </c>
      <c r="H10" s="611"/>
      <c r="I10" s="611"/>
      <c r="J10" s="612">
        <f t="shared" si="1"/>
        <v>0</v>
      </c>
      <c r="K10" s="613">
        <f t="shared" si="2"/>
        <v>0</v>
      </c>
      <c r="L10" s="613">
        <f t="shared" si="3"/>
        <v>0</v>
      </c>
      <c r="M10" s="600"/>
      <c r="N10" s="600"/>
      <c r="O10" s="602"/>
      <c r="P10" s="600"/>
      <c r="Q10" s="600"/>
      <c r="R10" s="600"/>
      <c r="S10" s="600"/>
      <c r="T10" s="600"/>
      <c r="U10" s="600"/>
      <c r="V10" s="600"/>
      <c r="W10" s="600"/>
      <c r="X10" s="600"/>
      <c r="Y10" s="605">
        <f t="shared" si="4"/>
        <v>0</v>
      </c>
    </row>
    <row r="11" spans="2:25" x14ac:dyDescent="0.25">
      <c r="B11" s="604">
        <v>8</v>
      </c>
      <c r="C11" s="600"/>
      <c r="D11" s="600"/>
      <c r="E11" s="611"/>
      <c r="F11" s="611"/>
      <c r="G11" s="612">
        <f t="shared" si="0"/>
        <v>0</v>
      </c>
      <c r="H11" s="611"/>
      <c r="I11" s="611"/>
      <c r="J11" s="612">
        <f t="shared" si="1"/>
        <v>0</v>
      </c>
      <c r="K11" s="613">
        <f t="shared" si="2"/>
        <v>0</v>
      </c>
      <c r="L11" s="613">
        <f t="shared" si="3"/>
        <v>0</v>
      </c>
      <c r="M11" s="600"/>
      <c r="N11" s="600"/>
      <c r="O11" s="602"/>
      <c r="P11" s="600"/>
      <c r="Q11" s="600"/>
      <c r="R11" s="600"/>
      <c r="S11" s="600"/>
      <c r="T11" s="600"/>
      <c r="U11" s="600"/>
      <c r="V11" s="600"/>
      <c r="W11" s="600"/>
      <c r="X11" s="600"/>
      <c r="Y11" s="605">
        <f t="shared" si="4"/>
        <v>0</v>
      </c>
    </row>
    <row r="12" spans="2:25" x14ac:dyDescent="0.25">
      <c r="B12" s="604">
        <v>9</v>
      </c>
      <c r="C12" s="600"/>
      <c r="D12" s="600"/>
      <c r="E12" s="611"/>
      <c r="F12" s="611"/>
      <c r="G12" s="612">
        <f t="shared" si="0"/>
        <v>0</v>
      </c>
      <c r="H12" s="611"/>
      <c r="I12" s="611"/>
      <c r="J12" s="612">
        <f t="shared" si="1"/>
        <v>0</v>
      </c>
      <c r="K12" s="613">
        <f t="shared" si="2"/>
        <v>0</v>
      </c>
      <c r="L12" s="613">
        <f t="shared" si="3"/>
        <v>0</v>
      </c>
      <c r="M12" s="600"/>
      <c r="N12" s="600"/>
      <c r="O12" s="602"/>
      <c r="P12" s="600"/>
      <c r="Q12" s="600"/>
      <c r="R12" s="600"/>
      <c r="S12" s="600"/>
      <c r="T12" s="600"/>
      <c r="U12" s="600"/>
      <c r="V12" s="600"/>
      <c r="W12" s="600"/>
      <c r="X12" s="600"/>
      <c r="Y12" s="605">
        <f t="shared" si="4"/>
        <v>0</v>
      </c>
    </row>
    <row r="13" spans="2:25" ht="12" thickBot="1" x14ac:dyDescent="0.3">
      <c r="B13" s="568">
        <v>10</v>
      </c>
      <c r="C13" s="606"/>
      <c r="D13" s="606"/>
      <c r="E13" s="614"/>
      <c r="F13" s="614"/>
      <c r="G13" s="615">
        <f t="shared" si="0"/>
        <v>0</v>
      </c>
      <c r="H13" s="614"/>
      <c r="I13" s="614"/>
      <c r="J13" s="615">
        <f t="shared" si="1"/>
        <v>0</v>
      </c>
      <c r="K13" s="616">
        <f t="shared" si="2"/>
        <v>0</v>
      </c>
      <c r="L13" s="616">
        <f t="shared" si="3"/>
        <v>0</v>
      </c>
      <c r="M13" s="606"/>
      <c r="N13" s="606"/>
      <c r="O13" s="607"/>
      <c r="P13" s="606"/>
      <c r="Q13" s="606"/>
      <c r="R13" s="606"/>
      <c r="S13" s="606"/>
      <c r="T13" s="606"/>
      <c r="U13" s="606"/>
      <c r="V13" s="606"/>
      <c r="W13" s="606"/>
      <c r="X13" s="606"/>
      <c r="Y13" s="608">
        <f t="shared" si="4"/>
        <v>0</v>
      </c>
    </row>
    <row r="16" spans="2:25" ht="12" thickBot="1" x14ac:dyDescent="0.3"/>
    <row r="17" spans="2:17" x14ac:dyDescent="0.25">
      <c r="B17" s="793" t="s">
        <v>276</v>
      </c>
      <c r="C17" s="795" t="s">
        <v>719</v>
      </c>
      <c r="D17" s="795" t="s">
        <v>724</v>
      </c>
      <c r="E17" s="797" t="s">
        <v>725</v>
      </c>
      <c r="F17" s="797"/>
      <c r="G17" s="797"/>
      <c r="H17" s="797"/>
      <c r="I17" s="797"/>
      <c r="J17" s="797"/>
      <c r="K17" s="797"/>
      <c r="L17" s="797"/>
      <c r="M17" s="797"/>
      <c r="N17" s="797"/>
      <c r="O17" s="797"/>
      <c r="P17" s="797"/>
      <c r="Q17" s="798"/>
    </row>
    <row r="18" spans="2:17" ht="12" thickBot="1" x14ac:dyDescent="0.3">
      <c r="B18" s="799"/>
      <c r="C18" s="800"/>
      <c r="D18" s="800"/>
      <c r="E18" s="624" t="s">
        <v>279</v>
      </c>
      <c r="F18" s="624" t="s">
        <v>280</v>
      </c>
      <c r="G18" s="624" t="s">
        <v>281</v>
      </c>
      <c r="H18" s="624" t="s">
        <v>282</v>
      </c>
      <c r="I18" s="624" t="s">
        <v>33</v>
      </c>
      <c r="J18" s="624" t="s">
        <v>283</v>
      </c>
      <c r="K18" s="624" t="s">
        <v>284</v>
      </c>
      <c r="L18" s="624" t="s">
        <v>285</v>
      </c>
      <c r="M18" s="624" t="s">
        <v>286</v>
      </c>
      <c r="N18" s="624" t="s">
        <v>287</v>
      </c>
      <c r="O18" s="624" t="s">
        <v>288</v>
      </c>
      <c r="P18" s="624" t="s">
        <v>289</v>
      </c>
      <c r="Q18" s="625" t="s">
        <v>98</v>
      </c>
    </row>
    <row r="19" spans="2:17" x14ac:dyDescent="0.25">
      <c r="B19" s="620">
        <v>1</v>
      </c>
      <c r="C19" s="621">
        <f>D4</f>
        <v>0</v>
      </c>
      <c r="D19" s="622">
        <f>K4</f>
        <v>0</v>
      </c>
      <c r="E19" s="622">
        <f>$D19*M4</f>
        <v>0</v>
      </c>
      <c r="F19" s="622">
        <f t="shared" ref="F19:P28" si="5">$D19*N4</f>
        <v>0</v>
      </c>
      <c r="G19" s="622">
        <f t="shared" si="5"/>
        <v>0</v>
      </c>
      <c r="H19" s="622">
        <f t="shared" si="5"/>
        <v>0</v>
      </c>
      <c r="I19" s="622">
        <f t="shared" si="5"/>
        <v>0</v>
      </c>
      <c r="J19" s="622">
        <f t="shared" si="5"/>
        <v>0</v>
      </c>
      <c r="K19" s="622">
        <f t="shared" si="5"/>
        <v>0</v>
      </c>
      <c r="L19" s="622">
        <f t="shared" si="5"/>
        <v>0</v>
      </c>
      <c r="M19" s="622">
        <f t="shared" si="5"/>
        <v>0</v>
      </c>
      <c r="N19" s="622">
        <f t="shared" si="5"/>
        <v>0</v>
      </c>
      <c r="O19" s="622">
        <f t="shared" si="5"/>
        <v>0</v>
      </c>
      <c r="P19" s="622">
        <f t="shared" si="5"/>
        <v>0</v>
      </c>
      <c r="Q19" s="623">
        <f>SUM(E19:P19)</f>
        <v>0</v>
      </c>
    </row>
    <row r="20" spans="2:17" x14ac:dyDescent="0.25">
      <c r="B20" s="604">
        <v>2</v>
      </c>
      <c r="C20" s="601">
        <f t="shared" ref="C20:C28" si="6">D5</f>
        <v>0</v>
      </c>
      <c r="D20" s="612">
        <f t="shared" ref="D20:D28" si="7">K5</f>
        <v>0</v>
      </c>
      <c r="E20" s="612">
        <f t="shared" ref="E20:E28" si="8">$D20*M5</f>
        <v>0</v>
      </c>
      <c r="F20" s="612">
        <f t="shared" si="5"/>
        <v>0</v>
      </c>
      <c r="G20" s="612">
        <f t="shared" si="5"/>
        <v>0</v>
      </c>
      <c r="H20" s="612">
        <f t="shared" si="5"/>
        <v>0</v>
      </c>
      <c r="I20" s="612">
        <f t="shared" si="5"/>
        <v>0</v>
      </c>
      <c r="J20" s="612">
        <f t="shared" si="5"/>
        <v>0</v>
      </c>
      <c r="K20" s="612">
        <f t="shared" si="5"/>
        <v>0</v>
      </c>
      <c r="L20" s="612">
        <f t="shared" si="5"/>
        <v>0</v>
      </c>
      <c r="M20" s="612">
        <f t="shared" si="5"/>
        <v>0</v>
      </c>
      <c r="N20" s="612">
        <f t="shared" si="5"/>
        <v>0</v>
      </c>
      <c r="O20" s="612">
        <f t="shared" si="5"/>
        <v>0</v>
      </c>
      <c r="P20" s="612">
        <f t="shared" si="5"/>
        <v>0</v>
      </c>
      <c r="Q20" s="617">
        <f t="shared" ref="Q20:Q28" si="9">SUM(E20:P20)</f>
        <v>0</v>
      </c>
    </row>
    <row r="21" spans="2:17" x14ac:dyDescent="0.25">
      <c r="B21" s="604">
        <v>3</v>
      </c>
      <c r="C21" s="601">
        <f t="shared" si="6"/>
        <v>0</v>
      </c>
      <c r="D21" s="612">
        <f t="shared" si="7"/>
        <v>0</v>
      </c>
      <c r="E21" s="612">
        <f t="shared" si="8"/>
        <v>0</v>
      </c>
      <c r="F21" s="612">
        <f t="shared" si="5"/>
        <v>0</v>
      </c>
      <c r="G21" s="612">
        <f t="shared" si="5"/>
        <v>0</v>
      </c>
      <c r="H21" s="612">
        <f t="shared" si="5"/>
        <v>0</v>
      </c>
      <c r="I21" s="612">
        <f t="shared" si="5"/>
        <v>0</v>
      </c>
      <c r="J21" s="612">
        <f t="shared" si="5"/>
        <v>0</v>
      </c>
      <c r="K21" s="612">
        <f t="shared" si="5"/>
        <v>0</v>
      </c>
      <c r="L21" s="612">
        <f t="shared" si="5"/>
        <v>0</v>
      </c>
      <c r="M21" s="612">
        <f t="shared" si="5"/>
        <v>0</v>
      </c>
      <c r="N21" s="612">
        <f t="shared" si="5"/>
        <v>0</v>
      </c>
      <c r="O21" s="612">
        <f t="shared" si="5"/>
        <v>0</v>
      </c>
      <c r="P21" s="612">
        <f t="shared" si="5"/>
        <v>0</v>
      </c>
      <c r="Q21" s="617">
        <f t="shared" si="9"/>
        <v>0</v>
      </c>
    </row>
    <row r="22" spans="2:17" x14ac:dyDescent="0.25">
      <c r="B22" s="604">
        <v>4</v>
      </c>
      <c r="C22" s="601">
        <f t="shared" si="6"/>
        <v>0</v>
      </c>
      <c r="D22" s="612">
        <f t="shared" si="7"/>
        <v>0</v>
      </c>
      <c r="E22" s="612">
        <f t="shared" si="8"/>
        <v>0</v>
      </c>
      <c r="F22" s="612">
        <f t="shared" si="5"/>
        <v>0</v>
      </c>
      <c r="G22" s="612">
        <f t="shared" si="5"/>
        <v>0</v>
      </c>
      <c r="H22" s="612">
        <f t="shared" si="5"/>
        <v>0</v>
      </c>
      <c r="I22" s="612">
        <f t="shared" si="5"/>
        <v>0</v>
      </c>
      <c r="J22" s="612">
        <f t="shared" si="5"/>
        <v>0</v>
      </c>
      <c r="K22" s="612">
        <f t="shared" si="5"/>
        <v>0</v>
      </c>
      <c r="L22" s="612">
        <f t="shared" si="5"/>
        <v>0</v>
      </c>
      <c r="M22" s="612">
        <f t="shared" si="5"/>
        <v>0</v>
      </c>
      <c r="N22" s="612">
        <f t="shared" si="5"/>
        <v>0</v>
      </c>
      <c r="O22" s="612">
        <f t="shared" si="5"/>
        <v>0</v>
      </c>
      <c r="P22" s="612">
        <f t="shared" si="5"/>
        <v>0</v>
      </c>
      <c r="Q22" s="617">
        <f t="shared" si="9"/>
        <v>0</v>
      </c>
    </row>
    <row r="23" spans="2:17" x14ac:dyDescent="0.25">
      <c r="B23" s="604">
        <v>5</v>
      </c>
      <c r="C23" s="601">
        <f t="shared" si="6"/>
        <v>0</v>
      </c>
      <c r="D23" s="612">
        <f t="shared" si="7"/>
        <v>0</v>
      </c>
      <c r="E23" s="612">
        <f t="shared" si="8"/>
        <v>0</v>
      </c>
      <c r="F23" s="612">
        <f t="shared" si="5"/>
        <v>0</v>
      </c>
      <c r="G23" s="612">
        <f t="shared" si="5"/>
        <v>0</v>
      </c>
      <c r="H23" s="612">
        <f t="shared" si="5"/>
        <v>0</v>
      </c>
      <c r="I23" s="612">
        <f t="shared" si="5"/>
        <v>0</v>
      </c>
      <c r="J23" s="612">
        <f t="shared" si="5"/>
        <v>0</v>
      </c>
      <c r="K23" s="612">
        <f t="shared" si="5"/>
        <v>0</v>
      </c>
      <c r="L23" s="612">
        <f t="shared" si="5"/>
        <v>0</v>
      </c>
      <c r="M23" s="612">
        <f t="shared" si="5"/>
        <v>0</v>
      </c>
      <c r="N23" s="612">
        <f t="shared" si="5"/>
        <v>0</v>
      </c>
      <c r="O23" s="612">
        <f t="shared" si="5"/>
        <v>0</v>
      </c>
      <c r="P23" s="612">
        <f t="shared" si="5"/>
        <v>0</v>
      </c>
      <c r="Q23" s="617">
        <f t="shared" si="9"/>
        <v>0</v>
      </c>
    </row>
    <row r="24" spans="2:17" x14ac:dyDescent="0.25">
      <c r="B24" s="604">
        <v>6</v>
      </c>
      <c r="C24" s="601">
        <f t="shared" si="6"/>
        <v>0</v>
      </c>
      <c r="D24" s="612">
        <f t="shared" si="7"/>
        <v>0</v>
      </c>
      <c r="E24" s="612">
        <f t="shared" si="8"/>
        <v>0</v>
      </c>
      <c r="F24" s="612">
        <f t="shared" si="5"/>
        <v>0</v>
      </c>
      <c r="G24" s="612">
        <f t="shared" si="5"/>
        <v>0</v>
      </c>
      <c r="H24" s="612">
        <f t="shared" si="5"/>
        <v>0</v>
      </c>
      <c r="I24" s="612">
        <f t="shared" si="5"/>
        <v>0</v>
      </c>
      <c r="J24" s="612">
        <f t="shared" si="5"/>
        <v>0</v>
      </c>
      <c r="K24" s="612">
        <f t="shared" si="5"/>
        <v>0</v>
      </c>
      <c r="L24" s="612">
        <f t="shared" si="5"/>
        <v>0</v>
      </c>
      <c r="M24" s="612">
        <f t="shared" si="5"/>
        <v>0</v>
      </c>
      <c r="N24" s="612">
        <f t="shared" si="5"/>
        <v>0</v>
      </c>
      <c r="O24" s="612">
        <f t="shared" si="5"/>
        <v>0</v>
      </c>
      <c r="P24" s="612">
        <f t="shared" si="5"/>
        <v>0</v>
      </c>
      <c r="Q24" s="617">
        <f t="shared" si="9"/>
        <v>0</v>
      </c>
    </row>
    <row r="25" spans="2:17" x14ac:dyDescent="0.25">
      <c r="B25" s="604">
        <v>7</v>
      </c>
      <c r="C25" s="601">
        <f t="shared" si="6"/>
        <v>0</v>
      </c>
      <c r="D25" s="612">
        <f t="shared" si="7"/>
        <v>0</v>
      </c>
      <c r="E25" s="612">
        <f t="shared" si="8"/>
        <v>0</v>
      </c>
      <c r="F25" s="612">
        <f t="shared" si="5"/>
        <v>0</v>
      </c>
      <c r="G25" s="612">
        <f t="shared" si="5"/>
        <v>0</v>
      </c>
      <c r="H25" s="612">
        <f t="shared" si="5"/>
        <v>0</v>
      </c>
      <c r="I25" s="612">
        <f t="shared" si="5"/>
        <v>0</v>
      </c>
      <c r="J25" s="612">
        <f t="shared" si="5"/>
        <v>0</v>
      </c>
      <c r="K25" s="612">
        <f t="shared" si="5"/>
        <v>0</v>
      </c>
      <c r="L25" s="612">
        <f t="shared" si="5"/>
        <v>0</v>
      </c>
      <c r="M25" s="612">
        <f t="shared" si="5"/>
        <v>0</v>
      </c>
      <c r="N25" s="612">
        <f t="shared" si="5"/>
        <v>0</v>
      </c>
      <c r="O25" s="612">
        <f t="shared" si="5"/>
        <v>0</v>
      </c>
      <c r="P25" s="612">
        <f t="shared" si="5"/>
        <v>0</v>
      </c>
      <c r="Q25" s="617">
        <f t="shared" si="9"/>
        <v>0</v>
      </c>
    </row>
    <row r="26" spans="2:17" x14ac:dyDescent="0.25">
      <c r="B26" s="604">
        <v>8</v>
      </c>
      <c r="C26" s="601">
        <f t="shared" si="6"/>
        <v>0</v>
      </c>
      <c r="D26" s="612">
        <f t="shared" si="7"/>
        <v>0</v>
      </c>
      <c r="E26" s="612">
        <f t="shared" si="8"/>
        <v>0</v>
      </c>
      <c r="F26" s="612">
        <f t="shared" si="5"/>
        <v>0</v>
      </c>
      <c r="G26" s="612">
        <f t="shared" si="5"/>
        <v>0</v>
      </c>
      <c r="H26" s="612">
        <f t="shared" si="5"/>
        <v>0</v>
      </c>
      <c r="I26" s="612">
        <f t="shared" si="5"/>
        <v>0</v>
      </c>
      <c r="J26" s="612">
        <f t="shared" si="5"/>
        <v>0</v>
      </c>
      <c r="K26" s="612">
        <f t="shared" si="5"/>
        <v>0</v>
      </c>
      <c r="L26" s="612">
        <f t="shared" si="5"/>
        <v>0</v>
      </c>
      <c r="M26" s="612">
        <f t="shared" si="5"/>
        <v>0</v>
      </c>
      <c r="N26" s="612">
        <f t="shared" si="5"/>
        <v>0</v>
      </c>
      <c r="O26" s="612">
        <f t="shared" si="5"/>
        <v>0</v>
      </c>
      <c r="P26" s="612">
        <f t="shared" si="5"/>
        <v>0</v>
      </c>
      <c r="Q26" s="617">
        <f t="shared" si="9"/>
        <v>0</v>
      </c>
    </row>
    <row r="27" spans="2:17" x14ac:dyDescent="0.25">
      <c r="B27" s="604">
        <v>9</v>
      </c>
      <c r="C27" s="601">
        <f t="shared" si="6"/>
        <v>0</v>
      </c>
      <c r="D27" s="612">
        <f t="shared" si="7"/>
        <v>0</v>
      </c>
      <c r="E27" s="612">
        <f t="shared" si="8"/>
        <v>0</v>
      </c>
      <c r="F27" s="612">
        <f t="shared" si="5"/>
        <v>0</v>
      </c>
      <c r="G27" s="612">
        <f t="shared" si="5"/>
        <v>0</v>
      </c>
      <c r="H27" s="612">
        <f t="shared" si="5"/>
        <v>0</v>
      </c>
      <c r="I27" s="612">
        <f t="shared" si="5"/>
        <v>0</v>
      </c>
      <c r="J27" s="612">
        <f t="shared" si="5"/>
        <v>0</v>
      </c>
      <c r="K27" s="612">
        <f t="shared" si="5"/>
        <v>0</v>
      </c>
      <c r="L27" s="612">
        <f t="shared" si="5"/>
        <v>0</v>
      </c>
      <c r="M27" s="612">
        <f t="shared" si="5"/>
        <v>0</v>
      </c>
      <c r="N27" s="612">
        <f t="shared" si="5"/>
        <v>0</v>
      </c>
      <c r="O27" s="612">
        <f t="shared" si="5"/>
        <v>0</v>
      </c>
      <c r="P27" s="612">
        <f t="shared" si="5"/>
        <v>0</v>
      </c>
      <c r="Q27" s="617">
        <f t="shared" si="9"/>
        <v>0</v>
      </c>
    </row>
    <row r="28" spans="2:17" x14ac:dyDescent="0.25">
      <c r="B28" s="604">
        <v>10</v>
      </c>
      <c r="C28" s="601">
        <f t="shared" si="6"/>
        <v>0</v>
      </c>
      <c r="D28" s="612">
        <f t="shared" si="7"/>
        <v>0</v>
      </c>
      <c r="E28" s="612">
        <f t="shared" si="8"/>
        <v>0</v>
      </c>
      <c r="F28" s="612">
        <f t="shared" si="5"/>
        <v>0</v>
      </c>
      <c r="G28" s="612">
        <f t="shared" si="5"/>
        <v>0</v>
      </c>
      <c r="H28" s="612">
        <f t="shared" si="5"/>
        <v>0</v>
      </c>
      <c r="I28" s="612">
        <f t="shared" si="5"/>
        <v>0</v>
      </c>
      <c r="J28" s="612">
        <f t="shared" si="5"/>
        <v>0</v>
      </c>
      <c r="K28" s="612">
        <f t="shared" si="5"/>
        <v>0</v>
      </c>
      <c r="L28" s="612">
        <f t="shared" si="5"/>
        <v>0</v>
      </c>
      <c r="M28" s="612">
        <f t="shared" si="5"/>
        <v>0</v>
      </c>
      <c r="N28" s="612">
        <f t="shared" si="5"/>
        <v>0</v>
      </c>
      <c r="O28" s="612">
        <f t="shared" si="5"/>
        <v>0</v>
      </c>
      <c r="P28" s="612">
        <f t="shared" si="5"/>
        <v>0</v>
      </c>
      <c r="Q28" s="617">
        <f t="shared" si="9"/>
        <v>0</v>
      </c>
    </row>
    <row r="29" spans="2:17" ht="12" thickBot="1" x14ac:dyDescent="0.3">
      <c r="B29" s="568"/>
      <c r="C29" s="618" t="s">
        <v>98</v>
      </c>
      <c r="D29" s="616">
        <f>SUM(D19:D28)</f>
        <v>0</v>
      </c>
      <c r="E29" s="616">
        <f t="shared" ref="E29:Q29" si="10">SUM(E19:E28)</f>
        <v>0</v>
      </c>
      <c r="F29" s="616">
        <f t="shared" si="10"/>
        <v>0</v>
      </c>
      <c r="G29" s="616">
        <f t="shared" si="10"/>
        <v>0</v>
      </c>
      <c r="H29" s="616">
        <f t="shared" si="10"/>
        <v>0</v>
      </c>
      <c r="I29" s="616">
        <f t="shared" si="10"/>
        <v>0</v>
      </c>
      <c r="J29" s="616">
        <f t="shared" si="10"/>
        <v>0</v>
      </c>
      <c r="K29" s="616">
        <f t="shared" si="10"/>
        <v>0</v>
      </c>
      <c r="L29" s="616">
        <f t="shared" si="10"/>
        <v>0</v>
      </c>
      <c r="M29" s="616">
        <f t="shared" si="10"/>
        <v>0</v>
      </c>
      <c r="N29" s="616">
        <f t="shared" si="10"/>
        <v>0</v>
      </c>
      <c r="O29" s="616">
        <f t="shared" si="10"/>
        <v>0</v>
      </c>
      <c r="P29" s="616">
        <f t="shared" si="10"/>
        <v>0</v>
      </c>
      <c r="Q29" s="619">
        <f t="shared" si="10"/>
        <v>0</v>
      </c>
    </row>
    <row r="31" spans="2:17" ht="12" thickBot="1" x14ac:dyDescent="0.3"/>
    <row r="32" spans="2:17" x14ac:dyDescent="0.25">
      <c r="B32" s="793" t="s">
        <v>276</v>
      </c>
      <c r="C32" s="795" t="s">
        <v>719</v>
      </c>
      <c r="D32" s="795" t="s">
        <v>718</v>
      </c>
      <c r="E32" s="797" t="s">
        <v>725</v>
      </c>
      <c r="F32" s="797"/>
      <c r="G32" s="797"/>
      <c r="H32" s="797"/>
      <c r="I32" s="797"/>
      <c r="J32" s="797"/>
      <c r="K32" s="797"/>
      <c r="L32" s="797"/>
      <c r="M32" s="797"/>
      <c r="N32" s="797"/>
      <c r="O32" s="797"/>
      <c r="P32" s="797"/>
      <c r="Q32" s="798"/>
    </row>
    <row r="33" spans="2:17" x14ac:dyDescent="0.25">
      <c r="B33" s="794"/>
      <c r="C33" s="796"/>
      <c r="D33" s="796"/>
      <c r="E33" s="599" t="s">
        <v>279</v>
      </c>
      <c r="F33" s="599" t="s">
        <v>280</v>
      </c>
      <c r="G33" s="599" t="s">
        <v>281</v>
      </c>
      <c r="H33" s="599" t="s">
        <v>282</v>
      </c>
      <c r="I33" s="599" t="s">
        <v>33</v>
      </c>
      <c r="J33" s="599" t="s">
        <v>283</v>
      </c>
      <c r="K33" s="599" t="s">
        <v>284</v>
      </c>
      <c r="L33" s="599" t="s">
        <v>285</v>
      </c>
      <c r="M33" s="599" t="s">
        <v>286</v>
      </c>
      <c r="N33" s="599" t="s">
        <v>287</v>
      </c>
      <c r="O33" s="599" t="s">
        <v>288</v>
      </c>
      <c r="P33" s="599" t="s">
        <v>289</v>
      </c>
      <c r="Q33" s="603" t="s">
        <v>98</v>
      </c>
    </row>
    <row r="34" spans="2:17" x14ac:dyDescent="0.25">
      <c r="B34" s="604">
        <v>1</v>
      </c>
      <c r="C34" s="601">
        <f>D4</f>
        <v>0</v>
      </c>
      <c r="D34" s="612">
        <f>L4</f>
        <v>0</v>
      </c>
      <c r="E34" s="612">
        <f>$D34*M4</f>
        <v>0</v>
      </c>
      <c r="F34" s="612">
        <f t="shared" ref="F34:P43" si="11">$D34*N4</f>
        <v>0</v>
      </c>
      <c r="G34" s="612">
        <f t="shared" si="11"/>
        <v>0</v>
      </c>
      <c r="H34" s="612">
        <f t="shared" si="11"/>
        <v>0</v>
      </c>
      <c r="I34" s="612">
        <f t="shared" si="11"/>
        <v>0</v>
      </c>
      <c r="J34" s="612">
        <f t="shared" si="11"/>
        <v>0</v>
      </c>
      <c r="K34" s="612">
        <f t="shared" si="11"/>
        <v>0</v>
      </c>
      <c r="L34" s="612">
        <f t="shared" si="11"/>
        <v>0</v>
      </c>
      <c r="M34" s="612">
        <f t="shared" si="11"/>
        <v>0</v>
      </c>
      <c r="N34" s="612">
        <f t="shared" si="11"/>
        <v>0</v>
      </c>
      <c r="O34" s="612">
        <f t="shared" si="11"/>
        <v>0</v>
      </c>
      <c r="P34" s="612">
        <f t="shared" si="11"/>
        <v>0</v>
      </c>
      <c r="Q34" s="617">
        <f>SUM(E34:P34)</f>
        <v>0</v>
      </c>
    </row>
    <row r="35" spans="2:17" x14ac:dyDescent="0.25">
      <c r="B35" s="604">
        <v>2</v>
      </c>
      <c r="C35" s="601">
        <f t="shared" ref="C35:C43" si="12">D5</f>
        <v>0</v>
      </c>
      <c r="D35" s="612">
        <f t="shared" ref="D35:D43" si="13">L5</f>
        <v>0</v>
      </c>
      <c r="E35" s="612">
        <f t="shared" ref="E35:E43" si="14">$D35*M5</f>
        <v>0</v>
      </c>
      <c r="F35" s="612">
        <f t="shared" si="11"/>
        <v>0</v>
      </c>
      <c r="G35" s="612">
        <f t="shared" si="11"/>
        <v>0</v>
      </c>
      <c r="H35" s="612">
        <f t="shared" si="11"/>
        <v>0</v>
      </c>
      <c r="I35" s="612">
        <f t="shared" si="11"/>
        <v>0</v>
      </c>
      <c r="J35" s="612">
        <f t="shared" si="11"/>
        <v>0</v>
      </c>
      <c r="K35" s="612">
        <f t="shared" si="11"/>
        <v>0</v>
      </c>
      <c r="L35" s="612">
        <f t="shared" si="11"/>
        <v>0</v>
      </c>
      <c r="M35" s="612">
        <f t="shared" si="11"/>
        <v>0</v>
      </c>
      <c r="N35" s="612">
        <f t="shared" si="11"/>
        <v>0</v>
      </c>
      <c r="O35" s="612">
        <f t="shared" si="11"/>
        <v>0</v>
      </c>
      <c r="P35" s="612">
        <f t="shared" si="11"/>
        <v>0</v>
      </c>
      <c r="Q35" s="617">
        <f t="shared" ref="Q35:Q43" si="15">SUM(E35:P35)</f>
        <v>0</v>
      </c>
    </row>
    <row r="36" spans="2:17" x14ac:dyDescent="0.25">
      <c r="B36" s="604">
        <v>3</v>
      </c>
      <c r="C36" s="601">
        <f t="shared" si="12"/>
        <v>0</v>
      </c>
      <c r="D36" s="612">
        <f t="shared" si="13"/>
        <v>0</v>
      </c>
      <c r="E36" s="612">
        <f t="shared" si="14"/>
        <v>0</v>
      </c>
      <c r="F36" s="612">
        <f t="shared" si="11"/>
        <v>0</v>
      </c>
      <c r="G36" s="612">
        <f t="shared" si="11"/>
        <v>0</v>
      </c>
      <c r="H36" s="612">
        <f t="shared" si="11"/>
        <v>0</v>
      </c>
      <c r="I36" s="612">
        <f t="shared" si="11"/>
        <v>0</v>
      </c>
      <c r="J36" s="612">
        <f t="shared" si="11"/>
        <v>0</v>
      </c>
      <c r="K36" s="612">
        <f t="shared" si="11"/>
        <v>0</v>
      </c>
      <c r="L36" s="612">
        <f t="shared" si="11"/>
        <v>0</v>
      </c>
      <c r="M36" s="612">
        <f t="shared" si="11"/>
        <v>0</v>
      </c>
      <c r="N36" s="612">
        <f t="shared" si="11"/>
        <v>0</v>
      </c>
      <c r="O36" s="612">
        <f t="shared" si="11"/>
        <v>0</v>
      </c>
      <c r="P36" s="612">
        <f t="shared" si="11"/>
        <v>0</v>
      </c>
      <c r="Q36" s="617">
        <f t="shared" si="15"/>
        <v>0</v>
      </c>
    </row>
    <row r="37" spans="2:17" x14ac:dyDescent="0.25">
      <c r="B37" s="604">
        <v>4</v>
      </c>
      <c r="C37" s="601">
        <f t="shared" si="12"/>
        <v>0</v>
      </c>
      <c r="D37" s="612">
        <f t="shared" si="13"/>
        <v>0</v>
      </c>
      <c r="E37" s="612">
        <f t="shared" si="14"/>
        <v>0</v>
      </c>
      <c r="F37" s="612">
        <f t="shared" si="11"/>
        <v>0</v>
      </c>
      <c r="G37" s="612">
        <f t="shared" si="11"/>
        <v>0</v>
      </c>
      <c r="H37" s="612">
        <f t="shared" si="11"/>
        <v>0</v>
      </c>
      <c r="I37" s="612">
        <f t="shared" si="11"/>
        <v>0</v>
      </c>
      <c r="J37" s="612">
        <f t="shared" si="11"/>
        <v>0</v>
      </c>
      <c r="K37" s="612">
        <f t="shared" si="11"/>
        <v>0</v>
      </c>
      <c r="L37" s="612">
        <f t="shared" si="11"/>
        <v>0</v>
      </c>
      <c r="M37" s="612">
        <f t="shared" si="11"/>
        <v>0</v>
      </c>
      <c r="N37" s="612">
        <f t="shared" si="11"/>
        <v>0</v>
      </c>
      <c r="O37" s="612">
        <f t="shared" si="11"/>
        <v>0</v>
      </c>
      <c r="P37" s="612">
        <f t="shared" si="11"/>
        <v>0</v>
      </c>
      <c r="Q37" s="617">
        <f t="shared" si="15"/>
        <v>0</v>
      </c>
    </row>
    <row r="38" spans="2:17" x14ac:dyDescent="0.25">
      <c r="B38" s="604">
        <v>5</v>
      </c>
      <c r="C38" s="601">
        <f t="shared" si="12"/>
        <v>0</v>
      </c>
      <c r="D38" s="612">
        <f t="shared" si="13"/>
        <v>0</v>
      </c>
      <c r="E38" s="612">
        <f t="shared" si="14"/>
        <v>0</v>
      </c>
      <c r="F38" s="612">
        <f t="shared" si="11"/>
        <v>0</v>
      </c>
      <c r="G38" s="612">
        <f t="shared" si="11"/>
        <v>0</v>
      </c>
      <c r="H38" s="612">
        <f t="shared" si="11"/>
        <v>0</v>
      </c>
      <c r="I38" s="612">
        <f t="shared" si="11"/>
        <v>0</v>
      </c>
      <c r="J38" s="612">
        <f t="shared" si="11"/>
        <v>0</v>
      </c>
      <c r="K38" s="612">
        <f t="shared" si="11"/>
        <v>0</v>
      </c>
      <c r="L38" s="612">
        <f t="shared" si="11"/>
        <v>0</v>
      </c>
      <c r="M38" s="612">
        <f t="shared" si="11"/>
        <v>0</v>
      </c>
      <c r="N38" s="612">
        <f t="shared" si="11"/>
        <v>0</v>
      </c>
      <c r="O38" s="612">
        <f t="shared" si="11"/>
        <v>0</v>
      </c>
      <c r="P38" s="612">
        <f t="shared" si="11"/>
        <v>0</v>
      </c>
      <c r="Q38" s="617">
        <f t="shared" si="15"/>
        <v>0</v>
      </c>
    </row>
    <row r="39" spans="2:17" x14ac:dyDescent="0.25">
      <c r="B39" s="604">
        <v>6</v>
      </c>
      <c r="C39" s="601">
        <f t="shared" si="12"/>
        <v>0</v>
      </c>
      <c r="D39" s="612">
        <f t="shared" si="13"/>
        <v>0</v>
      </c>
      <c r="E39" s="612">
        <f t="shared" si="14"/>
        <v>0</v>
      </c>
      <c r="F39" s="612">
        <f t="shared" si="11"/>
        <v>0</v>
      </c>
      <c r="G39" s="612">
        <f t="shared" si="11"/>
        <v>0</v>
      </c>
      <c r="H39" s="612">
        <f t="shared" si="11"/>
        <v>0</v>
      </c>
      <c r="I39" s="612">
        <f t="shared" si="11"/>
        <v>0</v>
      </c>
      <c r="J39" s="612">
        <f t="shared" si="11"/>
        <v>0</v>
      </c>
      <c r="K39" s="612">
        <f t="shared" si="11"/>
        <v>0</v>
      </c>
      <c r="L39" s="612">
        <f t="shared" si="11"/>
        <v>0</v>
      </c>
      <c r="M39" s="612">
        <f t="shared" si="11"/>
        <v>0</v>
      </c>
      <c r="N39" s="612">
        <f t="shared" si="11"/>
        <v>0</v>
      </c>
      <c r="O39" s="612">
        <f t="shared" si="11"/>
        <v>0</v>
      </c>
      <c r="P39" s="612">
        <f t="shared" si="11"/>
        <v>0</v>
      </c>
      <c r="Q39" s="617">
        <f t="shared" si="15"/>
        <v>0</v>
      </c>
    </row>
    <row r="40" spans="2:17" x14ac:dyDescent="0.25">
      <c r="B40" s="604">
        <v>7</v>
      </c>
      <c r="C40" s="601">
        <f t="shared" si="12"/>
        <v>0</v>
      </c>
      <c r="D40" s="612">
        <f t="shared" si="13"/>
        <v>0</v>
      </c>
      <c r="E40" s="612">
        <f t="shared" si="14"/>
        <v>0</v>
      </c>
      <c r="F40" s="612">
        <f t="shared" si="11"/>
        <v>0</v>
      </c>
      <c r="G40" s="612">
        <f t="shared" si="11"/>
        <v>0</v>
      </c>
      <c r="H40" s="612">
        <f t="shared" si="11"/>
        <v>0</v>
      </c>
      <c r="I40" s="612">
        <f t="shared" si="11"/>
        <v>0</v>
      </c>
      <c r="J40" s="612">
        <f t="shared" si="11"/>
        <v>0</v>
      </c>
      <c r="K40" s="612">
        <f t="shared" si="11"/>
        <v>0</v>
      </c>
      <c r="L40" s="612">
        <f t="shared" si="11"/>
        <v>0</v>
      </c>
      <c r="M40" s="612">
        <f t="shared" si="11"/>
        <v>0</v>
      </c>
      <c r="N40" s="612">
        <f t="shared" si="11"/>
        <v>0</v>
      </c>
      <c r="O40" s="612">
        <f t="shared" si="11"/>
        <v>0</v>
      </c>
      <c r="P40" s="612">
        <f t="shared" si="11"/>
        <v>0</v>
      </c>
      <c r="Q40" s="617">
        <f t="shared" si="15"/>
        <v>0</v>
      </c>
    </row>
    <row r="41" spans="2:17" x14ac:dyDescent="0.25">
      <c r="B41" s="604">
        <v>8</v>
      </c>
      <c r="C41" s="601">
        <f t="shared" si="12"/>
        <v>0</v>
      </c>
      <c r="D41" s="612">
        <f t="shared" si="13"/>
        <v>0</v>
      </c>
      <c r="E41" s="612">
        <f t="shared" si="14"/>
        <v>0</v>
      </c>
      <c r="F41" s="612">
        <f t="shared" si="11"/>
        <v>0</v>
      </c>
      <c r="G41" s="612">
        <f t="shared" si="11"/>
        <v>0</v>
      </c>
      <c r="H41" s="612">
        <f t="shared" si="11"/>
        <v>0</v>
      </c>
      <c r="I41" s="612">
        <f t="shared" si="11"/>
        <v>0</v>
      </c>
      <c r="J41" s="612">
        <f t="shared" si="11"/>
        <v>0</v>
      </c>
      <c r="K41" s="612">
        <f t="shared" si="11"/>
        <v>0</v>
      </c>
      <c r="L41" s="612">
        <f t="shared" si="11"/>
        <v>0</v>
      </c>
      <c r="M41" s="612">
        <f t="shared" si="11"/>
        <v>0</v>
      </c>
      <c r="N41" s="612">
        <f t="shared" si="11"/>
        <v>0</v>
      </c>
      <c r="O41" s="612">
        <f t="shared" si="11"/>
        <v>0</v>
      </c>
      <c r="P41" s="612">
        <f t="shared" si="11"/>
        <v>0</v>
      </c>
      <c r="Q41" s="617">
        <f t="shared" si="15"/>
        <v>0</v>
      </c>
    </row>
    <row r="42" spans="2:17" x14ac:dyDescent="0.25">
      <c r="B42" s="604">
        <v>9</v>
      </c>
      <c r="C42" s="601">
        <f t="shared" si="12"/>
        <v>0</v>
      </c>
      <c r="D42" s="612">
        <f t="shared" si="13"/>
        <v>0</v>
      </c>
      <c r="E42" s="612">
        <f t="shared" si="14"/>
        <v>0</v>
      </c>
      <c r="F42" s="612">
        <f t="shared" si="11"/>
        <v>0</v>
      </c>
      <c r="G42" s="612">
        <f t="shared" si="11"/>
        <v>0</v>
      </c>
      <c r="H42" s="612">
        <f t="shared" si="11"/>
        <v>0</v>
      </c>
      <c r="I42" s="612">
        <f t="shared" si="11"/>
        <v>0</v>
      </c>
      <c r="J42" s="612">
        <f t="shared" si="11"/>
        <v>0</v>
      </c>
      <c r="K42" s="612">
        <f t="shared" si="11"/>
        <v>0</v>
      </c>
      <c r="L42" s="612">
        <f t="shared" si="11"/>
        <v>0</v>
      </c>
      <c r="M42" s="612">
        <f t="shared" si="11"/>
        <v>0</v>
      </c>
      <c r="N42" s="612">
        <f t="shared" si="11"/>
        <v>0</v>
      </c>
      <c r="O42" s="612">
        <f t="shared" si="11"/>
        <v>0</v>
      </c>
      <c r="P42" s="612">
        <f t="shared" si="11"/>
        <v>0</v>
      </c>
      <c r="Q42" s="617">
        <f t="shared" si="15"/>
        <v>0</v>
      </c>
    </row>
    <row r="43" spans="2:17" x14ac:dyDescent="0.25">
      <c r="B43" s="604">
        <v>10</v>
      </c>
      <c r="C43" s="601">
        <f t="shared" si="12"/>
        <v>0</v>
      </c>
      <c r="D43" s="612">
        <f t="shared" si="13"/>
        <v>0</v>
      </c>
      <c r="E43" s="612">
        <f t="shared" si="14"/>
        <v>0</v>
      </c>
      <c r="F43" s="612">
        <f t="shared" si="11"/>
        <v>0</v>
      </c>
      <c r="G43" s="612">
        <f t="shared" si="11"/>
        <v>0</v>
      </c>
      <c r="H43" s="612">
        <f t="shared" si="11"/>
        <v>0</v>
      </c>
      <c r="I43" s="612">
        <f t="shared" si="11"/>
        <v>0</v>
      </c>
      <c r="J43" s="612">
        <f t="shared" si="11"/>
        <v>0</v>
      </c>
      <c r="K43" s="612">
        <f t="shared" si="11"/>
        <v>0</v>
      </c>
      <c r="L43" s="612">
        <f t="shared" si="11"/>
        <v>0</v>
      </c>
      <c r="M43" s="612">
        <f t="shared" si="11"/>
        <v>0</v>
      </c>
      <c r="N43" s="612">
        <f t="shared" si="11"/>
        <v>0</v>
      </c>
      <c r="O43" s="612">
        <f t="shared" si="11"/>
        <v>0</v>
      </c>
      <c r="P43" s="612">
        <f t="shared" si="11"/>
        <v>0</v>
      </c>
      <c r="Q43" s="617">
        <f t="shared" si="15"/>
        <v>0</v>
      </c>
    </row>
    <row r="44" spans="2:17" ht="12" thickBot="1" x14ac:dyDescent="0.3">
      <c r="B44" s="568"/>
      <c r="C44" s="618" t="s">
        <v>98</v>
      </c>
      <c r="D44" s="616">
        <f>SUM(D34:D43)</f>
        <v>0</v>
      </c>
      <c r="E44" s="616">
        <f t="shared" ref="E44" si="16">SUM(E34:E43)</f>
        <v>0</v>
      </c>
      <c r="F44" s="616">
        <f t="shared" ref="F44" si="17">SUM(F34:F43)</f>
        <v>0</v>
      </c>
      <c r="G44" s="616">
        <f t="shared" ref="G44" si="18">SUM(G34:G43)</f>
        <v>0</v>
      </c>
      <c r="H44" s="616">
        <f t="shared" ref="H44" si="19">SUM(H34:H43)</f>
        <v>0</v>
      </c>
      <c r="I44" s="616">
        <f t="shared" ref="I44" si="20">SUM(I34:I43)</f>
        <v>0</v>
      </c>
      <c r="J44" s="616">
        <f t="shared" ref="J44" si="21">SUM(J34:J43)</f>
        <v>0</v>
      </c>
      <c r="K44" s="616">
        <f t="shared" ref="K44" si="22">SUM(K34:K43)</f>
        <v>0</v>
      </c>
      <c r="L44" s="616">
        <f t="shared" ref="L44" si="23">SUM(L34:L43)</f>
        <v>0</v>
      </c>
      <c r="M44" s="616">
        <f t="shared" ref="M44" si="24">SUM(M34:M43)</f>
        <v>0</v>
      </c>
      <c r="N44" s="616">
        <f t="shared" ref="N44" si="25">SUM(N34:N43)</f>
        <v>0</v>
      </c>
      <c r="O44" s="616">
        <f t="shared" ref="O44" si="26">SUM(O34:O43)</f>
        <v>0</v>
      </c>
      <c r="P44" s="616">
        <f t="shared" ref="P44" si="27">SUM(P34:P43)</f>
        <v>0</v>
      </c>
      <c r="Q44" s="619">
        <f t="shared" ref="Q44" si="28">SUM(Q34:Q43)</f>
        <v>0</v>
      </c>
    </row>
  </sheetData>
  <mergeCells count="14">
    <mergeCell ref="B32:B33"/>
    <mergeCell ref="C32:C33"/>
    <mergeCell ref="D32:D33"/>
    <mergeCell ref="E32:Q32"/>
    <mergeCell ref="M2:Y2"/>
    <mergeCell ref="B17:B18"/>
    <mergeCell ref="D17:D18"/>
    <mergeCell ref="E17:Q17"/>
    <mergeCell ref="C17:C18"/>
    <mergeCell ref="B2:B3"/>
    <mergeCell ref="E2:G2"/>
    <mergeCell ref="H2:J2"/>
    <mergeCell ref="K2:L2"/>
    <mergeCell ref="C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B2:Q152"/>
  <sheetViews>
    <sheetView topLeftCell="A45" zoomScale="80" zoomScaleNormal="80" workbookViewId="0">
      <selection activeCell="D68" sqref="D68"/>
    </sheetView>
  </sheetViews>
  <sheetFormatPr defaultRowHeight="11" x14ac:dyDescent="0.25"/>
  <cols>
    <col min="2" max="2" width="6.21875" customWidth="1"/>
    <col min="3" max="3" width="37" customWidth="1"/>
    <col min="4" max="4" width="12.33203125" customWidth="1"/>
    <col min="5" max="5" width="11.33203125" customWidth="1"/>
    <col min="6" max="7" width="10.33203125" bestFit="1" customWidth="1"/>
    <col min="11" max="11" width="11.77734375" customWidth="1"/>
    <col min="17" max="17" width="13.109375" customWidth="1"/>
  </cols>
  <sheetData>
    <row r="2" spans="2:17" ht="14.5" thickBot="1" x14ac:dyDescent="0.35">
      <c r="B2" s="387" t="str">
        <f>E3</f>
        <v>เครื่องมือแพทย์</v>
      </c>
    </row>
    <row r="3" spans="2:17" s="330" customFormat="1" ht="11.5" x14ac:dyDescent="0.25">
      <c r="B3" s="804" t="s">
        <v>276</v>
      </c>
      <c r="C3" s="806" t="s">
        <v>96</v>
      </c>
      <c r="D3" s="808" t="s">
        <v>150</v>
      </c>
      <c r="E3" s="810" t="str">
        <f>C68</f>
        <v>เครื่องมือแพทย์</v>
      </c>
      <c r="F3" s="811"/>
      <c r="G3" s="811"/>
      <c r="H3" s="811"/>
      <c r="I3" s="811"/>
      <c r="J3" s="811"/>
      <c r="K3" s="811"/>
      <c r="L3" s="811"/>
      <c r="M3" s="811"/>
      <c r="N3" s="811"/>
      <c r="O3" s="811"/>
      <c r="P3" s="811"/>
      <c r="Q3" s="812"/>
    </row>
    <row r="4" spans="2:17" s="330" customFormat="1" ht="12" thickBot="1" x14ac:dyDescent="0.3">
      <c r="B4" s="805"/>
      <c r="C4" s="807"/>
      <c r="D4" s="809"/>
      <c r="E4" s="331" t="s">
        <v>279</v>
      </c>
      <c r="F4" s="332" t="s">
        <v>280</v>
      </c>
      <c r="G4" s="332" t="s">
        <v>281</v>
      </c>
      <c r="H4" s="332" t="s">
        <v>282</v>
      </c>
      <c r="I4" s="332" t="s">
        <v>33</v>
      </c>
      <c r="J4" s="332" t="s">
        <v>283</v>
      </c>
      <c r="K4" s="332" t="s">
        <v>284</v>
      </c>
      <c r="L4" s="332" t="s">
        <v>285</v>
      </c>
      <c r="M4" s="332" t="s">
        <v>286</v>
      </c>
      <c r="N4" s="332" t="s">
        <v>287</v>
      </c>
      <c r="O4" s="332" t="s">
        <v>288</v>
      </c>
      <c r="P4" s="332" t="s">
        <v>289</v>
      </c>
      <c r="Q4" s="333" t="s">
        <v>98</v>
      </c>
    </row>
    <row r="5" spans="2:17" s="330" customFormat="1" ht="11.5" x14ac:dyDescent="0.25">
      <c r="B5" s="334">
        <v>1</v>
      </c>
      <c r="C5" s="335"/>
      <c r="D5" s="336">
        <f t="shared" ref="D5:D29" si="0">IFERROR(VLOOKUP(C5,$C$68:$D$152,2,0),0)</f>
        <v>0</v>
      </c>
      <c r="E5" s="337"/>
      <c r="F5" s="338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9">
        <f t="shared" ref="Q5:Q30" si="1">SUM(E5:P5)</f>
        <v>0</v>
      </c>
    </row>
    <row r="6" spans="2:17" s="330" customFormat="1" ht="11.5" x14ac:dyDescent="0.25">
      <c r="B6" s="340">
        <v>2</v>
      </c>
      <c r="C6" s="335"/>
      <c r="D6" s="336">
        <f t="shared" si="0"/>
        <v>0</v>
      </c>
      <c r="E6" s="341"/>
      <c r="F6" s="342"/>
      <c r="G6" s="342"/>
      <c r="H6" s="342"/>
      <c r="I6" s="342"/>
      <c r="J6" s="342"/>
      <c r="K6" s="342"/>
      <c r="L6" s="342"/>
      <c r="M6" s="342"/>
      <c r="N6" s="342"/>
      <c r="O6" s="342"/>
      <c r="P6" s="342"/>
      <c r="Q6" s="343">
        <f t="shared" si="1"/>
        <v>0</v>
      </c>
    </row>
    <row r="7" spans="2:17" s="330" customFormat="1" ht="11.5" x14ac:dyDescent="0.25">
      <c r="B7" s="340">
        <v>3</v>
      </c>
      <c r="C7" s="335"/>
      <c r="D7" s="336">
        <f t="shared" si="0"/>
        <v>0</v>
      </c>
      <c r="E7" s="341"/>
      <c r="F7" s="342"/>
      <c r="G7" s="342"/>
      <c r="H7" s="342"/>
      <c r="I7" s="342"/>
      <c r="J7" s="342"/>
      <c r="K7" s="342"/>
      <c r="L7" s="342"/>
      <c r="M7" s="342"/>
      <c r="N7" s="342"/>
      <c r="O7" s="342"/>
      <c r="P7" s="342"/>
      <c r="Q7" s="343">
        <f t="shared" si="1"/>
        <v>0</v>
      </c>
    </row>
    <row r="8" spans="2:17" s="330" customFormat="1" ht="11.5" x14ac:dyDescent="0.25">
      <c r="B8" s="340">
        <v>4</v>
      </c>
      <c r="C8" s="335"/>
      <c r="D8" s="336">
        <f t="shared" si="0"/>
        <v>0</v>
      </c>
      <c r="E8" s="341"/>
      <c r="F8" s="342"/>
      <c r="G8" s="342"/>
      <c r="H8" s="342"/>
      <c r="I8" s="342"/>
      <c r="J8" s="342"/>
      <c r="K8" s="342"/>
      <c r="L8" s="342"/>
      <c r="M8" s="342"/>
      <c r="N8" s="342"/>
      <c r="O8" s="342"/>
      <c r="P8" s="342"/>
      <c r="Q8" s="343">
        <f t="shared" si="1"/>
        <v>0</v>
      </c>
    </row>
    <row r="9" spans="2:17" s="330" customFormat="1" ht="11.5" x14ac:dyDescent="0.25">
      <c r="B9" s="340">
        <v>5</v>
      </c>
      <c r="C9" s="335"/>
      <c r="D9" s="336">
        <f t="shared" si="0"/>
        <v>0</v>
      </c>
      <c r="E9" s="341"/>
      <c r="F9" s="342"/>
      <c r="G9" s="342"/>
      <c r="H9" s="342"/>
      <c r="I9" s="342"/>
      <c r="J9" s="342"/>
      <c r="K9" s="342"/>
      <c r="L9" s="342"/>
      <c r="M9" s="342"/>
      <c r="N9" s="342"/>
      <c r="O9" s="342"/>
      <c r="P9" s="342"/>
      <c r="Q9" s="343">
        <f t="shared" si="1"/>
        <v>0</v>
      </c>
    </row>
    <row r="10" spans="2:17" s="330" customFormat="1" ht="11.5" x14ac:dyDescent="0.25">
      <c r="B10" s="340">
        <v>6</v>
      </c>
      <c r="C10" s="335"/>
      <c r="D10" s="336">
        <f t="shared" si="0"/>
        <v>0</v>
      </c>
      <c r="E10" s="341"/>
      <c r="F10" s="342"/>
      <c r="G10" s="342"/>
      <c r="H10" s="342"/>
      <c r="I10" s="342"/>
      <c r="J10" s="342"/>
      <c r="K10" s="342"/>
      <c r="L10" s="342"/>
      <c r="M10" s="342"/>
      <c r="N10" s="342"/>
      <c r="O10" s="342"/>
      <c r="P10" s="342"/>
      <c r="Q10" s="343">
        <f t="shared" si="1"/>
        <v>0</v>
      </c>
    </row>
    <row r="11" spans="2:17" s="330" customFormat="1" ht="11.5" x14ac:dyDescent="0.25">
      <c r="B11" s="340">
        <v>7</v>
      </c>
      <c r="C11" s="335"/>
      <c r="D11" s="336">
        <f t="shared" si="0"/>
        <v>0</v>
      </c>
      <c r="E11" s="341"/>
      <c r="F11" s="342"/>
      <c r="G11" s="342"/>
      <c r="H11" s="342"/>
      <c r="I11" s="342"/>
      <c r="J11" s="342"/>
      <c r="K11" s="342"/>
      <c r="L11" s="342"/>
      <c r="M11" s="342"/>
      <c r="N11" s="342"/>
      <c r="O11" s="342"/>
      <c r="P11" s="342"/>
      <c r="Q11" s="343">
        <f t="shared" si="1"/>
        <v>0</v>
      </c>
    </row>
    <row r="12" spans="2:17" s="330" customFormat="1" ht="11.5" x14ac:dyDescent="0.25">
      <c r="B12" s="340">
        <v>8</v>
      </c>
      <c r="C12" s="335"/>
      <c r="D12" s="336">
        <f t="shared" si="0"/>
        <v>0</v>
      </c>
      <c r="E12" s="341"/>
      <c r="F12" s="342"/>
      <c r="G12" s="342"/>
      <c r="H12" s="342"/>
      <c r="I12" s="342"/>
      <c r="J12" s="342"/>
      <c r="K12" s="342"/>
      <c r="L12" s="342"/>
      <c r="M12" s="342"/>
      <c r="N12" s="342"/>
      <c r="O12" s="342"/>
      <c r="P12" s="342"/>
      <c r="Q12" s="343">
        <f t="shared" si="1"/>
        <v>0</v>
      </c>
    </row>
    <row r="13" spans="2:17" s="330" customFormat="1" ht="11.5" x14ac:dyDescent="0.25">
      <c r="B13" s="340">
        <v>9</v>
      </c>
      <c r="C13" s="335"/>
      <c r="D13" s="336">
        <f t="shared" si="0"/>
        <v>0</v>
      </c>
      <c r="E13" s="341"/>
      <c r="F13" s="342"/>
      <c r="G13" s="342"/>
      <c r="H13" s="342"/>
      <c r="I13" s="342"/>
      <c r="J13" s="342"/>
      <c r="K13" s="342"/>
      <c r="L13" s="342"/>
      <c r="M13" s="342"/>
      <c r="N13" s="342"/>
      <c r="O13" s="342"/>
      <c r="P13" s="342"/>
      <c r="Q13" s="343">
        <f t="shared" si="1"/>
        <v>0</v>
      </c>
    </row>
    <row r="14" spans="2:17" s="330" customFormat="1" ht="11.5" x14ac:dyDescent="0.25">
      <c r="B14" s="340">
        <v>10</v>
      </c>
      <c r="C14" s="335"/>
      <c r="D14" s="336">
        <f t="shared" si="0"/>
        <v>0</v>
      </c>
      <c r="E14" s="341"/>
      <c r="F14" s="342"/>
      <c r="G14" s="342"/>
      <c r="H14" s="342"/>
      <c r="I14" s="342"/>
      <c r="J14" s="342"/>
      <c r="K14" s="342"/>
      <c r="L14" s="342"/>
      <c r="M14" s="342"/>
      <c r="N14" s="342"/>
      <c r="O14" s="342"/>
      <c r="P14" s="342"/>
      <c r="Q14" s="343">
        <f t="shared" si="1"/>
        <v>0</v>
      </c>
    </row>
    <row r="15" spans="2:17" s="330" customFormat="1" ht="11.5" x14ac:dyDescent="0.25">
      <c r="B15" s="340">
        <v>11</v>
      </c>
      <c r="C15" s="335"/>
      <c r="D15" s="336">
        <f t="shared" si="0"/>
        <v>0</v>
      </c>
      <c r="E15" s="388"/>
      <c r="F15" s="389"/>
      <c r="G15" s="389"/>
      <c r="H15" s="389"/>
      <c r="I15" s="389"/>
      <c r="J15" s="389"/>
      <c r="K15" s="389"/>
      <c r="L15" s="389"/>
      <c r="M15" s="389"/>
      <c r="N15" s="389"/>
      <c r="O15" s="389"/>
      <c r="P15" s="389"/>
      <c r="Q15" s="343">
        <f t="shared" si="1"/>
        <v>0</v>
      </c>
    </row>
    <row r="16" spans="2:17" s="330" customFormat="1" ht="11.5" x14ac:dyDescent="0.25">
      <c r="B16" s="340">
        <v>12</v>
      </c>
      <c r="C16" s="335"/>
      <c r="D16" s="336">
        <f t="shared" si="0"/>
        <v>0</v>
      </c>
      <c r="E16" s="388"/>
      <c r="F16" s="389"/>
      <c r="G16" s="389"/>
      <c r="H16" s="389"/>
      <c r="I16" s="389"/>
      <c r="J16" s="389"/>
      <c r="K16" s="389"/>
      <c r="L16" s="389"/>
      <c r="M16" s="389"/>
      <c r="N16" s="389"/>
      <c r="O16" s="389"/>
      <c r="P16" s="389"/>
      <c r="Q16" s="343">
        <f t="shared" si="1"/>
        <v>0</v>
      </c>
    </row>
    <row r="17" spans="2:17" s="330" customFormat="1" ht="11.5" x14ac:dyDescent="0.25">
      <c r="B17" s="340">
        <v>13</v>
      </c>
      <c r="C17" s="335"/>
      <c r="D17" s="336">
        <f t="shared" si="0"/>
        <v>0</v>
      </c>
      <c r="E17" s="388"/>
      <c r="F17" s="389"/>
      <c r="G17" s="389"/>
      <c r="H17" s="389"/>
      <c r="I17" s="389"/>
      <c r="J17" s="389"/>
      <c r="K17" s="389"/>
      <c r="L17" s="389"/>
      <c r="M17" s="389"/>
      <c r="N17" s="389"/>
      <c r="O17" s="389"/>
      <c r="P17" s="389"/>
      <c r="Q17" s="343">
        <f t="shared" si="1"/>
        <v>0</v>
      </c>
    </row>
    <row r="18" spans="2:17" s="330" customFormat="1" ht="11.5" x14ac:dyDescent="0.25">
      <c r="B18" s="340">
        <v>14</v>
      </c>
      <c r="C18" s="335"/>
      <c r="D18" s="336">
        <f t="shared" si="0"/>
        <v>0</v>
      </c>
      <c r="E18" s="388"/>
      <c r="F18" s="389"/>
      <c r="G18" s="389"/>
      <c r="H18" s="389"/>
      <c r="I18" s="389"/>
      <c r="J18" s="389"/>
      <c r="K18" s="389"/>
      <c r="L18" s="389"/>
      <c r="M18" s="389"/>
      <c r="N18" s="389"/>
      <c r="O18" s="389"/>
      <c r="P18" s="389"/>
      <c r="Q18" s="343">
        <f t="shared" si="1"/>
        <v>0</v>
      </c>
    </row>
    <row r="19" spans="2:17" s="330" customFormat="1" ht="11.5" x14ac:dyDescent="0.25">
      <c r="B19" s="340">
        <v>15</v>
      </c>
      <c r="C19" s="335"/>
      <c r="D19" s="336">
        <f t="shared" si="0"/>
        <v>0</v>
      </c>
      <c r="E19" s="388"/>
      <c r="F19" s="389"/>
      <c r="G19" s="389"/>
      <c r="H19" s="389"/>
      <c r="I19" s="389"/>
      <c r="J19" s="389"/>
      <c r="K19" s="389"/>
      <c r="L19" s="389"/>
      <c r="M19" s="389"/>
      <c r="N19" s="389"/>
      <c r="O19" s="389"/>
      <c r="P19" s="389"/>
      <c r="Q19" s="343">
        <f t="shared" si="1"/>
        <v>0</v>
      </c>
    </row>
    <row r="20" spans="2:17" s="330" customFormat="1" ht="11.5" x14ac:dyDescent="0.25">
      <c r="B20" s="340">
        <v>16</v>
      </c>
      <c r="C20" s="335"/>
      <c r="D20" s="336">
        <f t="shared" si="0"/>
        <v>0</v>
      </c>
      <c r="E20" s="388"/>
      <c r="F20" s="389"/>
      <c r="G20" s="389"/>
      <c r="H20" s="389"/>
      <c r="I20" s="389"/>
      <c r="J20" s="389"/>
      <c r="K20" s="389"/>
      <c r="L20" s="389"/>
      <c r="M20" s="389"/>
      <c r="N20" s="389"/>
      <c r="O20" s="389"/>
      <c r="P20" s="389"/>
      <c r="Q20" s="343">
        <f t="shared" si="1"/>
        <v>0</v>
      </c>
    </row>
    <row r="21" spans="2:17" s="330" customFormat="1" ht="11.5" x14ac:dyDescent="0.25">
      <c r="B21" s="340">
        <v>17</v>
      </c>
      <c r="C21" s="335"/>
      <c r="D21" s="336">
        <f t="shared" si="0"/>
        <v>0</v>
      </c>
      <c r="E21" s="388"/>
      <c r="F21" s="389"/>
      <c r="G21" s="389"/>
      <c r="H21" s="389"/>
      <c r="I21" s="389"/>
      <c r="J21" s="389"/>
      <c r="K21" s="389"/>
      <c r="L21" s="389"/>
      <c r="M21" s="389"/>
      <c r="N21" s="389"/>
      <c r="O21" s="389"/>
      <c r="P21" s="389"/>
      <c r="Q21" s="343">
        <f t="shared" si="1"/>
        <v>0</v>
      </c>
    </row>
    <row r="22" spans="2:17" s="330" customFormat="1" ht="11.5" x14ac:dyDescent="0.25">
      <c r="B22" s="340">
        <v>18</v>
      </c>
      <c r="C22" s="335"/>
      <c r="D22" s="336">
        <f t="shared" si="0"/>
        <v>0</v>
      </c>
      <c r="E22" s="388"/>
      <c r="F22" s="389"/>
      <c r="G22" s="389"/>
      <c r="H22" s="389"/>
      <c r="I22" s="389"/>
      <c r="J22" s="389"/>
      <c r="K22" s="389"/>
      <c r="L22" s="389"/>
      <c r="M22" s="389"/>
      <c r="N22" s="389"/>
      <c r="O22" s="389"/>
      <c r="P22" s="389"/>
      <c r="Q22" s="343">
        <f t="shared" si="1"/>
        <v>0</v>
      </c>
    </row>
    <row r="23" spans="2:17" s="330" customFormat="1" ht="11.5" x14ac:dyDescent="0.25">
      <c r="B23" s="340">
        <v>19</v>
      </c>
      <c r="C23" s="335"/>
      <c r="D23" s="336">
        <f t="shared" si="0"/>
        <v>0</v>
      </c>
      <c r="E23" s="388"/>
      <c r="F23" s="389"/>
      <c r="G23" s="389"/>
      <c r="H23" s="389"/>
      <c r="I23" s="389"/>
      <c r="J23" s="389"/>
      <c r="K23" s="389"/>
      <c r="L23" s="389"/>
      <c r="M23" s="389"/>
      <c r="N23" s="389"/>
      <c r="O23" s="389"/>
      <c r="P23" s="389"/>
      <c r="Q23" s="343">
        <f t="shared" si="1"/>
        <v>0</v>
      </c>
    </row>
    <row r="24" spans="2:17" s="330" customFormat="1" ht="11.5" x14ac:dyDescent="0.25">
      <c r="B24" s="340">
        <v>20</v>
      </c>
      <c r="C24" s="335"/>
      <c r="D24" s="336">
        <f t="shared" si="0"/>
        <v>0</v>
      </c>
      <c r="E24" s="388"/>
      <c r="F24" s="389"/>
      <c r="G24" s="389"/>
      <c r="H24" s="389"/>
      <c r="I24" s="389"/>
      <c r="J24" s="389"/>
      <c r="K24" s="389"/>
      <c r="L24" s="389"/>
      <c r="M24" s="389"/>
      <c r="N24" s="389"/>
      <c r="O24" s="389"/>
      <c r="P24" s="389"/>
      <c r="Q24" s="343">
        <f t="shared" si="1"/>
        <v>0</v>
      </c>
    </row>
    <row r="25" spans="2:17" s="330" customFormat="1" ht="11.5" x14ac:dyDescent="0.25">
      <c r="B25" s="340">
        <v>21</v>
      </c>
      <c r="C25" s="335"/>
      <c r="D25" s="336">
        <f t="shared" si="0"/>
        <v>0</v>
      </c>
      <c r="E25" s="388"/>
      <c r="F25" s="389"/>
      <c r="G25" s="389"/>
      <c r="H25" s="389"/>
      <c r="I25" s="389"/>
      <c r="J25" s="389"/>
      <c r="K25" s="389"/>
      <c r="L25" s="389"/>
      <c r="M25" s="389"/>
      <c r="N25" s="389"/>
      <c r="O25" s="389"/>
      <c r="P25" s="389"/>
      <c r="Q25" s="343">
        <f t="shared" si="1"/>
        <v>0</v>
      </c>
    </row>
    <row r="26" spans="2:17" s="330" customFormat="1" ht="11.5" x14ac:dyDescent="0.25">
      <c r="B26" s="340">
        <v>22</v>
      </c>
      <c r="C26" s="335"/>
      <c r="D26" s="336">
        <f t="shared" si="0"/>
        <v>0</v>
      </c>
      <c r="E26" s="388"/>
      <c r="F26" s="389"/>
      <c r="G26" s="389"/>
      <c r="H26" s="389"/>
      <c r="I26" s="389"/>
      <c r="J26" s="389"/>
      <c r="K26" s="389"/>
      <c r="L26" s="389"/>
      <c r="M26" s="389"/>
      <c r="N26" s="389"/>
      <c r="O26" s="389"/>
      <c r="P26" s="389"/>
      <c r="Q26" s="343">
        <f t="shared" si="1"/>
        <v>0</v>
      </c>
    </row>
    <row r="27" spans="2:17" s="330" customFormat="1" ht="11.5" x14ac:dyDescent="0.25">
      <c r="B27" s="340">
        <v>23</v>
      </c>
      <c r="C27" s="335"/>
      <c r="D27" s="336">
        <f t="shared" si="0"/>
        <v>0</v>
      </c>
      <c r="E27" s="388"/>
      <c r="F27" s="389"/>
      <c r="G27" s="389"/>
      <c r="H27" s="389"/>
      <c r="I27" s="389"/>
      <c r="J27" s="389"/>
      <c r="K27" s="389"/>
      <c r="L27" s="389"/>
      <c r="M27" s="389"/>
      <c r="N27" s="389"/>
      <c r="O27" s="389"/>
      <c r="P27" s="389"/>
      <c r="Q27" s="343">
        <f t="shared" si="1"/>
        <v>0</v>
      </c>
    </row>
    <row r="28" spans="2:17" s="330" customFormat="1" ht="11.5" x14ac:dyDescent="0.25">
      <c r="B28" s="340">
        <v>24</v>
      </c>
      <c r="C28" s="335"/>
      <c r="D28" s="336">
        <f t="shared" si="0"/>
        <v>0</v>
      </c>
      <c r="E28" s="388"/>
      <c r="F28" s="389"/>
      <c r="G28" s="389"/>
      <c r="H28" s="389"/>
      <c r="I28" s="389"/>
      <c r="J28" s="389"/>
      <c r="K28" s="389"/>
      <c r="L28" s="389"/>
      <c r="M28" s="389"/>
      <c r="N28" s="389"/>
      <c r="O28" s="389"/>
      <c r="P28" s="389"/>
      <c r="Q28" s="343">
        <f t="shared" si="1"/>
        <v>0</v>
      </c>
    </row>
    <row r="29" spans="2:17" s="330" customFormat="1" ht="11.5" x14ac:dyDescent="0.25">
      <c r="B29" s="340">
        <v>25</v>
      </c>
      <c r="C29" s="335"/>
      <c r="D29" s="336">
        <f t="shared" si="0"/>
        <v>0</v>
      </c>
      <c r="E29" s="388"/>
      <c r="F29" s="389"/>
      <c r="G29" s="389"/>
      <c r="H29" s="389"/>
      <c r="I29" s="389"/>
      <c r="J29" s="389"/>
      <c r="K29" s="389"/>
      <c r="L29" s="389"/>
      <c r="M29" s="389"/>
      <c r="N29" s="389"/>
      <c r="O29" s="389"/>
      <c r="P29" s="389"/>
      <c r="Q29" s="343">
        <f t="shared" si="1"/>
        <v>0</v>
      </c>
    </row>
    <row r="30" spans="2:17" s="330" customFormat="1" ht="12" thickBot="1" x14ac:dyDescent="0.3">
      <c r="B30" s="344"/>
      <c r="C30" s="345"/>
      <c r="D30" s="346"/>
      <c r="E30" s="347"/>
      <c r="F30" s="348"/>
      <c r="G30" s="348"/>
      <c r="H30" s="348"/>
      <c r="I30" s="348"/>
      <c r="J30" s="348"/>
      <c r="K30" s="348"/>
      <c r="L30" s="348"/>
      <c r="M30" s="348"/>
      <c r="N30" s="348"/>
      <c r="O30" s="348"/>
      <c r="P30" s="348"/>
      <c r="Q30" s="349">
        <f t="shared" si="1"/>
        <v>0</v>
      </c>
    </row>
    <row r="31" spans="2:17" s="330" customFormat="1" ht="12" thickBot="1" x14ac:dyDescent="0.3">
      <c r="B31" s="350"/>
      <c r="C31" s="351" t="s">
        <v>290</v>
      </c>
      <c r="D31" s="390"/>
      <c r="E31" s="352">
        <f>SUM(E5:E30)</f>
        <v>0</v>
      </c>
      <c r="F31" s="353">
        <f t="shared" ref="F31:Q31" si="2">SUM(F5:F30)</f>
        <v>0</v>
      </c>
      <c r="G31" s="353">
        <f t="shared" si="2"/>
        <v>0</v>
      </c>
      <c r="H31" s="353">
        <f t="shared" si="2"/>
        <v>0</v>
      </c>
      <c r="I31" s="353">
        <f t="shared" si="2"/>
        <v>0</v>
      </c>
      <c r="J31" s="353">
        <f t="shared" si="2"/>
        <v>0</v>
      </c>
      <c r="K31" s="353">
        <f t="shared" si="2"/>
        <v>0</v>
      </c>
      <c r="L31" s="353">
        <f t="shared" si="2"/>
        <v>0</v>
      </c>
      <c r="M31" s="353">
        <f t="shared" si="2"/>
        <v>0</v>
      </c>
      <c r="N31" s="353">
        <f t="shared" si="2"/>
        <v>0</v>
      </c>
      <c r="O31" s="353">
        <f t="shared" si="2"/>
        <v>0</v>
      </c>
      <c r="P31" s="353">
        <f t="shared" si="2"/>
        <v>0</v>
      </c>
      <c r="Q31" s="354">
        <f t="shared" si="2"/>
        <v>0</v>
      </c>
    </row>
    <row r="32" spans="2:17" ht="11.5" thickBot="1" x14ac:dyDescent="0.3"/>
    <row r="33" spans="2:17" s="330" customFormat="1" ht="11.5" x14ac:dyDescent="0.25">
      <c r="B33" s="804" t="s">
        <v>276</v>
      </c>
      <c r="C33" s="806" t="s">
        <v>277</v>
      </c>
      <c r="D33" s="808" t="s">
        <v>150</v>
      </c>
      <c r="E33" s="810" t="s">
        <v>459</v>
      </c>
      <c r="F33" s="811"/>
      <c r="G33" s="811"/>
      <c r="H33" s="811"/>
      <c r="I33" s="811"/>
      <c r="J33" s="811"/>
      <c r="K33" s="811"/>
      <c r="L33" s="811"/>
      <c r="M33" s="811"/>
      <c r="N33" s="811"/>
      <c r="O33" s="811"/>
      <c r="P33" s="811"/>
      <c r="Q33" s="812"/>
    </row>
    <row r="34" spans="2:17" s="330" customFormat="1" ht="12" thickBot="1" x14ac:dyDescent="0.3">
      <c r="B34" s="805"/>
      <c r="C34" s="807"/>
      <c r="D34" s="809"/>
      <c r="E34" s="331" t="s">
        <v>279</v>
      </c>
      <c r="F34" s="332" t="s">
        <v>280</v>
      </c>
      <c r="G34" s="332" t="s">
        <v>281</v>
      </c>
      <c r="H34" s="332" t="s">
        <v>282</v>
      </c>
      <c r="I34" s="332" t="s">
        <v>33</v>
      </c>
      <c r="J34" s="332" t="s">
        <v>283</v>
      </c>
      <c r="K34" s="332" t="s">
        <v>284</v>
      </c>
      <c r="L34" s="332" t="s">
        <v>285</v>
      </c>
      <c r="M34" s="332" t="s">
        <v>286</v>
      </c>
      <c r="N34" s="332" t="s">
        <v>287</v>
      </c>
      <c r="O34" s="332" t="s">
        <v>288</v>
      </c>
      <c r="P34" s="332" t="s">
        <v>289</v>
      </c>
      <c r="Q34" s="333" t="s">
        <v>98</v>
      </c>
    </row>
    <row r="35" spans="2:17" s="330" customFormat="1" ht="11.5" x14ac:dyDescent="0.25">
      <c r="B35" s="334">
        <v>1</v>
      </c>
      <c r="C35" s="355">
        <f t="shared" ref="C35:D50" si="3">C5</f>
        <v>0</v>
      </c>
      <c r="D35" s="356">
        <f t="shared" si="3"/>
        <v>0</v>
      </c>
      <c r="E35" s="357">
        <f t="shared" ref="E35:P50" si="4">$D35*E5</f>
        <v>0</v>
      </c>
      <c r="F35" s="358">
        <f t="shared" si="4"/>
        <v>0</v>
      </c>
      <c r="G35" s="358">
        <f t="shared" si="4"/>
        <v>0</v>
      </c>
      <c r="H35" s="358">
        <f t="shared" si="4"/>
        <v>0</v>
      </c>
      <c r="I35" s="358">
        <f t="shared" si="4"/>
        <v>0</v>
      </c>
      <c r="J35" s="358">
        <f t="shared" si="4"/>
        <v>0</v>
      </c>
      <c r="K35" s="358">
        <f t="shared" si="4"/>
        <v>0</v>
      </c>
      <c r="L35" s="358">
        <f t="shared" si="4"/>
        <v>0</v>
      </c>
      <c r="M35" s="358">
        <f t="shared" si="4"/>
        <v>0</v>
      </c>
      <c r="N35" s="358">
        <f t="shared" si="4"/>
        <v>0</v>
      </c>
      <c r="O35" s="358">
        <f t="shared" si="4"/>
        <v>0</v>
      </c>
      <c r="P35" s="358">
        <f t="shared" si="4"/>
        <v>0</v>
      </c>
      <c r="Q35" s="359">
        <f>SUM(E35:P35)</f>
        <v>0</v>
      </c>
    </row>
    <row r="36" spans="2:17" s="330" customFormat="1" ht="11.5" x14ac:dyDescent="0.25">
      <c r="B36" s="340">
        <v>2</v>
      </c>
      <c r="C36" s="360">
        <f t="shared" si="3"/>
        <v>0</v>
      </c>
      <c r="D36" s="356">
        <f t="shared" si="3"/>
        <v>0</v>
      </c>
      <c r="E36" s="361">
        <f t="shared" si="4"/>
        <v>0</v>
      </c>
      <c r="F36" s="362">
        <f t="shared" si="4"/>
        <v>0</v>
      </c>
      <c r="G36" s="362">
        <f t="shared" si="4"/>
        <v>0</v>
      </c>
      <c r="H36" s="362">
        <f t="shared" si="4"/>
        <v>0</v>
      </c>
      <c r="I36" s="362">
        <f t="shared" si="4"/>
        <v>0</v>
      </c>
      <c r="J36" s="362">
        <f t="shared" si="4"/>
        <v>0</v>
      </c>
      <c r="K36" s="362">
        <f t="shared" si="4"/>
        <v>0</v>
      </c>
      <c r="L36" s="362">
        <f t="shared" si="4"/>
        <v>0</v>
      </c>
      <c r="M36" s="362">
        <f t="shared" si="4"/>
        <v>0</v>
      </c>
      <c r="N36" s="362">
        <f t="shared" si="4"/>
        <v>0</v>
      </c>
      <c r="O36" s="362">
        <f t="shared" si="4"/>
        <v>0</v>
      </c>
      <c r="P36" s="362">
        <f t="shared" si="4"/>
        <v>0</v>
      </c>
      <c r="Q36" s="363">
        <f t="shared" ref="Q36:Q59" si="5">SUM(E36:P36)</f>
        <v>0</v>
      </c>
    </row>
    <row r="37" spans="2:17" s="330" customFormat="1" ht="11.5" x14ac:dyDescent="0.25">
      <c r="B37" s="340">
        <v>3</v>
      </c>
      <c r="C37" s="360">
        <f t="shared" si="3"/>
        <v>0</v>
      </c>
      <c r="D37" s="356">
        <f t="shared" si="3"/>
        <v>0</v>
      </c>
      <c r="E37" s="361">
        <f t="shared" si="4"/>
        <v>0</v>
      </c>
      <c r="F37" s="362">
        <f t="shared" si="4"/>
        <v>0</v>
      </c>
      <c r="G37" s="362">
        <f t="shared" si="4"/>
        <v>0</v>
      </c>
      <c r="H37" s="362">
        <f t="shared" si="4"/>
        <v>0</v>
      </c>
      <c r="I37" s="362">
        <f t="shared" si="4"/>
        <v>0</v>
      </c>
      <c r="J37" s="362">
        <f t="shared" si="4"/>
        <v>0</v>
      </c>
      <c r="K37" s="362">
        <f t="shared" si="4"/>
        <v>0</v>
      </c>
      <c r="L37" s="362">
        <f t="shared" si="4"/>
        <v>0</v>
      </c>
      <c r="M37" s="362">
        <f t="shared" si="4"/>
        <v>0</v>
      </c>
      <c r="N37" s="362">
        <f t="shared" si="4"/>
        <v>0</v>
      </c>
      <c r="O37" s="362">
        <f t="shared" si="4"/>
        <v>0</v>
      </c>
      <c r="P37" s="362">
        <f t="shared" si="4"/>
        <v>0</v>
      </c>
      <c r="Q37" s="363">
        <f t="shared" si="5"/>
        <v>0</v>
      </c>
    </row>
    <row r="38" spans="2:17" s="330" customFormat="1" ht="11.5" x14ac:dyDescent="0.25">
      <c r="B38" s="340">
        <v>4</v>
      </c>
      <c r="C38" s="360">
        <f t="shared" si="3"/>
        <v>0</v>
      </c>
      <c r="D38" s="356">
        <f t="shared" si="3"/>
        <v>0</v>
      </c>
      <c r="E38" s="361">
        <f t="shared" si="4"/>
        <v>0</v>
      </c>
      <c r="F38" s="362">
        <f t="shared" si="4"/>
        <v>0</v>
      </c>
      <c r="G38" s="362">
        <f t="shared" si="4"/>
        <v>0</v>
      </c>
      <c r="H38" s="362">
        <f t="shared" si="4"/>
        <v>0</v>
      </c>
      <c r="I38" s="362">
        <f t="shared" si="4"/>
        <v>0</v>
      </c>
      <c r="J38" s="362">
        <f t="shared" si="4"/>
        <v>0</v>
      </c>
      <c r="K38" s="362">
        <f t="shared" si="4"/>
        <v>0</v>
      </c>
      <c r="L38" s="362">
        <f t="shared" si="4"/>
        <v>0</v>
      </c>
      <c r="M38" s="362">
        <f t="shared" si="4"/>
        <v>0</v>
      </c>
      <c r="N38" s="362">
        <f t="shared" si="4"/>
        <v>0</v>
      </c>
      <c r="O38" s="362">
        <f t="shared" si="4"/>
        <v>0</v>
      </c>
      <c r="P38" s="362">
        <f t="shared" si="4"/>
        <v>0</v>
      </c>
      <c r="Q38" s="363">
        <f t="shared" si="5"/>
        <v>0</v>
      </c>
    </row>
    <row r="39" spans="2:17" s="330" customFormat="1" ht="11.5" x14ac:dyDescent="0.25">
      <c r="B39" s="340">
        <v>5</v>
      </c>
      <c r="C39" s="360">
        <f t="shared" si="3"/>
        <v>0</v>
      </c>
      <c r="D39" s="356">
        <f t="shared" si="3"/>
        <v>0</v>
      </c>
      <c r="E39" s="361">
        <f t="shared" si="4"/>
        <v>0</v>
      </c>
      <c r="F39" s="362">
        <f t="shared" si="4"/>
        <v>0</v>
      </c>
      <c r="G39" s="362">
        <f t="shared" si="4"/>
        <v>0</v>
      </c>
      <c r="H39" s="362">
        <f t="shared" si="4"/>
        <v>0</v>
      </c>
      <c r="I39" s="362">
        <f t="shared" si="4"/>
        <v>0</v>
      </c>
      <c r="J39" s="362">
        <f t="shared" si="4"/>
        <v>0</v>
      </c>
      <c r="K39" s="362">
        <f t="shared" si="4"/>
        <v>0</v>
      </c>
      <c r="L39" s="362">
        <f t="shared" si="4"/>
        <v>0</v>
      </c>
      <c r="M39" s="362">
        <f t="shared" si="4"/>
        <v>0</v>
      </c>
      <c r="N39" s="362">
        <f t="shared" si="4"/>
        <v>0</v>
      </c>
      <c r="O39" s="362">
        <f t="shared" si="4"/>
        <v>0</v>
      </c>
      <c r="P39" s="362">
        <f t="shared" si="4"/>
        <v>0</v>
      </c>
      <c r="Q39" s="363">
        <f t="shared" si="5"/>
        <v>0</v>
      </c>
    </row>
    <row r="40" spans="2:17" s="330" customFormat="1" ht="11.5" x14ac:dyDescent="0.25">
      <c r="B40" s="340">
        <v>6</v>
      </c>
      <c r="C40" s="360">
        <f t="shared" si="3"/>
        <v>0</v>
      </c>
      <c r="D40" s="356">
        <f t="shared" si="3"/>
        <v>0</v>
      </c>
      <c r="E40" s="361">
        <f t="shared" si="4"/>
        <v>0</v>
      </c>
      <c r="F40" s="362">
        <f t="shared" si="4"/>
        <v>0</v>
      </c>
      <c r="G40" s="362">
        <f t="shared" si="4"/>
        <v>0</v>
      </c>
      <c r="H40" s="362">
        <f t="shared" si="4"/>
        <v>0</v>
      </c>
      <c r="I40" s="362">
        <f t="shared" si="4"/>
        <v>0</v>
      </c>
      <c r="J40" s="362">
        <f t="shared" si="4"/>
        <v>0</v>
      </c>
      <c r="K40" s="362">
        <f t="shared" si="4"/>
        <v>0</v>
      </c>
      <c r="L40" s="362">
        <f t="shared" si="4"/>
        <v>0</v>
      </c>
      <c r="M40" s="362">
        <f t="shared" si="4"/>
        <v>0</v>
      </c>
      <c r="N40" s="362">
        <f t="shared" si="4"/>
        <v>0</v>
      </c>
      <c r="O40" s="362">
        <f t="shared" si="4"/>
        <v>0</v>
      </c>
      <c r="P40" s="362">
        <f t="shared" si="4"/>
        <v>0</v>
      </c>
      <c r="Q40" s="363">
        <f t="shared" si="5"/>
        <v>0</v>
      </c>
    </row>
    <row r="41" spans="2:17" s="330" customFormat="1" ht="11.5" x14ac:dyDescent="0.25">
      <c r="B41" s="340">
        <v>7</v>
      </c>
      <c r="C41" s="360">
        <f t="shared" si="3"/>
        <v>0</v>
      </c>
      <c r="D41" s="356">
        <f t="shared" si="3"/>
        <v>0</v>
      </c>
      <c r="E41" s="361">
        <f t="shared" si="4"/>
        <v>0</v>
      </c>
      <c r="F41" s="362">
        <f t="shared" si="4"/>
        <v>0</v>
      </c>
      <c r="G41" s="362">
        <f t="shared" si="4"/>
        <v>0</v>
      </c>
      <c r="H41" s="362">
        <f t="shared" si="4"/>
        <v>0</v>
      </c>
      <c r="I41" s="362">
        <f t="shared" si="4"/>
        <v>0</v>
      </c>
      <c r="J41" s="362">
        <f t="shared" si="4"/>
        <v>0</v>
      </c>
      <c r="K41" s="362">
        <f t="shared" si="4"/>
        <v>0</v>
      </c>
      <c r="L41" s="362">
        <f t="shared" si="4"/>
        <v>0</v>
      </c>
      <c r="M41" s="362">
        <f t="shared" si="4"/>
        <v>0</v>
      </c>
      <c r="N41" s="362">
        <f t="shared" si="4"/>
        <v>0</v>
      </c>
      <c r="O41" s="362">
        <f t="shared" si="4"/>
        <v>0</v>
      </c>
      <c r="P41" s="362">
        <f t="shared" si="4"/>
        <v>0</v>
      </c>
      <c r="Q41" s="363">
        <f t="shared" si="5"/>
        <v>0</v>
      </c>
    </row>
    <row r="42" spans="2:17" s="330" customFormat="1" ht="11.5" x14ac:dyDescent="0.25">
      <c r="B42" s="340">
        <v>8</v>
      </c>
      <c r="C42" s="360">
        <f t="shared" si="3"/>
        <v>0</v>
      </c>
      <c r="D42" s="356">
        <f t="shared" si="3"/>
        <v>0</v>
      </c>
      <c r="E42" s="361">
        <f t="shared" si="4"/>
        <v>0</v>
      </c>
      <c r="F42" s="362">
        <f t="shared" si="4"/>
        <v>0</v>
      </c>
      <c r="G42" s="362">
        <f t="shared" si="4"/>
        <v>0</v>
      </c>
      <c r="H42" s="362">
        <f t="shared" si="4"/>
        <v>0</v>
      </c>
      <c r="I42" s="362">
        <f t="shared" si="4"/>
        <v>0</v>
      </c>
      <c r="J42" s="362">
        <f t="shared" si="4"/>
        <v>0</v>
      </c>
      <c r="K42" s="362">
        <f t="shared" si="4"/>
        <v>0</v>
      </c>
      <c r="L42" s="362">
        <f t="shared" si="4"/>
        <v>0</v>
      </c>
      <c r="M42" s="362">
        <f t="shared" si="4"/>
        <v>0</v>
      </c>
      <c r="N42" s="362">
        <f t="shared" si="4"/>
        <v>0</v>
      </c>
      <c r="O42" s="362">
        <f t="shared" si="4"/>
        <v>0</v>
      </c>
      <c r="P42" s="362">
        <f t="shared" si="4"/>
        <v>0</v>
      </c>
      <c r="Q42" s="363">
        <f t="shared" si="5"/>
        <v>0</v>
      </c>
    </row>
    <row r="43" spans="2:17" s="330" customFormat="1" ht="11.5" x14ac:dyDescent="0.25">
      <c r="B43" s="340">
        <v>9</v>
      </c>
      <c r="C43" s="360">
        <f t="shared" si="3"/>
        <v>0</v>
      </c>
      <c r="D43" s="356">
        <f t="shared" si="3"/>
        <v>0</v>
      </c>
      <c r="E43" s="361">
        <f t="shared" si="4"/>
        <v>0</v>
      </c>
      <c r="F43" s="362">
        <f t="shared" si="4"/>
        <v>0</v>
      </c>
      <c r="G43" s="362">
        <f t="shared" si="4"/>
        <v>0</v>
      </c>
      <c r="H43" s="362">
        <f t="shared" si="4"/>
        <v>0</v>
      </c>
      <c r="I43" s="362">
        <f t="shared" si="4"/>
        <v>0</v>
      </c>
      <c r="J43" s="362">
        <f t="shared" si="4"/>
        <v>0</v>
      </c>
      <c r="K43" s="362">
        <f t="shared" si="4"/>
        <v>0</v>
      </c>
      <c r="L43" s="362">
        <f t="shared" si="4"/>
        <v>0</v>
      </c>
      <c r="M43" s="362">
        <f t="shared" si="4"/>
        <v>0</v>
      </c>
      <c r="N43" s="362">
        <f t="shared" si="4"/>
        <v>0</v>
      </c>
      <c r="O43" s="362">
        <f t="shared" si="4"/>
        <v>0</v>
      </c>
      <c r="P43" s="362">
        <f t="shared" si="4"/>
        <v>0</v>
      </c>
      <c r="Q43" s="363">
        <f t="shared" si="5"/>
        <v>0</v>
      </c>
    </row>
    <row r="44" spans="2:17" s="330" customFormat="1" ht="11.5" x14ac:dyDescent="0.25">
      <c r="B44" s="340">
        <v>10</v>
      </c>
      <c r="C44" s="360">
        <f t="shared" si="3"/>
        <v>0</v>
      </c>
      <c r="D44" s="356">
        <f t="shared" si="3"/>
        <v>0</v>
      </c>
      <c r="E44" s="361">
        <f t="shared" si="4"/>
        <v>0</v>
      </c>
      <c r="F44" s="362">
        <f t="shared" si="4"/>
        <v>0</v>
      </c>
      <c r="G44" s="362">
        <f t="shared" si="4"/>
        <v>0</v>
      </c>
      <c r="H44" s="362">
        <f t="shared" si="4"/>
        <v>0</v>
      </c>
      <c r="I44" s="362">
        <f t="shared" si="4"/>
        <v>0</v>
      </c>
      <c r="J44" s="362">
        <f t="shared" si="4"/>
        <v>0</v>
      </c>
      <c r="K44" s="362">
        <f t="shared" si="4"/>
        <v>0</v>
      </c>
      <c r="L44" s="362">
        <f t="shared" si="4"/>
        <v>0</v>
      </c>
      <c r="M44" s="362">
        <f t="shared" si="4"/>
        <v>0</v>
      </c>
      <c r="N44" s="362">
        <f t="shared" si="4"/>
        <v>0</v>
      </c>
      <c r="O44" s="362">
        <f t="shared" si="4"/>
        <v>0</v>
      </c>
      <c r="P44" s="362">
        <f t="shared" si="4"/>
        <v>0</v>
      </c>
      <c r="Q44" s="363">
        <f t="shared" si="5"/>
        <v>0</v>
      </c>
    </row>
    <row r="45" spans="2:17" s="330" customFormat="1" ht="11.5" x14ac:dyDescent="0.25">
      <c r="B45" s="340">
        <v>11</v>
      </c>
      <c r="C45" s="360">
        <f t="shared" si="3"/>
        <v>0</v>
      </c>
      <c r="D45" s="356">
        <f t="shared" si="3"/>
        <v>0</v>
      </c>
      <c r="E45" s="361">
        <f t="shared" si="4"/>
        <v>0</v>
      </c>
      <c r="F45" s="362">
        <f t="shared" si="4"/>
        <v>0</v>
      </c>
      <c r="G45" s="362">
        <f t="shared" si="4"/>
        <v>0</v>
      </c>
      <c r="H45" s="362">
        <f t="shared" si="4"/>
        <v>0</v>
      </c>
      <c r="I45" s="362">
        <f t="shared" si="4"/>
        <v>0</v>
      </c>
      <c r="J45" s="362">
        <f t="shared" si="4"/>
        <v>0</v>
      </c>
      <c r="K45" s="362">
        <f t="shared" si="4"/>
        <v>0</v>
      </c>
      <c r="L45" s="362">
        <f t="shared" si="4"/>
        <v>0</v>
      </c>
      <c r="M45" s="362">
        <f t="shared" si="4"/>
        <v>0</v>
      </c>
      <c r="N45" s="362">
        <f t="shared" si="4"/>
        <v>0</v>
      </c>
      <c r="O45" s="362">
        <f t="shared" si="4"/>
        <v>0</v>
      </c>
      <c r="P45" s="362">
        <f t="shared" si="4"/>
        <v>0</v>
      </c>
      <c r="Q45" s="363">
        <f t="shared" si="5"/>
        <v>0</v>
      </c>
    </row>
    <row r="46" spans="2:17" s="330" customFormat="1" ht="11.5" x14ac:dyDescent="0.25">
      <c r="B46" s="340">
        <v>12</v>
      </c>
      <c r="C46" s="360">
        <f t="shared" si="3"/>
        <v>0</v>
      </c>
      <c r="D46" s="356">
        <f t="shared" si="3"/>
        <v>0</v>
      </c>
      <c r="E46" s="361">
        <f t="shared" si="4"/>
        <v>0</v>
      </c>
      <c r="F46" s="362">
        <f t="shared" si="4"/>
        <v>0</v>
      </c>
      <c r="G46" s="362">
        <f t="shared" si="4"/>
        <v>0</v>
      </c>
      <c r="H46" s="362">
        <f t="shared" si="4"/>
        <v>0</v>
      </c>
      <c r="I46" s="362">
        <f t="shared" si="4"/>
        <v>0</v>
      </c>
      <c r="J46" s="362">
        <f t="shared" si="4"/>
        <v>0</v>
      </c>
      <c r="K46" s="362">
        <f t="shared" si="4"/>
        <v>0</v>
      </c>
      <c r="L46" s="362">
        <f t="shared" si="4"/>
        <v>0</v>
      </c>
      <c r="M46" s="362">
        <f t="shared" si="4"/>
        <v>0</v>
      </c>
      <c r="N46" s="362">
        <f t="shared" si="4"/>
        <v>0</v>
      </c>
      <c r="O46" s="362">
        <f t="shared" si="4"/>
        <v>0</v>
      </c>
      <c r="P46" s="362">
        <f t="shared" si="4"/>
        <v>0</v>
      </c>
      <c r="Q46" s="363">
        <f t="shared" si="5"/>
        <v>0</v>
      </c>
    </row>
    <row r="47" spans="2:17" s="330" customFormat="1" ht="11.5" x14ac:dyDescent="0.25">
      <c r="B47" s="340">
        <v>13</v>
      </c>
      <c r="C47" s="360">
        <f t="shared" si="3"/>
        <v>0</v>
      </c>
      <c r="D47" s="356">
        <f t="shared" si="3"/>
        <v>0</v>
      </c>
      <c r="E47" s="361">
        <f t="shared" si="4"/>
        <v>0</v>
      </c>
      <c r="F47" s="362">
        <f t="shared" si="4"/>
        <v>0</v>
      </c>
      <c r="G47" s="362">
        <f t="shared" si="4"/>
        <v>0</v>
      </c>
      <c r="H47" s="362">
        <f t="shared" si="4"/>
        <v>0</v>
      </c>
      <c r="I47" s="362">
        <f t="shared" si="4"/>
        <v>0</v>
      </c>
      <c r="J47" s="362">
        <f t="shared" si="4"/>
        <v>0</v>
      </c>
      <c r="K47" s="362">
        <f t="shared" si="4"/>
        <v>0</v>
      </c>
      <c r="L47" s="362">
        <f t="shared" si="4"/>
        <v>0</v>
      </c>
      <c r="M47" s="362">
        <f t="shared" si="4"/>
        <v>0</v>
      </c>
      <c r="N47" s="362">
        <f t="shared" si="4"/>
        <v>0</v>
      </c>
      <c r="O47" s="362">
        <f t="shared" si="4"/>
        <v>0</v>
      </c>
      <c r="P47" s="362">
        <f t="shared" si="4"/>
        <v>0</v>
      </c>
      <c r="Q47" s="363">
        <f t="shared" si="5"/>
        <v>0</v>
      </c>
    </row>
    <row r="48" spans="2:17" s="330" customFormat="1" ht="11.5" x14ac:dyDescent="0.25">
      <c r="B48" s="340">
        <v>14</v>
      </c>
      <c r="C48" s="360">
        <f t="shared" si="3"/>
        <v>0</v>
      </c>
      <c r="D48" s="356">
        <f t="shared" si="3"/>
        <v>0</v>
      </c>
      <c r="E48" s="361">
        <f t="shared" si="4"/>
        <v>0</v>
      </c>
      <c r="F48" s="362">
        <f t="shared" si="4"/>
        <v>0</v>
      </c>
      <c r="G48" s="362">
        <f t="shared" si="4"/>
        <v>0</v>
      </c>
      <c r="H48" s="362">
        <f t="shared" si="4"/>
        <v>0</v>
      </c>
      <c r="I48" s="362">
        <f t="shared" si="4"/>
        <v>0</v>
      </c>
      <c r="J48" s="362">
        <f t="shared" si="4"/>
        <v>0</v>
      </c>
      <c r="K48" s="362">
        <f t="shared" si="4"/>
        <v>0</v>
      </c>
      <c r="L48" s="362">
        <f t="shared" si="4"/>
        <v>0</v>
      </c>
      <c r="M48" s="362">
        <f t="shared" si="4"/>
        <v>0</v>
      </c>
      <c r="N48" s="362">
        <f t="shared" si="4"/>
        <v>0</v>
      </c>
      <c r="O48" s="362">
        <f t="shared" si="4"/>
        <v>0</v>
      </c>
      <c r="P48" s="362">
        <f t="shared" si="4"/>
        <v>0</v>
      </c>
      <c r="Q48" s="363">
        <f t="shared" si="5"/>
        <v>0</v>
      </c>
    </row>
    <row r="49" spans="2:17" s="330" customFormat="1" ht="11.5" x14ac:dyDescent="0.25">
      <c r="B49" s="340">
        <v>15</v>
      </c>
      <c r="C49" s="360">
        <f t="shared" si="3"/>
        <v>0</v>
      </c>
      <c r="D49" s="356">
        <f t="shared" si="3"/>
        <v>0</v>
      </c>
      <c r="E49" s="361">
        <f t="shared" si="4"/>
        <v>0</v>
      </c>
      <c r="F49" s="362">
        <f t="shared" si="4"/>
        <v>0</v>
      </c>
      <c r="G49" s="362">
        <f t="shared" si="4"/>
        <v>0</v>
      </c>
      <c r="H49" s="362">
        <f t="shared" si="4"/>
        <v>0</v>
      </c>
      <c r="I49" s="362">
        <f t="shared" si="4"/>
        <v>0</v>
      </c>
      <c r="J49" s="362">
        <f t="shared" si="4"/>
        <v>0</v>
      </c>
      <c r="K49" s="362">
        <f t="shared" si="4"/>
        <v>0</v>
      </c>
      <c r="L49" s="362">
        <f t="shared" si="4"/>
        <v>0</v>
      </c>
      <c r="M49" s="362">
        <f t="shared" si="4"/>
        <v>0</v>
      </c>
      <c r="N49" s="362">
        <f t="shared" si="4"/>
        <v>0</v>
      </c>
      <c r="O49" s="362">
        <f t="shared" si="4"/>
        <v>0</v>
      </c>
      <c r="P49" s="362">
        <f t="shared" si="4"/>
        <v>0</v>
      </c>
      <c r="Q49" s="363">
        <f t="shared" si="5"/>
        <v>0</v>
      </c>
    </row>
    <row r="50" spans="2:17" s="330" customFormat="1" ht="11.5" x14ac:dyDescent="0.25">
      <c r="B50" s="340">
        <v>16</v>
      </c>
      <c r="C50" s="360">
        <f t="shared" si="3"/>
        <v>0</v>
      </c>
      <c r="D50" s="356">
        <f t="shared" si="3"/>
        <v>0</v>
      </c>
      <c r="E50" s="361">
        <f t="shared" si="4"/>
        <v>0</v>
      </c>
      <c r="F50" s="362">
        <f t="shared" si="4"/>
        <v>0</v>
      </c>
      <c r="G50" s="362">
        <f t="shared" si="4"/>
        <v>0</v>
      </c>
      <c r="H50" s="362">
        <f t="shared" si="4"/>
        <v>0</v>
      </c>
      <c r="I50" s="362">
        <f t="shared" si="4"/>
        <v>0</v>
      </c>
      <c r="J50" s="362">
        <f t="shared" si="4"/>
        <v>0</v>
      </c>
      <c r="K50" s="362">
        <f t="shared" si="4"/>
        <v>0</v>
      </c>
      <c r="L50" s="362">
        <f t="shared" si="4"/>
        <v>0</v>
      </c>
      <c r="M50" s="362">
        <f t="shared" si="4"/>
        <v>0</v>
      </c>
      <c r="N50" s="362">
        <f t="shared" si="4"/>
        <v>0</v>
      </c>
      <c r="O50" s="362">
        <f t="shared" si="4"/>
        <v>0</v>
      </c>
      <c r="P50" s="362">
        <f t="shared" si="4"/>
        <v>0</v>
      </c>
      <c r="Q50" s="363">
        <f t="shared" si="5"/>
        <v>0</v>
      </c>
    </row>
    <row r="51" spans="2:17" s="330" customFormat="1" ht="11.5" x14ac:dyDescent="0.25">
      <c r="B51" s="340">
        <v>17</v>
      </c>
      <c r="C51" s="360">
        <f t="shared" ref="C51:D59" si="6">C21</f>
        <v>0</v>
      </c>
      <c r="D51" s="356">
        <f t="shared" si="6"/>
        <v>0</v>
      </c>
      <c r="E51" s="361">
        <f t="shared" ref="E51:P59" si="7">$D51*E21</f>
        <v>0</v>
      </c>
      <c r="F51" s="362">
        <f t="shared" si="7"/>
        <v>0</v>
      </c>
      <c r="G51" s="362">
        <f t="shared" si="7"/>
        <v>0</v>
      </c>
      <c r="H51" s="362">
        <f t="shared" si="7"/>
        <v>0</v>
      </c>
      <c r="I51" s="362">
        <f t="shared" si="7"/>
        <v>0</v>
      </c>
      <c r="J51" s="362">
        <f t="shared" si="7"/>
        <v>0</v>
      </c>
      <c r="K51" s="362">
        <f t="shared" si="7"/>
        <v>0</v>
      </c>
      <c r="L51" s="362">
        <f t="shared" si="7"/>
        <v>0</v>
      </c>
      <c r="M51" s="362">
        <f t="shared" si="7"/>
        <v>0</v>
      </c>
      <c r="N51" s="362">
        <f t="shared" si="7"/>
        <v>0</v>
      </c>
      <c r="O51" s="362">
        <f t="shared" si="7"/>
        <v>0</v>
      </c>
      <c r="P51" s="362">
        <f t="shared" si="7"/>
        <v>0</v>
      </c>
      <c r="Q51" s="363">
        <f t="shared" si="5"/>
        <v>0</v>
      </c>
    </row>
    <row r="52" spans="2:17" s="330" customFormat="1" ht="11.5" x14ac:dyDescent="0.25">
      <c r="B52" s="340">
        <v>18</v>
      </c>
      <c r="C52" s="360">
        <f t="shared" si="6"/>
        <v>0</v>
      </c>
      <c r="D52" s="356">
        <f t="shared" si="6"/>
        <v>0</v>
      </c>
      <c r="E52" s="361">
        <f t="shared" si="7"/>
        <v>0</v>
      </c>
      <c r="F52" s="362">
        <f t="shared" si="7"/>
        <v>0</v>
      </c>
      <c r="G52" s="362">
        <f t="shared" si="7"/>
        <v>0</v>
      </c>
      <c r="H52" s="362">
        <f t="shared" si="7"/>
        <v>0</v>
      </c>
      <c r="I52" s="362">
        <f t="shared" si="7"/>
        <v>0</v>
      </c>
      <c r="J52" s="362">
        <f t="shared" si="7"/>
        <v>0</v>
      </c>
      <c r="K52" s="362">
        <f t="shared" si="7"/>
        <v>0</v>
      </c>
      <c r="L52" s="362">
        <f t="shared" si="7"/>
        <v>0</v>
      </c>
      <c r="M52" s="362">
        <f t="shared" si="7"/>
        <v>0</v>
      </c>
      <c r="N52" s="362">
        <f t="shared" si="7"/>
        <v>0</v>
      </c>
      <c r="O52" s="362">
        <f t="shared" si="7"/>
        <v>0</v>
      </c>
      <c r="P52" s="362">
        <f t="shared" si="7"/>
        <v>0</v>
      </c>
      <c r="Q52" s="363">
        <f t="shared" si="5"/>
        <v>0</v>
      </c>
    </row>
    <row r="53" spans="2:17" s="330" customFormat="1" ht="11.5" x14ac:dyDescent="0.25">
      <c r="B53" s="340">
        <v>19</v>
      </c>
      <c r="C53" s="360">
        <f t="shared" si="6"/>
        <v>0</v>
      </c>
      <c r="D53" s="356">
        <f t="shared" si="6"/>
        <v>0</v>
      </c>
      <c r="E53" s="361">
        <f t="shared" si="7"/>
        <v>0</v>
      </c>
      <c r="F53" s="362">
        <f t="shared" si="7"/>
        <v>0</v>
      </c>
      <c r="G53" s="362">
        <f t="shared" si="7"/>
        <v>0</v>
      </c>
      <c r="H53" s="362">
        <f t="shared" si="7"/>
        <v>0</v>
      </c>
      <c r="I53" s="362">
        <f t="shared" si="7"/>
        <v>0</v>
      </c>
      <c r="J53" s="362">
        <f t="shared" si="7"/>
        <v>0</v>
      </c>
      <c r="K53" s="362">
        <f t="shared" si="7"/>
        <v>0</v>
      </c>
      <c r="L53" s="362">
        <f t="shared" si="7"/>
        <v>0</v>
      </c>
      <c r="M53" s="362">
        <f t="shared" si="7"/>
        <v>0</v>
      </c>
      <c r="N53" s="362">
        <f t="shared" si="7"/>
        <v>0</v>
      </c>
      <c r="O53" s="362">
        <f t="shared" si="7"/>
        <v>0</v>
      </c>
      <c r="P53" s="362">
        <f t="shared" si="7"/>
        <v>0</v>
      </c>
      <c r="Q53" s="363">
        <f t="shared" si="5"/>
        <v>0</v>
      </c>
    </row>
    <row r="54" spans="2:17" s="330" customFormat="1" ht="11.5" x14ac:dyDescent="0.25">
      <c r="B54" s="340">
        <v>20</v>
      </c>
      <c r="C54" s="360">
        <f t="shared" si="6"/>
        <v>0</v>
      </c>
      <c r="D54" s="356">
        <f t="shared" si="6"/>
        <v>0</v>
      </c>
      <c r="E54" s="361">
        <f t="shared" si="7"/>
        <v>0</v>
      </c>
      <c r="F54" s="362">
        <f t="shared" si="7"/>
        <v>0</v>
      </c>
      <c r="G54" s="362">
        <f t="shared" si="7"/>
        <v>0</v>
      </c>
      <c r="H54" s="362">
        <f t="shared" si="7"/>
        <v>0</v>
      </c>
      <c r="I54" s="362">
        <f t="shared" si="7"/>
        <v>0</v>
      </c>
      <c r="J54" s="362">
        <f t="shared" si="7"/>
        <v>0</v>
      </c>
      <c r="K54" s="362">
        <f t="shared" si="7"/>
        <v>0</v>
      </c>
      <c r="L54" s="362">
        <f t="shared" si="7"/>
        <v>0</v>
      </c>
      <c r="M54" s="362">
        <f t="shared" si="7"/>
        <v>0</v>
      </c>
      <c r="N54" s="362">
        <f t="shared" si="7"/>
        <v>0</v>
      </c>
      <c r="O54" s="362">
        <f t="shared" si="7"/>
        <v>0</v>
      </c>
      <c r="P54" s="362">
        <f t="shared" si="7"/>
        <v>0</v>
      </c>
      <c r="Q54" s="363">
        <f t="shared" si="5"/>
        <v>0</v>
      </c>
    </row>
    <row r="55" spans="2:17" s="330" customFormat="1" ht="11.5" x14ac:dyDescent="0.25">
      <c r="B55" s="340">
        <v>21</v>
      </c>
      <c r="C55" s="360">
        <f t="shared" si="6"/>
        <v>0</v>
      </c>
      <c r="D55" s="356">
        <f t="shared" si="6"/>
        <v>0</v>
      </c>
      <c r="E55" s="361">
        <f t="shared" si="7"/>
        <v>0</v>
      </c>
      <c r="F55" s="362">
        <f t="shared" si="7"/>
        <v>0</v>
      </c>
      <c r="G55" s="362">
        <f t="shared" si="7"/>
        <v>0</v>
      </c>
      <c r="H55" s="362">
        <f t="shared" si="7"/>
        <v>0</v>
      </c>
      <c r="I55" s="362">
        <f t="shared" si="7"/>
        <v>0</v>
      </c>
      <c r="J55" s="362">
        <f t="shared" si="7"/>
        <v>0</v>
      </c>
      <c r="K55" s="362">
        <f t="shared" si="7"/>
        <v>0</v>
      </c>
      <c r="L55" s="362">
        <f t="shared" si="7"/>
        <v>0</v>
      </c>
      <c r="M55" s="362">
        <f t="shared" si="7"/>
        <v>0</v>
      </c>
      <c r="N55" s="362">
        <f t="shared" si="7"/>
        <v>0</v>
      </c>
      <c r="O55" s="362">
        <f t="shared" si="7"/>
        <v>0</v>
      </c>
      <c r="P55" s="362">
        <f t="shared" si="7"/>
        <v>0</v>
      </c>
      <c r="Q55" s="363">
        <f t="shared" si="5"/>
        <v>0</v>
      </c>
    </row>
    <row r="56" spans="2:17" s="330" customFormat="1" ht="11.5" x14ac:dyDescent="0.25">
      <c r="B56" s="340">
        <v>22</v>
      </c>
      <c r="C56" s="360">
        <f t="shared" si="6"/>
        <v>0</v>
      </c>
      <c r="D56" s="356">
        <f t="shared" si="6"/>
        <v>0</v>
      </c>
      <c r="E56" s="361">
        <f t="shared" si="7"/>
        <v>0</v>
      </c>
      <c r="F56" s="362">
        <f t="shared" si="7"/>
        <v>0</v>
      </c>
      <c r="G56" s="362">
        <f t="shared" si="7"/>
        <v>0</v>
      </c>
      <c r="H56" s="362">
        <f t="shared" si="7"/>
        <v>0</v>
      </c>
      <c r="I56" s="362">
        <f t="shared" si="7"/>
        <v>0</v>
      </c>
      <c r="J56" s="362">
        <f t="shared" si="7"/>
        <v>0</v>
      </c>
      <c r="K56" s="362">
        <f t="shared" si="7"/>
        <v>0</v>
      </c>
      <c r="L56" s="362">
        <f t="shared" si="7"/>
        <v>0</v>
      </c>
      <c r="M56" s="362">
        <f t="shared" si="7"/>
        <v>0</v>
      </c>
      <c r="N56" s="362">
        <f t="shared" si="7"/>
        <v>0</v>
      </c>
      <c r="O56" s="362">
        <f t="shared" si="7"/>
        <v>0</v>
      </c>
      <c r="P56" s="362">
        <f t="shared" si="7"/>
        <v>0</v>
      </c>
      <c r="Q56" s="363">
        <f t="shared" si="5"/>
        <v>0</v>
      </c>
    </row>
    <row r="57" spans="2:17" s="330" customFormat="1" ht="11.5" x14ac:dyDescent="0.25">
      <c r="B57" s="340">
        <v>23</v>
      </c>
      <c r="C57" s="360">
        <f t="shared" si="6"/>
        <v>0</v>
      </c>
      <c r="D57" s="356">
        <f t="shared" si="6"/>
        <v>0</v>
      </c>
      <c r="E57" s="361">
        <f t="shared" si="7"/>
        <v>0</v>
      </c>
      <c r="F57" s="362">
        <f t="shared" si="7"/>
        <v>0</v>
      </c>
      <c r="G57" s="362">
        <f t="shared" si="7"/>
        <v>0</v>
      </c>
      <c r="H57" s="362">
        <f t="shared" si="7"/>
        <v>0</v>
      </c>
      <c r="I57" s="362">
        <f t="shared" si="7"/>
        <v>0</v>
      </c>
      <c r="J57" s="362">
        <f t="shared" si="7"/>
        <v>0</v>
      </c>
      <c r="K57" s="362">
        <f t="shared" si="7"/>
        <v>0</v>
      </c>
      <c r="L57" s="362">
        <f t="shared" si="7"/>
        <v>0</v>
      </c>
      <c r="M57" s="362">
        <f t="shared" si="7"/>
        <v>0</v>
      </c>
      <c r="N57" s="362">
        <f t="shared" si="7"/>
        <v>0</v>
      </c>
      <c r="O57" s="362">
        <f t="shared" si="7"/>
        <v>0</v>
      </c>
      <c r="P57" s="362">
        <f t="shared" si="7"/>
        <v>0</v>
      </c>
      <c r="Q57" s="363">
        <f t="shared" si="5"/>
        <v>0</v>
      </c>
    </row>
    <row r="58" spans="2:17" s="330" customFormat="1" ht="11.5" x14ac:dyDescent="0.25">
      <c r="B58" s="340">
        <v>24</v>
      </c>
      <c r="C58" s="360">
        <f t="shared" si="6"/>
        <v>0</v>
      </c>
      <c r="D58" s="356">
        <f t="shared" si="6"/>
        <v>0</v>
      </c>
      <c r="E58" s="361">
        <f t="shared" si="7"/>
        <v>0</v>
      </c>
      <c r="F58" s="362">
        <f t="shared" si="7"/>
        <v>0</v>
      </c>
      <c r="G58" s="362">
        <f t="shared" si="7"/>
        <v>0</v>
      </c>
      <c r="H58" s="362">
        <f t="shared" si="7"/>
        <v>0</v>
      </c>
      <c r="I58" s="362">
        <f t="shared" si="7"/>
        <v>0</v>
      </c>
      <c r="J58" s="362">
        <f t="shared" si="7"/>
        <v>0</v>
      </c>
      <c r="K58" s="362">
        <f t="shared" si="7"/>
        <v>0</v>
      </c>
      <c r="L58" s="362">
        <f t="shared" si="7"/>
        <v>0</v>
      </c>
      <c r="M58" s="362">
        <f t="shared" si="7"/>
        <v>0</v>
      </c>
      <c r="N58" s="362">
        <f t="shared" si="7"/>
        <v>0</v>
      </c>
      <c r="O58" s="362">
        <f t="shared" si="7"/>
        <v>0</v>
      </c>
      <c r="P58" s="362">
        <f t="shared" si="7"/>
        <v>0</v>
      </c>
      <c r="Q58" s="363">
        <f t="shared" si="5"/>
        <v>0</v>
      </c>
    </row>
    <row r="59" spans="2:17" s="330" customFormat="1" ht="11.5" x14ac:dyDescent="0.25">
      <c r="B59" s="340">
        <v>25</v>
      </c>
      <c r="C59" s="360">
        <f t="shared" si="6"/>
        <v>0</v>
      </c>
      <c r="D59" s="356">
        <f t="shared" si="6"/>
        <v>0</v>
      </c>
      <c r="E59" s="361">
        <f t="shared" si="7"/>
        <v>0</v>
      </c>
      <c r="F59" s="362">
        <f t="shared" si="7"/>
        <v>0</v>
      </c>
      <c r="G59" s="362">
        <f t="shared" si="7"/>
        <v>0</v>
      </c>
      <c r="H59" s="362">
        <f t="shared" si="7"/>
        <v>0</v>
      </c>
      <c r="I59" s="362">
        <f t="shared" si="7"/>
        <v>0</v>
      </c>
      <c r="J59" s="362">
        <f t="shared" si="7"/>
        <v>0</v>
      </c>
      <c r="K59" s="362">
        <f t="shared" si="7"/>
        <v>0</v>
      </c>
      <c r="L59" s="362">
        <f t="shared" si="7"/>
        <v>0</v>
      </c>
      <c r="M59" s="362">
        <f t="shared" si="7"/>
        <v>0</v>
      </c>
      <c r="N59" s="362">
        <f t="shared" si="7"/>
        <v>0</v>
      </c>
      <c r="O59" s="362">
        <f t="shared" si="7"/>
        <v>0</v>
      </c>
      <c r="P59" s="362">
        <f t="shared" si="7"/>
        <v>0</v>
      </c>
      <c r="Q59" s="363">
        <f t="shared" si="5"/>
        <v>0</v>
      </c>
    </row>
    <row r="60" spans="2:17" s="330" customFormat="1" ht="12" thickBot="1" x14ac:dyDescent="0.3">
      <c r="B60" s="344"/>
      <c r="C60" s="345"/>
      <c r="D60" s="364"/>
      <c r="E60" s="365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7"/>
    </row>
    <row r="61" spans="2:17" s="330" customFormat="1" ht="12" thickBot="1" x14ac:dyDescent="0.3">
      <c r="B61" s="350"/>
      <c r="C61" s="351" t="s">
        <v>290</v>
      </c>
      <c r="D61" s="368"/>
      <c r="E61" s="369">
        <f>SUM(E35:E60)</f>
        <v>0</v>
      </c>
      <c r="F61" s="370">
        <f t="shared" ref="F61:Q61" si="8">SUM(F35:F60)</f>
        <v>0</v>
      </c>
      <c r="G61" s="370">
        <f t="shared" si="8"/>
        <v>0</v>
      </c>
      <c r="H61" s="370">
        <f t="shared" si="8"/>
        <v>0</v>
      </c>
      <c r="I61" s="370">
        <f t="shared" si="8"/>
        <v>0</v>
      </c>
      <c r="J61" s="370">
        <f t="shared" si="8"/>
        <v>0</v>
      </c>
      <c r="K61" s="370">
        <f t="shared" si="8"/>
        <v>0</v>
      </c>
      <c r="L61" s="370">
        <f t="shared" si="8"/>
        <v>0</v>
      </c>
      <c r="M61" s="370">
        <f t="shared" si="8"/>
        <v>0</v>
      </c>
      <c r="N61" s="370">
        <f t="shared" si="8"/>
        <v>0</v>
      </c>
      <c r="O61" s="370">
        <f t="shared" si="8"/>
        <v>0</v>
      </c>
      <c r="P61" s="370">
        <f t="shared" si="8"/>
        <v>0</v>
      </c>
      <c r="Q61" s="371">
        <f t="shared" si="8"/>
        <v>0</v>
      </c>
    </row>
    <row r="66" spans="2:5" s="391" customFormat="1" ht="12" thickBot="1" x14ac:dyDescent="0.3"/>
    <row r="67" spans="2:5" s="391" customFormat="1" ht="11.5" x14ac:dyDescent="0.25">
      <c r="B67" s="801" t="s">
        <v>292</v>
      </c>
      <c r="C67" s="802"/>
      <c r="D67" s="803"/>
    </row>
    <row r="68" spans="2:5" s="391" customFormat="1" ht="12" thickBot="1" x14ac:dyDescent="0.3">
      <c r="B68" s="392" t="s">
        <v>293</v>
      </c>
      <c r="C68" s="393" t="s">
        <v>460</v>
      </c>
      <c r="D68" s="394" t="s">
        <v>461</v>
      </c>
      <c r="E68" s="395"/>
    </row>
    <row r="69" spans="2:5" s="391" customFormat="1" ht="11.5" x14ac:dyDescent="0.25">
      <c r="B69" s="396">
        <v>1</v>
      </c>
      <c r="C69" s="397" t="s">
        <v>462</v>
      </c>
      <c r="D69" s="398">
        <v>1549999.9990999999</v>
      </c>
    </row>
    <row r="70" spans="2:5" s="391" customFormat="1" ht="11.5" x14ac:dyDescent="0.25">
      <c r="B70" s="399">
        <v>2</v>
      </c>
      <c r="C70" s="400" t="s">
        <v>463</v>
      </c>
      <c r="D70" s="401">
        <v>19000</v>
      </c>
    </row>
    <row r="71" spans="2:5" s="391" customFormat="1" ht="11.5" x14ac:dyDescent="0.25">
      <c r="B71" s="399">
        <v>3</v>
      </c>
      <c r="C71" s="400" t="s">
        <v>464</v>
      </c>
      <c r="D71" s="401">
        <v>14499.997999999998</v>
      </c>
    </row>
    <row r="72" spans="2:5" s="391" customFormat="1" ht="11.5" x14ac:dyDescent="0.25">
      <c r="B72" s="399">
        <v>4</v>
      </c>
      <c r="C72" s="400" t="s">
        <v>465</v>
      </c>
      <c r="D72" s="401">
        <v>141000</v>
      </c>
    </row>
    <row r="73" spans="2:5" s="391" customFormat="1" ht="11.5" x14ac:dyDescent="0.25">
      <c r="B73" s="399">
        <v>5</v>
      </c>
      <c r="C73" s="400" t="s">
        <v>466</v>
      </c>
      <c r="D73" s="401">
        <v>85000</v>
      </c>
    </row>
    <row r="74" spans="2:5" s="391" customFormat="1" ht="11.5" x14ac:dyDescent="0.25">
      <c r="B74" s="399">
        <v>6</v>
      </c>
      <c r="C74" s="400" t="s">
        <v>467</v>
      </c>
      <c r="D74" s="401">
        <v>180000.03737999999</v>
      </c>
    </row>
    <row r="75" spans="2:5" s="391" customFormat="1" ht="11.5" x14ac:dyDescent="0.25">
      <c r="B75" s="399">
        <v>7</v>
      </c>
      <c r="C75" s="400" t="s">
        <v>468</v>
      </c>
      <c r="D75" s="401">
        <v>11000</v>
      </c>
    </row>
    <row r="76" spans="2:5" s="391" customFormat="1" ht="11.5" x14ac:dyDescent="0.25">
      <c r="B76" s="399">
        <v>8</v>
      </c>
      <c r="C76" s="400" t="s">
        <v>469</v>
      </c>
      <c r="D76" s="401">
        <v>760000.00660000008</v>
      </c>
    </row>
    <row r="77" spans="2:5" s="391" customFormat="1" ht="11.5" x14ac:dyDescent="0.25">
      <c r="B77" s="399">
        <v>9</v>
      </c>
      <c r="C77" s="400" t="s">
        <v>470</v>
      </c>
      <c r="D77" s="401">
        <v>10000</v>
      </c>
    </row>
    <row r="78" spans="2:5" s="391" customFormat="1" ht="11.5" x14ac:dyDescent="0.25">
      <c r="B78" s="399">
        <v>10</v>
      </c>
      <c r="C78" s="400" t="s">
        <v>470</v>
      </c>
      <c r="D78" s="401">
        <v>24966.666666666668</v>
      </c>
    </row>
    <row r="79" spans="2:5" s="391" customFormat="1" ht="11.5" x14ac:dyDescent="0.25">
      <c r="B79" s="399">
        <v>11</v>
      </c>
      <c r="C79" s="400" t="s">
        <v>471</v>
      </c>
      <c r="D79" s="401">
        <v>13000</v>
      </c>
    </row>
    <row r="80" spans="2:5" s="391" customFormat="1" ht="11.5" x14ac:dyDescent="0.25">
      <c r="B80" s="399">
        <v>12</v>
      </c>
      <c r="C80" s="400" t="s">
        <v>472</v>
      </c>
      <c r="D80" s="401">
        <v>140000</v>
      </c>
    </row>
    <row r="81" spans="2:4" s="391" customFormat="1" ht="11.5" x14ac:dyDescent="0.25">
      <c r="B81" s="399">
        <v>13</v>
      </c>
      <c r="C81" s="400" t="s">
        <v>465</v>
      </c>
      <c r="D81" s="401">
        <v>152000</v>
      </c>
    </row>
    <row r="82" spans="2:4" s="391" customFormat="1" ht="11.5" x14ac:dyDescent="0.25">
      <c r="B82" s="399">
        <v>14</v>
      </c>
      <c r="C82" s="400" t="s">
        <v>473</v>
      </c>
      <c r="D82" s="401">
        <v>278000</v>
      </c>
    </row>
    <row r="83" spans="2:4" s="391" customFormat="1" ht="11.5" x14ac:dyDescent="0.25">
      <c r="B83" s="399">
        <v>15</v>
      </c>
      <c r="C83" s="400" t="s">
        <v>474</v>
      </c>
      <c r="D83" s="401">
        <v>52500.004750000007</v>
      </c>
    </row>
    <row r="84" spans="2:4" s="391" customFormat="1" ht="11.5" x14ac:dyDescent="0.25">
      <c r="B84" s="399">
        <v>16</v>
      </c>
      <c r="C84" s="400" t="s">
        <v>475</v>
      </c>
      <c r="D84" s="401">
        <v>44999.994900000005</v>
      </c>
    </row>
    <row r="85" spans="2:4" s="391" customFormat="1" ht="11.5" x14ac:dyDescent="0.25">
      <c r="B85" s="399">
        <v>17</v>
      </c>
      <c r="C85" s="400" t="s">
        <v>476</v>
      </c>
      <c r="D85" s="401">
        <v>5000</v>
      </c>
    </row>
    <row r="86" spans="2:4" s="391" customFormat="1" ht="11.5" x14ac:dyDescent="0.25">
      <c r="B86" s="399">
        <v>18</v>
      </c>
      <c r="C86" s="400" t="s">
        <v>476</v>
      </c>
      <c r="D86" s="401">
        <v>3000</v>
      </c>
    </row>
    <row r="87" spans="2:4" s="391" customFormat="1" ht="11.5" x14ac:dyDescent="0.25">
      <c r="B87" s="399">
        <v>19</v>
      </c>
      <c r="C87" s="400" t="s">
        <v>463</v>
      </c>
      <c r="D87" s="401">
        <v>19000</v>
      </c>
    </row>
    <row r="88" spans="2:4" s="391" customFormat="1" ht="11.5" x14ac:dyDescent="0.25">
      <c r="B88" s="399">
        <v>20</v>
      </c>
      <c r="C88" s="400" t="s">
        <v>477</v>
      </c>
      <c r="D88" s="401">
        <v>650000.0048</v>
      </c>
    </row>
    <row r="89" spans="2:4" s="391" customFormat="1" ht="11.5" x14ac:dyDescent="0.25">
      <c r="B89" s="399">
        <v>21</v>
      </c>
      <c r="C89" s="400" t="s">
        <v>478</v>
      </c>
      <c r="D89" s="401">
        <v>169999.995</v>
      </c>
    </row>
    <row r="90" spans="2:4" s="391" customFormat="1" ht="11.5" x14ac:dyDescent="0.25">
      <c r="B90" s="399">
        <v>22</v>
      </c>
      <c r="C90" s="400" t="s">
        <v>479</v>
      </c>
      <c r="D90" s="401">
        <v>170000</v>
      </c>
    </row>
    <row r="91" spans="2:4" s="391" customFormat="1" ht="11.5" x14ac:dyDescent="0.25">
      <c r="B91" s="399">
        <v>23</v>
      </c>
      <c r="C91" s="400" t="s">
        <v>675</v>
      </c>
      <c r="D91" s="401">
        <v>72000.000400000004</v>
      </c>
    </row>
    <row r="92" spans="2:4" s="391" customFormat="1" ht="11.5" x14ac:dyDescent="0.25">
      <c r="B92" s="399">
        <v>24</v>
      </c>
      <c r="C92" s="400" t="s">
        <v>676</v>
      </c>
      <c r="D92" s="401">
        <v>42000</v>
      </c>
    </row>
    <row r="93" spans="2:4" s="391" customFormat="1" ht="11.5" x14ac:dyDescent="0.25">
      <c r="B93" s="399">
        <v>25</v>
      </c>
      <c r="C93" s="400" t="s">
        <v>480</v>
      </c>
      <c r="D93" s="401">
        <v>12000</v>
      </c>
    </row>
    <row r="94" spans="2:4" s="391" customFormat="1" ht="11.5" x14ac:dyDescent="0.25">
      <c r="B94" s="399">
        <v>26</v>
      </c>
      <c r="C94" s="400" t="s">
        <v>481</v>
      </c>
      <c r="D94" s="401">
        <v>549999.99829999998</v>
      </c>
    </row>
    <row r="95" spans="2:4" s="391" customFormat="1" ht="11.5" x14ac:dyDescent="0.25">
      <c r="B95" s="399">
        <v>27</v>
      </c>
      <c r="C95" s="400" t="s">
        <v>482</v>
      </c>
      <c r="D95" s="401">
        <v>1400000.0054000001</v>
      </c>
    </row>
    <row r="96" spans="2:4" s="391" customFormat="1" ht="11.5" x14ac:dyDescent="0.25">
      <c r="B96" s="399">
        <v>28</v>
      </c>
      <c r="C96" s="400" t="s">
        <v>483</v>
      </c>
      <c r="D96" s="401">
        <v>1599999.9970000002</v>
      </c>
    </row>
    <row r="97" spans="2:4" s="391" customFormat="1" ht="11.5" x14ac:dyDescent="0.25">
      <c r="B97" s="399">
        <v>29</v>
      </c>
      <c r="C97" s="400" t="s">
        <v>484</v>
      </c>
      <c r="D97" s="401">
        <v>50000</v>
      </c>
    </row>
    <row r="98" spans="2:4" s="391" customFormat="1" ht="11.5" x14ac:dyDescent="0.25">
      <c r="B98" s="399">
        <v>30</v>
      </c>
      <c r="C98" s="400" t="s">
        <v>485</v>
      </c>
      <c r="D98" s="401">
        <v>15500</v>
      </c>
    </row>
    <row r="99" spans="2:4" s="391" customFormat="1" ht="11.5" x14ac:dyDescent="0.25">
      <c r="B99" s="399">
        <v>31</v>
      </c>
      <c r="C99" s="400" t="s">
        <v>486</v>
      </c>
      <c r="D99" s="401">
        <v>14000</v>
      </c>
    </row>
    <row r="100" spans="2:4" s="391" customFormat="1" ht="11.5" x14ac:dyDescent="0.25">
      <c r="B100" s="399">
        <v>32</v>
      </c>
      <c r="C100" s="400" t="s">
        <v>487</v>
      </c>
      <c r="D100" s="401">
        <v>75000.002200000017</v>
      </c>
    </row>
    <row r="101" spans="2:4" s="391" customFormat="1" ht="11.5" x14ac:dyDescent="0.25">
      <c r="B101" s="399">
        <v>33</v>
      </c>
      <c r="C101" s="400" t="s">
        <v>488</v>
      </c>
      <c r="D101" s="401">
        <v>39000</v>
      </c>
    </row>
    <row r="102" spans="2:4" s="391" customFormat="1" ht="11.5" x14ac:dyDescent="0.25">
      <c r="B102" s="399">
        <v>34</v>
      </c>
      <c r="C102" s="400" t="s">
        <v>488</v>
      </c>
      <c r="D102" s="401">
        <v>60000</v>
      </c>
    </row>
    <row r="103" spans="2:4" s="391" customFormat="1" ht="11.5" x14ac:dyDescent="0.25">
      <c r="B103" s="399">
        <v>35</v>
      </c>
      <c r="C103" s="400" t="s">
        <v>489</v>
      </c>
      <c r="D103" s="401">
        <v>369999.99730000005</v>
      </c>
    </row>
    <row r="104" spans="2:4" s="391" customFormat="1" ht="11.5" x14ac:dyDescent="0.25">
      <c r="B104" s="399">
        <v>36</v>
      </c>
      <c r="C104" s="400" t="s">
        <v>490</v>
      </c>
      <c r="D104" s="401">
        <v>16000</v>
      </c>
    </row>
    <row r="105" spans="2:4" s="391" customFormat="1" ht="11.5" x14ac:dyDescent="0.25">
      <c r="B105" s="399">
        <v>37</v>
      </c>
      <c r="C105" s="400" t="s">
        <v>491</v>
      </c>
      <c r="D105" s="401">
        <v>6000</v>
      </c>
    </row>
    <row r="106" spans="2:4" s="391" customFormat="1" ht="11.5" x14ac:dyDescent="0.25">
      <c r="B106" s="399">
        <v>38</v>
      </c>
      <c r="C106" s="400" t="s">
        <v>492</v>
      </c>
      <c r="D106" s="401">
        <v>16000</v>
      </c>
    </row>
    <row r="107" spans="2:4" s="391" customFormat="1" ht="11.5" x14ac:dyDescent="0.25">
      <c r="B107" s="399">
        <v>39</v>
      </c>
      <c r="C107" s="400" t="s">
        <v>493</v>
      </c>
      <c r="D107" s="401">
        <v>13000</v>
      </c>
    </row>
    <row r="108" spans="2:4" s="391" customFormat="1" ht="11.5" x14ac:dyDescent="0.25">
      <c r="B108" s="399">
        <v>40</v>
      </c>
      <c r="C108" s="400" t="s">
        <v>489</v>
      </c>
      <c r="D108" s="401">
        <v>350000</v>
      </c>
    </row>
    <row r="109" spans="2:4" s="391" customFormat="1" ht="11.5" x14ac:dyDescent="0.25">
      <c r="B109" s="399">
        <v>41</v>
      </c>
      <c r="C109" s="400" t="s">
        <v>494</v>
      </c>
      <c r="D109" s="401">
        <v>3000</v>
      </c>
    </row>
    <row r="110" spans="2:4" s="391" customFormat="1" ht="11.5" x14ac:dyDescent="0.25">
      <c r="B110" s="399">
        <v>42</v>
      </c>
      <c r="C110" s="400" t="s">
        <v>495</v>
      </c>
      <c r="D110" s="401">
        <v>8000</v>
      </c>
    </row>
    <row r="111" spans="2:4" s="391" customFormat="1" ht="11.5" x14ac:dyDescent="0.25">
      <c r="B111" s="399">
        <v>43</v>
      </c>
      <c r="C111" s="400" t="s">
        <v>496</v>
      </c>
      <c r="D111" s="401">
        <v>8000</v>
      </c>
    </row>
    <row r="112" spans="2:4" s="391" customFormat="1" ht="11.5" x14ac:dyDescent="0.25">
      <c r="B112" s="399">
        <v>44</v>
      </c>
      <c r="C112" s="400" t="s">
        <v>497</v>
      </c>
      <c r="D112" s="401">
        <v>25999.99955</v>
      </c>
    </row>
    <row r="113" spans="2:4" s="391" customFormat="1" ht="11.5" x14ac:dyDescent="0.25">
      <c r="B113" s="399">
        <v>45</v>
      </c>
      <c r="C113" s="400" t="s">
        <v>498</v>
      </c>
      <c r="D113" s="401">
        <v>220000</v>
      </c>
    </row>
    <row r="114" spans="2:4" s="391" customFormat="1" ht="11.5" x14ac:dyDescent="0.25">
      <c r="B114" s="399">
        <v>46</v>
      </c>
      <c r="C114" s="400" t="s">
        <v>499</v>
      </c>
      <c r="D114" s="401">
        <v>1549999.9990999999</v>
      </c>
    </row>
    <row r="115" spans="2:4" s="391" customFormat="1" ht="11.5" x14ac:dyDescent="0.25">
      <c r="B115" s="399">
        <v>47</v>
      </c>
      <c r="C115" s="400" t="s">
        <v>500</v>
      </c>
      <c r="D115" s="401">
        <v>2500000.0020000003</v>
      </c>
    </row>
    <row r="116" spans="2:4" s="391" customFormat="1" ht="11.5" x14ac:dyDescent="0.25">
      <c r="B116" s="399">
        <v>48</v>
      </c>
      <c r="C116" s="400" t="s">
        <v>473</v>
      </c>
      <c r="D116" s="401">
        <v>278000</v>
      </c>
    </row>
    <row r="117" spans="2:4" s="391" customFormat="1" ht="11.5" x14ac:dyDescent="0.25">
      <c r="B117" s="399">
        <v>49</v>
      </c>
      <c r="C117" s="400" t="s">
        <v>501</v>
      </c>
      <c r="D117" s="401">
        <v>38000.001400000008</v>
      </c>
    </row>
    <row r="118" spans="2:4" s="391" customFormat="1" ht="11.5" x14ac:dyDescent="0.25">
      <c r="B118" s="399">
        <v>50</v>
      </c>
      <c r="C118" s="400" t="s">
        <v>502</v>
      </c>
      <c r="D118" s="401">
        <v>650000.0048</v>
      </c>
    </row>
    <row r="119" spans="2:4" s="391" customFormat="1" ht="11.5" x14ac:dyDescent="0.25">
      <c r="B119" s="399">
        <v>51</v>
      </c>
      <c r="C119" s="400" t="s">
        <v>503</v>
      </c>
      <c r="D119" s="401">
        <v>50000</v>
      </c>
    </row>
    <row r="120" spans="2:4" s="391" customFormat="1" ht="11.5" x14ac:dyDescent="0.25">
      <c r="B120" s="399">
        <v>52</v>
      </c>
      <c r="C120" s="400" t="s">
        <v>504</v>
      </c>
      <c r="D120" s="401">
        <v>65000</v>
      </c>
    </row>
    <row r="121" spans="2:4" s="391" customFormat="1" ht="11.5" x14ac:dyDescent="0.25">
      <c r="B121" s="399">
        <v>53</v>
      </c>
      <c r="C121" s="400" t="s">
        <v>505</v>
      </c>
      <c r="D121" s="401">
        <v>250000.00020000001</v>
      </c>
    </row>
    <row r="122" spans="2:4" s="391" customFormat="1" ht="11.5" x14ac:dyDescent="0.25">
      <c r="B122" s="399">
        <v>54</v>
      </c>
      <c r="C122" s="400" t="s">
        <v>506</v>
      </c>
      <c r="D122" s="401">
        <v>37450</v>
      </c>
    </row>
    <row r="123" spans="2:4" s="391" customFormat="1" ht="11.5" x14ac:dyDescent="0.25">
      <c r="B123" s="399">
        <v>55</v>
      </c>
      <c r="C123" s="400" t="s">
        <v>507</v>
      </c>
      <c r="D123" s="401">
        <v>18000</v>
      </c>
    </row>
    <row r="124" spans="2:4" s="391" customFormat="1" ht="11.5" x14ac:dyDescent="0.25">
      <c r="B124" s="399">
        <v>56</v>
      </c>
      <c r="C124" s="400" t="s">
        <v>508</v>
      </c>
      <c r="D124" s="401">
        <v>280000</v>
      </c>
    </row>
    <row r="125" spans="2:4" s="391" customFormat="1" ht="11.5" x14ac:dyDescent="0.25">
      <c r="B125" s="399">
        <v>57</v>
      </c>
      <c r="C125" s="400" t="s">
        <v>509</v>
      </c>
      <c r="D125" s="401">
        <v>19000</v>
      </c>
    </row>
    <row r="126" spans="2:4" s="391" customFormat="1" ht="11.5" x14ac:dyDescent="0.25">
      <c r="B126" s="399">
        <v>58</v>
      </c>
      <c r="C126" s="400" t="s">
        <v>510</v>
      </c>
      <c r="D126" s="401">
        <v>10000</v>
      </c>
    </row>
    <row r="127" spans="2:4" s="391" customFormat="1" ht="11.5" x14ac:dyDescent="0.25">
      <c r="B127" s="399">
        <v>59</v>
      </c>
      <c r="C127" s="400" t="s">
        <v>511</v>
      </c>
      <c r="D127" s="401">
        <v>7000</v>
      </c>
    </row>
    <row r="128" spans="2:4" s="391" customFormat="1" ht="11.5" x14ac:dyDescent="0.25">
      <c r="B128" s="399">
        <v>60</v>
      </c>
      <c r="C128" s="400" t="s">
        <v>512</v>
      </c>
      <c r="D128" s="401">
        <v>250000</v>
      </c>
    </row>
    <row r="129" spans="2:4" s="391" customFormat="1" ht="11.5" x14ac:dyDescent="0.25">
      <c r="B129" s="399">
        <v>61</v>
      </c>
      <c r="C129" s="400" t="s">
        <v>513</v>
      </c>
      <c r="D129" s="401">
        <v>11500.0069</v>
      </c>
    </row>
    <row r="130" spans="2:4" s="391" customFormat="1" ht="11.5" x14ac:dyDescent="0.25">
      <c r="B130" s="399">
        <v>62</v>
      </c>
      <c r="C130" s="400" t="s">
        <v>514</v>
      </c>
      <c r="D130" s="401">
        <v>65000</v>
      </c>
    </row>
    <row r="131" spans="2:4" s="391" customFormat="1" ht="11.5" x14ac:dyDescent="0.25">
      <c r="B131" s="399">
        <v>63</v>
      </c>
      <c r="C131" s="400" t="s">
        <v>675</v>
      </c>
      <c r="D131" s="401">
        <v>72000.000400000004</v>
      </c>
    </row>
    <row r="132" spans="2:4" s="391" customFormat="1" ht="11.5" x14ac:dyDescent="0.25">
      <c r="B132" s="399">
        <v>64</v>
      </c>
      <c r="C132" s="400" t="s">
        <v>676</v>
      </c>
      <c r="D132" s="401">
        <v>42000</v>
      </c>
    </row>
    <row r="133" spans="2:4" s="391" customFormat="1" ht="11.5" x14ac:dyDescent="0.25">
      <c r="B133" s="399">
        <v>65</v>
      </c>
      <c r="C133" s="400" t="s">
        <v>515</v>
      </c>
      <c r="D133" s="401">
        <v>62000</v>
      </c>
    </row>
    <row r="134" spans="2:4" s="391" customFormat="1" ht="11.5" x14ac:dyDescent="0.25">
      <c r="B134" s="399">
        <v>66</v>
      </c>
      <c r="C134" s="400" t="s">
        <v>516</v>
      </c>
      <c r="D134" s="401">
        <v>11000</v>
      </c>
    </row>
    <row r="135" spans="2:4" s="391" customFormat="1" ht="11.5" x14ac:dyDescent="0.25">
      <c r="B135" s="399">
        <v>67</v>
      </c>
      <c r="C135" s="400" t="s">
        <v>517</v>
      </c>
      <c r="D135" s="401">
        <v>32000</v>
      </c>
    </row>
    <row r="136" spans="2:4" s="391" customFormat="1" ht="11.5" x14ac:dyDescent="0.25">
      <c r="B136" s="399">
        <v>68</v>
      </c>
      <c r="C136" s="400" t="s">
        <v>518</v>
      </c>
      <c r="D136" s="401">
        <v>32000</v>
      </c>
    </row>
    <row r="137" spans="2:4" s="391" customFormat="1" ht="11.5" x14ac:dyDescent="0.25">
      <c r="B137" s="399">
        <v>69</v>
      </c>
      <c r="C137" s="400" t="s">
        <v>519</v>
      </c>
      <c r="D137" s="401">
        <v>20000</v>
      </c>
    </row>
    <row r="138" spans="2:4" s="391" customFormat="1" ht="11.5" x14ac:dyDescent="0.25">
      <c r="B138" s="399">
        <v>70</v>
      </c>
      <c r="C138" s="400" t="s">
        <v>520</v>
      </c>
      <c r="D138" s="401">
        <v>10000</v>
      </c>
    </row>
    <row r="139" spans="2:4" s="391" customFormat="1" ht="11.5" x14ac:dyDescent="0.25">
      <c r="B139" s="399">
        <v>71</v>
      </c>
      <c r="C139" s="400" t="s">
        <v>520</v>
      </c>
      <c r="D139" s="401">
        <v>10599.997800000001</v>
      </c>
    </row>
    <row r="140" spans="2:4" s="391" customFormat="1" ht="11.5" x14ac:dyDescent="0.25">
      <c r="B140" s="399">
        <v>72</v>
      </c>
      <c r="C140" s="400" t="s">
        <v>521</v>
      </c>
      <c r="D140" s="401">
        <v>9000</v>
      </c>
    </row>
    <row r="141" spans="2:4" s="391" customFormat="1" ht="11.5" x14ac:dyDescent="0.25">
      <c r="B141" s="399">
        <v>73</v>
      </c>
      <c r="C141" s="400" t="s">
        <v>522</v>
      </c>
      <c r="D141" s="401">
        <v>7500</v>
      </c>
    </row>
    <row r="142" spans="2:4" s="391" customFormat="1" ht="11.5" x14ac:dyDescent="0.25">
      <c r="B142" s="399">
        <v>74</v>
      </c>
      <c r="C142" s="400" t="s">
        <v>521</v>
      </c>
      <c r="D142" s="401">
        <v>19000</v>
      </c>
    </row>
    <row r="143" spans="2:4" s="391" customFormat="1" ht="11.5" x14ac:dyDescent="0.25">
      <c r="B143" s="399">
        <v>75</v>
      </c>
      <c r="C143" s="400" t="s">
        <v>523</v>
      </c>
      <c r="D143" s="401">
        <v>15000</v>
      </c>
    </row>
    <row r="144" spans="2:4" s="391" customFormat="1" ht="11.5" x14ac:dyDescent="0.25">
      <c r="B144" s="399">
        <v>76</v>
      </c>
      <c r="C144" s="400" t="s">
        <v>524</v>
      </c>
      <c r="D144" s="401">
        <v>20000</v>
      </c>
    </row>
    <row r="145" spans="2:4" s="391" customFormat="1" ht="11.5" x14ac:dyDescent="0.25">
      <c r="B145" s="399">
        <v>77</v>
      </c>
      <c r="C145" s="400" t="s">
        <v>525</v>
      </c>
      <c r="D145" s="401">
        <v>24000</v>
      </c>
    </row>
    <row r="146" spans="2:4" s="391" customFormat="1" ht="11.5" x14ac:dyDescent="0.25">
      <c r="B146" s="399">
        <v>78</v>
      </c>
      <c r="C146" s="400" t="s">
        <v>526</v>
      </c>
      <c r="D146" s="401">
        <v>12000</v>
      </c>
    </row>
    <row r="147" spans="2:4" s="391" customFormat="1" ht="11.5" x14ac:dyDescent="0.25">
      <c r="B147" s="399">
        <v>79</v>
      </c>
      <c r="C147" s="400" t="s">
        <v>527</v>
      </c>
      <c r="D147" s="401">
        <v>6500</v>
      </c>
    </row>
    <row r="148" spans="2:4" s="391" customFormat="1" ht="11.5" x14ac:dyDescent="0.25">
      <c r="B148" s="399">
        <v>80</v>
      </c>
      <c r="C148" s="400" t="s">
        <v>677</v>
      </c>
      <c r="D148" s="401">
        <v>40000</v>
      </c>
    </row>
    <row r="149" spans="2:4" s="391" customFormat="1" ht="11.5" x14ac:dyDescent="0.25">
      <c r="B149" s="399">
        <v>81</v>
      </c>
      <c r="C149" s="400" t="s">
        <v>528</v>
      </c>
      <c r="D149" s="401">
        <v>58500</v>
      </c>
    </row>
    <row r="150" spans="2:4" s="391" customFormat="1" ht="11.5" x14ac:dyDescent="0.25">
      <c r="B150" s="399">
        <v>82</v>
      </c>
      <c r="C150" s="400" t="s">
        <v>529</v>
      </c>
      <c r="D150" s="401">
        <v>62500</v>
      </c>
    </row>
    <row r="151" spans="2:4" s="391" customFormat="1" ht="11.5" x14ac:dyDescent="0.25">
      <c r="B151" s="399">
        <v>83</v>
      </c>
      <c r="C151" s="400"/>
      <c r="D151" s="401"/>
    </row>
    <row r="152" spans="2:4" s="391" customFormat="1" ht="11.5" x14ac:dyDescent="0.25">
      <c r="B152" s="402"/>
      <c r="C152" s="402"/>
      <c r="D152" s="403"/>
    </row>
  </sheetData>
  <mergeCells count="9">
    <mergeCell ref="B67:D67"/>
    <mergeCell ref="B3:B4"/>
    <mergeCell ref="C3:C4"/>
    <mergeCell ref="D3:D4"/>
    <mergeCell ref="E3:Q3"/>
    <mergeCell ref="B33:B34"/>
    <mergeCell ref="C33:C34"/>
    <mergeCell ref="D33:D34"/>
    <mergeCell ref="E33:Q33"/>
  </mergeCells>
  <dataValidations count="2">
    <dataValidation type="list" allowBlank="1" showInputMessage="1" showErrorMessage="1" sqref="C5:C6" xr:uid="{00000000-0002-0000-0600-000000000000}">
      <formula1>$C$69:$C$151</formula1>
    </dataValidation>
    <dataValidation type="list" allowBlank="1" showInputMessage="1" showErrorMessage="1" sqref="C7:C29" xr:uid="{00000000-0002-0000-0600-000001000000}">
      <formula1>$C$68:$C$151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B2:R67"/>
  <sheetViews>
    <sheetView topLeftCell="A26" zoomScale="80" zoomScaleNormal="80" workbookViewId="0">
      <selection activeCell="G5" sqref="G5:L8"/>
    </sheetView>
  </sheetViews>
  <sheetFormatPr defaultRowHeight="11" x14ac:dyDescent="0.25"/>
  <cols>
    <col min="2" max="2" width="6.21875" customWidth="1"/>
    <col min="3" max="3" width="63.21875" customWidth="1"/>
    <col min="4" max="4" width="12.33203125" customWidth="1"/>
    <col min="5" max="5" width="11.33203125" customWidth="1"/>
    <col min="11" max="11" width="11.77734375" customWidth="1"/>
    <col min="17" max="17" width="13.109375" customWidth="1"/>
  </cols>
  <sheetData>
    <row r="2" spans="2:18" ht="14.5" thickBot="1" x14ac:dyDescent="0.35">
      <c r="B2" s="387" t="str">
        <f>E3</f>
        <v>ค่าเสื่อมราคา - คอมพิวเตอร์</v>
      </c>
    </row>
    <row r="3" spans="2:18" s="330" customFormat="1" ht="11.5" x14ac:dyDescent="0.25">
      <c r="B3" s="804" t="s">
        <v>276</v>
      </c>
      <c r="C3" s="806" t="s">
        <v>96</v>
      </c>
      <c r="D3" s="808" t="s">
        <v>150</v>
      </c>
      <c r="E3" s="810" t="str">
        <f>C48</f>
        <v>ค่าเสื่อมราคา - คอมพิวเตอร์</v>
      </c>
      <c r="F3" s="811"/>
      <c r="G3" s="811"/>
      <c r="H3" s="811"/>
      <c r="I3" s="811"/>
      <c r="J3" s="811"/>
      <c r="K3" s="811"/>
      <c r="L3" s="811"/>
      <c r="M3" s="811"/>
      <c r="N3" s="811"/>
      <c r="O3" s="811"/>
      <c r="P3" s="811"/>
      <c r="Q3" s="812"/>
    </row>
    <row r="4" spans="2:18" s="330" customFormat="1" ht="12" thickBot="1" x14ac:dyDescent="0.3">
      <c r="B4" s="805"/>
      <c r="C4" s="807"/>
      <c r="D4" s="809"/>
      <c r="E4" s="331" t="s">
        <v>279</v>
      </c>
      <c r="F4" s="332" t="s">
        <v>280</v>
      </c>
      <c r="G4" s="332" t="s">
        <v>281</v>
      </c>
      <c r="H4" s="332" t="s">
        <v>282</v>
      </c>
      <c r="I4" s="332" t="s">
        <v>33</v>
      </c>
      <c r="J4" s="332" t="s">
        <v>283</v>
      </c>
      <c r="K4" s="332" t="s">
        <v>284</v>
      </c>
      <c r="L4" s="332" t="s">
        <v>285</v>
      </c>
      <c r="M4" s="332" t="s">
        <v>286</v>
      </c>
      <c r="N4" s="332" t="s">
        <v>287</v>
      </c>
      <c r="O4" s="332" t="s">
        <v>288</v>
      </c>
      <c r="P4" s="332" t="s">
        <v>289</v>
      </c>
      <c r="Q4" s="333" t="s">
        <v>98</v>
      </c>
    </row>
    <row r="5" spans="2:18" s="330" customFormat="1" ht="11.5" x14ac:dyDescent="0.25">
      <c r="B5" s="334">
        <v>1</v>
      </c>
      <c r="C5" s="335"/>
      <c r="D5" s="336">
        <f>IFERROR(VLOOKUP(C5,$C$48:$D$66,2,0),0)</f>
        <v>0</v>
      </c>
      <c r="E5" s="337"/>
      <c r="F5" s="338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9">
        <f t="shared" ref="Q5:Q19" si="0">SUM(E5:P5)</f>
        <v>0</v>
      </c>
      <c r="R5" s="712" t="s">
        <v>734</v>
      </c>
    </row>
    <row r="6" spans="2:18" s="330" customFormat="1" ht="11.5" x14ac:dyDescent="0.25">
      <c r="B6" s="340">
        <v>2</v>
      </c>
      <c r="C6" s="335"/>
      <c r="D6" s="336">
        <f t="shared" ref="D6:D19" si="1">IFERROR(VLOOKUP(C6,$C$48:$D$66,2,0),0)</f>
        <v>0</v>
      </c>
      <c r="E6" s="341"/>
      <c r="F6" s="342"/>
      <c r="G6" s="342"/>
      <c r="H6" s="342"/>
      <c r="I6" s="342"/>
      <c r="J6" s="342"/>
      <c r="K6" s="342"/>
      <c r="L6" s="342"/>
      <c r="M6" s="342"/>
      <c r="N6" s="342"/>
      <c r="O6" s="342"/>
      <c r="P6" s="342"/>
      <c r="Q6" s="343">
        <f t="shared" si="0"/>
        <v>0</v>
      </c>
      <c r="R6" s="712" t="s">
        <v>733</v>
      </c>
    </row>
    <row r="7" spans="2:18" s="330" customFormat="1" ht="11.5" x14ac:dyDescent="0.25">
      <c r="B7" s="340">
        <v>3</v>
      </c>
      <c r="C7" s="335"/>
      <c r="D7" s="336">
        <f t="shared" si="1"/>
        <v>0</v>
      </c>
      <c r="E7" s="341"/>
      <c r="F7" s="342"/>
      <c r="G7" s="342"/>
      <c r="H7" s="342"/>
      <c r="I7" s="342"/>
      <c r="J7" s="342"/>
      <c r="K7" s="342"/>
      <c r="L7" s="342"/>
      <c r="M7" s="342"/>
      <c r="N7" s="342"/>
      <c r="O7" s="342"/>
      <c r="P7" s="342"/>
      <c r="Q7" s="343">
        <f t="shared" si="0"/>
        <v>0</v>
      </c>
    </row>
    <row r="8" spans="2:18" s="330" customFormat="1" ht="11.5" x14ac:dyDescent="0.25">
      <c r="B8" s="340">
        <v>4</v>
      </c>
      <c r="C8" s="335"/>
      <c r="D8" s="336">
        <f t="shared" si="1"/>
        <v>0</v>
      </c>
      <c r="E8" s="341"/>
      <c r="F8" s="342"/>
      <c r="G8" s="342"/>
      <c r="H8" s="342"/>
      <c r="I8" s="342"/>
      <c r="J8" s="342"/>
      <c r="K8" s="342"/>
      <c r="L8" s="342"/>
      <c r="M8" s="342"/>
      <c r="N8" s="342"/>
      <c r="O8" s="342"/>
      <c r="P8" s="342"/>
      <c r="Q8" s="343">
        <f t="shared" si="0"/>
        <v>0</v>
      </c>
    </row>
    <row r="9" spans="2:18" s="330" customFormat="1" ht="11.5" x14ac:dyDescent="0.25">
      <c r="B9" s="340">
        <v>5</v>
      </c>
      <c r="C9" s="335"/>
      <c r="D9" s="336">
        <f t="shared" si="1"/>
        <v>0</v>
      </c>
      <c r="E9" s="341"/>
      <c r="F9" s="342"/>
      <c r="G9" s="342"/>
      <c r="H9" s="342"/>
      <c r="I9" s="342"/>
      <c r="J9" s="342"/>
      <c r="K9" s="342"/>
      <c r="L9" s="342"/>
      <c r="M9" s="342"/>
      <c r="N9" s="342"/>
      <c r="O9" s="342"/>
      <c r="P9" s="342"/>
      <c r="Q9" s="343">
        <f t="shared" si="0"/>
        <v>0</v>
      </c>
    </row>
    <row r="10" spans="2:18" s="330" customFormat="1" ht="11.5" x14ac:dyDescent="0.25">
      <c r="B10" s="340">
        <v>6</v>
      </c>
      <c r="C10" s="335"/>
      <c r="D10" s="336">
        <f t="shared" si="1"/>
        <v>0</v>
      </c>
      <c r="E10" s="341"/>
      <c r="F10" s="342"/>
      <c r="G10" s="342"/>
      <c r="H10" s="342"/>
      <c r="I10" s="342"/>
      <c r="J10" s="342"/>
      <c r="K10" s="342"/>
      <c r="L10" s="342"/>
      <c r="M10" s="342"/>
      <c r="N10" s="342"/>
      <c r="O10" s="342"/>
      <c r="P10" s="342"/>
      <c r="Q10" s="343">
        <f t="shared" si="0"/>
        <v>0</v>
      </c>
    </row>
    <row r="11" spans="2:18" s="330" customFormat="1" ht="11.5" x14ac:dyDescent="0.25">
      <c r="B11" s="340">
        <v>7</v>
      </c>
      <c r="C11" s="335"/>
      <c r="D11" s="336">
        <f t="shared" si="1"/>
        <v>0</v>
      </c>
      <c r="E11" s="341"/>
      <c r="F11" s="342"/>
      <c r="G11" s="342"/>
      <c r="H11" s="342"/>
      <c r="I11" s="342"/>
      <c r="J11" s="342"/>
      <c r="K11" s="342"/>
      <c r="L11" s="342"/>
      <c r="M11" s="342"/>
      <c r="N11" s="342"/>
      <c r="O11" s="342"/>
      <c r="P11" s="342"/>
      <c r="Q11" s="343">
        <f t="shared" si="0"/>
        <v>0</v>
      </c>
    </row>
    <row r="12" spans="2:18" s="330" customFormat="1" ht="11.5" x14ac:dyDescent="0.25">
      <c r="B12" s="340">
        <v>8</v>
      </c>
      <c r="C12" s="335"/>
      <c r="D12" s="336">
        <f t="shared" si="1"/>
        <v>0</v>
      </c>
      <c r="E12" s="341"/>
      <c r="F12" s="342"/>
      <c r="G12" s="342"/>
      <c r="H12" s="342"/>
      <c r="I12" s="342"/>
      <c r="J12" s="342"/>
      <c r="K12" s="342"/>
      <c r="L12" s="342"/>
      <c r="M12" s="342"/>
      <c r="N12" s="342"/>
      <c r="O12" s="342"/>
      <c r="P12" s="342"/>
      <c r="Q12" s="343">
        <f t="shared" si="0"/>
        <v>0</v>
      </c>
    </row>
    <row r="13" spans="2:18" s="330" customFormat="1" ht="11.5" x14ac:dyDescent="0.25">
      <c r="B13" s="340">
        <v>9</v>
      </c>
      <c r="C13" s="335"/>
      <c r="D13" s="336">
        <f t="shared" si="1"/>
        <v>0</v>
      </c>
      <c r="E13" s="341"/>
      <c r="F13" s="342"/>
      <c r="G13" s="342"/>
      <c r="H13" s="342"/>
      <c r="I13" s="342"/>
      <c r="J13" s="342"/>
      <c r="K13" s="342"/>
      <c r="L13" s="342"/>
      <c r="M13" s="342"/>
      <c r="N13" s="342"/>
      <c r="O13" s="342"/>
      <c r="P13" s="342"/>
      <c r="Q13" s="343">
        <f t="shared" si="0"/>
        <v>0</v>
      </c>
    </row>
    <row r="14" spans="2:18" s="330" customFormat="1" ht="11.5" x14ac:dyDescent="0.25">
      <c r="B14" s="340">
        <v>10</v>
      </c>
      <c r="C14" s="335"/>
      <c r="D14" s="336">
        <f t="shared" si="1"/>
        <v>0</v>
      </c>
      <c r="E14" s="341"/>
      <c r="F14" s="342"/>
      <c r="G14" s="342"/>
      <c r="H14" s="342"/>
      <c r="I14" s="342"/>
      <c r="J14" s="342"/>
      <c r="K14" s="342"/>
      <c r="L14" s="342"/>
      <c r="M14" s="342"/>
      <c r="N14" s="342"/>
      <c r="O14" s="342"/>
      <c r="P14" s="342"/>
      <c r="Q14" s="343">
        <f t="shared" si="0"/>
        <v>0</v>
      </c>
    </row>
    <row r="15" spans="2:18" s="330" customFormat="1" ht="11.5" x14ac:dyDescent="0.25">
      <c r="B15" s="340">
        <v>11</v>
      </c>
      <c r="C15" s="335"/>
      <c r="D15" s="336">
        <f t="shared" si="1"/>
        <v>0</v>
      </c>
      <c r="E15" s="388"/>
      <c r="F15" s="389"/>
      <c r="G15" s="389"/>
      <c r="H15" s="389"/>
      <c r="I15" s="389"/>
      <c r="J15" s="389"/>
      <c r="K15" s="389"/>
      <c r="L15" s="389"/>
      <c r="M15" s="389"/>
      <c r="N15" s="389"/>
      <c r="O15" s="389"/>
      <c r="P15" s="389"/>
      <c r="Q15" s="343">
        <f t="shared" si="0"/>
        <v>0</v>
      </c>
    </row>
    <row r="16" spans="2:18" s="330" customFormat="1" ht="11.5" x14ac:dyDescent="0.25">
      <c r="B16" s="340">
        <v>12</v>
      </c>
      <c r="C16" s="335"/>
      <c r="D16" s="336">
        <f t="shared" si="1"/>
        <v>0</v>
      </c>
      <c r="E16" s="388"/>
      <c r="F16" s="389"/>
      <c r="G16" s="389"/>
      <c r="H16" s="389"/>
      <c r="I16" s="389"/>
      <c r="J16" s="389"/>
      <c r="K16" s="389"/>
      <c r="L16" s="389"/>
      <c r="M16" s="389"/>
      <c r="N16" s="389"/>
      <c r="O16" s="389"/>
      <c r="P16" s="389"/>
      <c r="Q16" s="343">
        <f t="shared" si="0"/>
        <v>0</v>
      </c>
    </row>
    <row r="17" spans="2:17" s="330" customFormat="1" ht="11.5" x14ac:dyDescent="0.25">
      <c r="B17" s="340">
        <v>13</v>
      </c>
      <c r="C17" s="335"/>
      <c r="D17" s="336">
        <f t="shared" si="1"/>
        <v>0</v>
      </c>
      <c r="E17" s="388"/>
      <c r="F17" s="389"/>
      <c r="G17" s="389"/>
      <c r="H17" s="389"/>
      <c r="I17" s="389"/>
      <c r="J17" s="389"/>
      <c r="K17" s="389"/>
      <c r="L17" s="389"/>
      <c r="M17" s="389"/>
      <c r="N17" s="389"/>
      <c r="O17" s="389"/>
      <c r="P17" s="389"/>
      <c r="Q17" s="343">
        <f t="shared" si="0"/>
        <v>0</v>
      </c>
    </row>
    <row r="18" spans="2:17" s="330" customFormat="1" ht="11.5" x14ac:dyDescent="0.25">
      <c r="B18" s="340">
        <v>14</v>
      </c>
      <c r="C18" s="335"/>
      <c r="D18" s="336">
        <f t="shared" si="1"/>
        <v>0</v>
      </c>
      <c r="E18" s="388"/>
      <c r="F18" s="389"/>
      <c r="G18" s="389"/>
      <c r="H18" s="389"/>
      <c r="I18" s="389"/>
      <c r="J18" s="389"/>
      <c r="K18" s="389"/>
      <c r="L18" s="389"/>
      <c r="M18" s="389"/>
      <c r="N18" s="389"/>
      <c r="O18" s="389"/>
      <c r="P18" s="389"/>
      <c r="Q18" s="343">
        <f t="shared" si="0"/>
        <v>0</v>
      </c>
    </row>
    <row r="19" spans="2:17" s="330" customFormat="1" ht="11.5" x14ac:dyDescent="0.25">
      <c r="B19" s="340">
        <v>15</v>
      </c>
      <c r="C19" s="335"/>
      <c r="D19" s="336">
        <f t="shared" si="1"/>
        <v>0</v>
      </c>
      <c r="E19" s="388"/>
      <c r="F19" s="389"/>
      <c r="G19" s="389"/>
      <c r="H19" s="389"/>
      <c r="I19" s="389"/>
      <c r="J19" s="389"/>
      <c r="K19" s="389"/>
      <c r="L19" s="389"/>
      <c r="M19" s="389"/>
      <c r="N19" s="389"/>
      <c r="O19" s="389"/>
      <c r="P19" s="389"/>
      <c r="Q19" s="343">
        <f t="shared" si="0"/>
        <v>0</v>
      </c>
    </row>
    <row r="20" spans="2:17" s="330" customFormat="1" ht="12" thickBot="1" x14ac:dyDescent="0.3">
      <c r="B20" s="344"/>
      <c r="C20" s="345"/>
      <c r="D20" s="346"/>
      <c r="E20" s="347"/>
      <c r="F20" s="348"/>
      <c r="G20" s="348"/>
      <c r="H20" s="348"/>
      <c r="I20" s="348"/>
      <c r="J20" s="348"/>
      <c r="K20" s="348"/>
      <c r="L20" s="348"/>
      <c r="M20" s="348"/>
      <c r="N20" s="348"/>
      <c r="O20" s="348"/>
      <c r="P20" s="348"/>
      <c r="Q20" s="349"/>
    </row>
    <row r="21" spans="2:17" s="330" customFormat="1" ht="12" thickBot="1" x14ac:dyDescent="0.3">
      <c r="B21" s="350"/>
      <c r="C21" s="351" t="s">
        <v>290</v>
      </c>
      <c r="D21" s="390"/>
      <c r="E21" s="352">
        <f t="shared" ref="E21:Q21" si="2">SUM(E5:E20)</f>
        <v>0</v>
      </c>
      <c r="F21" s="353">
        <f t="shared" si="2"/>
        <v>0</v>
      </c>
      <c r="G21" s="353">
        <f t="shared" si="2"/>
        <v>0</v>
      </c>
      <c r="H21" s="353">
        <f t="shared" si="2"/>
        <v>0</v>
      </c>
      <c r="I21" s="353">
        <f t="shared" si="2"/>
        <v>0</v>
      </c>
      <c r="J21" s="353">
        <f t="shared" si="2"/>
        <v>0</v>
      </c>
      <c r="K21" s="353">
        <f t="shared" si="2"/>
        <v>0</v>
      </c>
      <c r="L21" s="353">
        <f t="shared" si="2"/>
        <v>0</v>
      </c>
      <c r="M21" s="353">
        <f t="shared" si="2"/>
        <v>0</v>
      </c>
      <c r="N21" s="353">
        <f t="shared" si="2"/>
        <v>0</v>
      </c>
      <c r="O21" s="353">
        <f t="shared" si="2"/>
        <v>0</v>
      </c>
      <c r="P21" s="353">
        <f t="shared" si="2"/>
        <v>0</v>
      </c>
      <c r="Q21" s="354">
        <f t="shared" si="2"/>
        <v>0</v>
      </c>
    </row>
    <row r="22" spans="2:17" ht="11.5" thickBot="1" x14ac:dyDescent="0.3"/>
    <row r="23" spans="2:17" s="330" customFormat="1" ht="11.5" x14ac:dyDescent="0.25">
      <c r="B23" s="804" t="s">
        <v>276</v>
      </c>
      <c r="C23" s="806" t="s">
        <v>277</v>
      </c>
      <c r="D23" s="808" t="s">
        <v>150</v>
      </c>
      <c r="E23" s="810" t="s">
        <v>459</v>
      </c>
      <c r="F23" s="811"/>
      <c r="G23" s="811"/>
      <c r="H23" s="811"/>
      <c r="I23" s="811"/>
      <c r="J23" s="811"/>
      <c r="K23" s="811"/>
      <c r="L23" s="811"/>
      <c r="M23" s="811"/>
      <c r="N23" s="811"/>
      <c r="O23" s="811"/>
      <c r="P23" s="811"/>
      <c r="Q23" s="812"/>
    </row>
    <row r="24" spans="2:17" s="330" customFormat="1" ht="12" thickBot="1" x14ac:dyDescent="0.3">
      <c r="B24" s="805"/>
      <c r="C24" s="807"/>
      <c r="D24" s="809"/>
      <c r="E24" s="331" t="s">
        <v>279</v>
      </c>
      <c r="F24" s="332" t="s">
        <v>280</v>
      </c>
      <c r="G24" s="332" t="s">
        <v>281</v>
      </c>
      <c r="H24" s="332" t="s">
        <v>282</v>
      </c>
      <c r="I24" s="332" t="s">
        <v>33</v>
      </c>
      <c r="J24" s="332" t="s">
        <v>283</v>
      </c>
      <c r="K24" s="332" t="s">
        <v>284</v>
      </c>
      <c r="L24" s="332" t="s">
        <v>285</v>
      </c>
      <c r="M24" s="332" t="s">
        <v>286</v>
      </c>
      <c r="N24" s="332" t="s">
        <v>287</v>
      </c>
      <c r="O24" s="332" t="s">
        <v>288</v>
      </c>
      <c r="P24" s="332" t="s">
        <v>289</v>
      </c>
      <c r="Q24" s="333" t="s">
        <v>98</v>
      </c>
    </row>
    <row r="25" spans="2:17" s="330" customFormat="1" ht="11.5" x14ac:dyDescent="0.25">
      <c r="B25" s="334">
        <v>1</v>
      </c>
      <c r="C25" s="355">
        <f t="shared" ref="C25:D39" si="3">C5</f>
        <v>0</v>
      </c>
      <c r="D25" s="356">
        <f t="shared" si="3"/>
        <v>0</v>
      </c>
      <c r="E25" s="357">
        <f t="shared" ref="E25:P25" si="4">$D25*E5</f>
        <v>0</v>
      </c>
      <c r="F25" s="358">
        <f t="shared" si="4"/>
        <v>0</v>
      </c>
      <c r="G25" s="358">
        <f t="shared" si="4"/>
        <v>0</v>
      </c>
      <c r="H25" s="358">
        <f t="shared" si="4"/>
        <v>0</v>
      </c>
      <c r="I25" s="358">
        <f t="shared" si="4"/>
        <v>0</v>
      </c>
      <c r="J25" s="358">
        <f t="shared" si="4"/>
        <v>0</v>
      </c>
      <c r="K25" s="358">
        <f t="shared" si="4"/>
        <v>0</v>
      </c>
      <c r="L25" s="358">
        <f t="shared" si="4"/>
        <v>0</v>
      </c>
      <c r="M25" s="358">
        <f t="shared" si="4"/>
        <v>0</v>
      </c>
      <c r="N25" s="358">
        <f t="shared" si="4"/>
        <v>0</v>
      </c>
      <c r="O25" s="358">
        <f t="shared" si="4"/>
        <v>0</v>
      </c>
      <c r="P25" s="358">
        <f t="shared" si="4"/>
        <v>0</v>
      </c>
      <c r="Q25" s="359">
        <f>SUM(E25:P25)</f>
        <v>0</v>
      </c>
    </row>
    <row r="26" spans="2:17" s="330" customFormat="1" ht="11.5" x14ac:dyDescent="0.25">
      <c r="B26" s="340">
        <v>2</v>
      </c>
      <c r="C26" s="360">
        <f t="shared" si="3"/>
        <v>0</v>
      </c>
      <c r="D26" s="356">
        <f t="shared" si="3"/>
        <v>0</v>
      </c>
      <c r="E26" s="361">
        <f t="shared" ref="E26:P26" si="5">$D26*E6</f>
        <v>0</v>
      </c>
      <c r="F26" s="362">
        <f t="shared" si="5"/>
        <v>0</v>
      </c>
      <c r="G26" s="362">
        <f t="shared" si="5"/>
        <v>0</v>
      </c>
      <c r="H26" s="362">
        <f t="shared" si="5"/>
        <v>0</v>
      </c>
      <c r="I26" s="362">
        <f t="shared" si="5"/>
        <v>0</v>
      </c>
      <c r="J26" s="362">
        <f t="shared" si="5"/>
        <v>0</v>
      </c>
      <c r="K26" s="362">
        <f t="shared" si="5"/>
        <v>0</v>
      </c>
      <c r="L26" s="362">
        <f t="shared" si="5"/>
        <v>0</v>
      </c>
      <c r="M26" s="362">
        <f t="shared" si="5"/>
        <v>0</v>
      </c>
      <c r="N26" s="362">
        <f t="shared" si="5"/>
        <v>0</v>
      </c>
      <c r="O26" s="362">
        <f t="shared" si="5"/>
        <v>0</v>
      </c>
      <c r="P26" s="362">
        <f t="shared" si="5"/>
        <v>0</v>
      </c>
      <c r="Q26" s="363">
        <f t="shared" ref="Q26:Q39" si="6">SUM(E26:P26)</f>
        <v>0</v>
      </c>
    </row>
    <row r="27" spans="2:17" s="330" customFormat="1" ht="11.5" x14ac:dyDescent="0.25">
      <c r="B27" s="340">
        <v>3</v>
      </c>
      <c r="C27" s="360">
        <f t="shared" si="3"/>
        <v>0</v>
      </c>
      <c r="D27" s="356">
        <f t="shared" si="3"/>
        <v>0</v>
      </c>
      <c r="E27" s="361">
        <f t="shared" ref="E27:P27" si="7">$D27*E7</f>
        <v>0</v>
      </c>
      <c r="F27" s="362">
        <f t="shared" si="7"/>
        <v>0</v>
      </c>
      <c r="G27" s="362">
        <f t="shared" si="7"/>
        <v>0</v>
      </c>
      <c r="H27" s="362">
        <f t="shared" si="7"/>
        <v>0</v>
      </c>
      <c r="I27" s="362">
        <f t="shared" si="7"/>
        <v>0</v>
      </c>
      <c r="J27" s="362">
        <f t="shared" si="7"/>
        <v>0</v>
      </c>
      <c r="K27" s="362">
        <f t="shared" si="7"/>
        <v>0</v>
      </c>
      <c r="L27" s="362">
        <f t="shared" si="7"/>
        <v>0</v>
      </c>
      <c r="M27" s="362">
        <f t="shared" si="7"/>
        <v>0</v>
      </c>
      <c r="N27" s="362">
        <f t="shared" si="7"/>
        <v>0</v>
      </c>
      <c r="O27" s="362">
        <f t="shared" si="7"/>
        <v>0</v>
      </c>
      <c r="P27" s="362">
        <f t="shared" si="7"/>
        <v>0</v>
      </c>
      <c r="Q27" s="363">
        <f t="shared" si="6"/>
        <v>0</v>
      </c>
    </row>
    <row r="28" spans="2:17" s="330" customFormat="1" ht="11.5" x14ac:dyDescent="0.25">
      <c r="B28" s="340">
        <v>4</v>
      </c>
      <c r="C28" s="360">
        <f t="shared" si="3"/>
        <v>0</v>
      </c>
      <c r="D28" s="356">
        <f t="shared" si="3"/>
        <v>0</v>
      </c>
      <c r="E28" s="361">
        <f t="shared" ref="E28:P28" si="8">$D28*E8</f>
        <v>0</v>
      </c>
      <c r="F28" s="362">
        <f t="shared" si="8"/>
        <v>0</v>
      </c>
      <c r="G28" s="362">
        <f t="shared" si="8"/>
        <v>0</v>
      </c>
      <c r="H28" s="362">
        <f t="shared" si="8"/>
        <v>0</v>
      </c>
      <c r="I28" s="362">
        <f t="shared" si="8"/>
        <v>0</v>
      </c>
      <c r="J28" s="362">
        <f t="shared" si="8"/>
        <v>0</v>
      </c>
      <c r="K28" s="362">
        <f t="shared" si="8"/>
        <v>0</v>
      </c>
      <c r="L28" s="362">
        <f t="shared" si="8"/>
        <v>0</v>
      </c>
      <c r="M28" s="362">
        <f t="shared" si="8"/>
        <v>0</v>
      </c>
      <c r="N28" s="362">
        <f t="shared" si="8"/>
        <v>0</v>
      </c>
      <c r="O28" s="362">
        <f t="shared" si="8"/>
        <v>0</v>
      </c>
      <c r="P28" s="362">
        <f t="shared" si="8"/>
        <v>0</v>
      </c>
      <c r="Q28" s="363">
        <f t="shared" si="6"/>
        <v>0</v>
      </c>
    </row>
    <row r="29" spans="2:17" s="330" customFormat="1" ht="11.5" x14ac:dyDescent="0.25">
      <c r="B29" s="340">
        <v>5</v>
      </c>
      <c r="C29" s="360">
        <f t="shared" si="3"/>
        <v>0</v>
      </c>
      <c r="D29" s="356">
        <f t="shared" si="3"/>
        <v>0</v>
      </c>
      <c r="E29" s="361">
        <f t="shared" ref="E29:P29" si="9">$D29*E9</f>
        <v>0</v>
      </c>
      <c r="F29" s="362">
        <f t="shared" si="9"/>
        <v>0</v>
      </c>
      <c r="G29" s="362">
        <f t="shared" si="9"/>
        <v>0</v>
      </c>
      <c r="H29" s="362">
        <f t="shared" si="9"/>
        <v>0</v>
      </c>
      <c r="I29" s="362">
        <f t="shared" si="9"/>
        <v>0</v>
      </c>
      <c r="J29" s="362">
        <f t="shared" si="9"/>
        <v>0</v>
      </c>
      <c r="K29" s="362">
        <f t="shared" si="9"/>
        <v>0</v>
      </c>
      <c r="L29" s="362">
        <f t="shared" si="9"/>
        <v>0</v>
      </c>
      <c r="M29" s="362">
        <f t="shared" si="9"/>
        <v>0</v>
      </c>
      <c r="N29" s="362">
        <f t="shared" si="9"/>
        <v>0</v>
      </c>
      <c r="O29" s="362">
        <f t="shared" si="9"/>
        <v>0</v>
      </c>
      <c r="P29" s="362">
        <f t="shared" si="9"/>
        <v>0</v>
      </c>
      <c r="Q29" s="363">
        <f t="shared" si="6"/>
        <v>0</v>
      </c>
    </row>
    <row r="30" spans="2:17" s="330" customFormat="1" ht="11.5" x14ac:dyDescent="0.25">
      <c r="B30" s="340">
        <v>6</v>
      </c>
      <c r="C30" s="360">
        <f t="shared" si="3"/>
        <v>0</v>
      </c>
      <c r="D30" s="356">
        <f t="shared" si="3"/>
        <v>0</v>
      </c>
      <c r="E30" s="361">
        <f t="shared" ref="E30:P30" si="10">$D30*E10</f>
        <v>0</v>
      </c>
      <c r="F30" s="362">
        <f t="shared" si="10"/>
        <v>0</v>
      </c>
      <c r="G30" s="362">
        <f t="shared" si="10"/>
        <v>0</v>
      </c>
      <c r="H30" s="362">
        <f t="shared" si="10"/>
        <v>0</v>
      </c>
      <c r="I30" s="362">
        <f t="shared" si="10"/>
        <v>0</v>
      </c>
      <c r="J30" s="362">
        <f t="shared" si="10"/>
        <v>0</v>
      </c>
      <c r="K30" s="362">
        <f t="shared" si="10"/>
        <v>0</v>
      </c>
      <c r="L30" s="362">
        <f t="shared" si="10"/>
        <v>0</v>
      </c>
      <c r="M30" s="362">
        <f t="shared" si="10"/>
        <v>0</v>
      </c>
      <c r="N30" s="362">
        <f t="shared" si="10"/>
        <v>0</v>
      </c>
      <c r="O30" s="362">
        <f t="shared" si="10"/>
        <v>0</v>
      </c>
      <c r="P30" s="362">
        <f t="shared" si="10"/>
        <v>0</v>
      </c>
      <c r="Q30" s="363">
        <f t="shared" si="6"/>
        <v>0</v>
      </c>
    </row>
    <row r="31" spans="2:17" s="330" customFormat="1" ht="11.5" x14ac:dyDescent="0.25">
      <c r="B31" s="340">
        <v>7</v>
      </c>
      <c r="C31" s="360">
        <f t="shared" si="3"/>
        <v>0</v>
      </c>
      <c r="D31" s="356">
        <f t="shared" si="3"/>
        <v>0</v>
      </c>
      <c r="E31" s="361">
        <f t="shared" ref="E31:P31" si="11">$D31*E11</f>
        <v>0</v>
      </c>
      <c r="F31" s="362">
        <f t="shared" si="11"/>
        <v>0</v>
      </c>
      <c r="G31" s="362">
        <f t="shared" si="11"/>
        <v>0</v>
      </c>
      <c r="H31" s="362">
        <f t="shared" si="11"/>
        <v>0</v>
      </c>
      <c r="I31" s="362">
        <f t="shared" si="11"/>
        <v>0</v>
      </c>
      <c r="J31" s="362">
        <f t="shared" si="11"/>
        <v>0</v>
      </c>
      <c r="K31" s="362">
        <f t="shared" si="11"/>
        <v>0</v>
      </c>
      <c r="L31" s="362">
        <f t="shared" si="11"/>
        <v>0</v>
      </c>
      <c r="M31" s="362">
        <f t="shared" si="11"/>
        <v>0</v>
      </c>
      <c r="N31" s="362">
        <f t="shared" si="11"/>
        <v>0</v>
      </c>
      <c r="O31" s="362">
        <f t="shared" si="11"/>
        <v>0</v>
      </c>
      <c r="P31" s="362">
        <f t="shared" si="11"/>
        <v>0</v>
      </c>
      <c r="Q31" s="363">
        <f t="shared" si="6"/>
        <v>0</v>
      </c>
    </row>
    <row r="32" spans="2:17" s="330" customFormat="1" ht="11.5" x14ac:dyDescent="0.25">
      <c r="B32" s="340">
        <v>8</v>
      </c>
      <c r="C32" s="360">
        <f t="shared" si="3"/>
        <v>0</v>
      </c>
      <c r="D32" s="356">
        <f t="shared" si="3"/>
        <v>0</v>
      </c>
      <c r="E32" s="361">
        <f t="shared" ref="E32:P32" si="12">$D32*E12</f>
        <v>0</v>
      </c>
      <c r="F32" s="362">
        <f t="shared" si="12"/>
        <v>0</v>
      </c>
      <c r="G32" s="362">
        <f t="shared" si="12"/>
        <v>0</v>
      </c>
      <c r="H32" s="362">
        <f t="shared" si="12"/>
        <v>0</v>
      </c>
      <c r="I32" s="362">
        <f t="shared" si="12"/>
        <v>0</v>
      </c>
      <c r="J32" s="362">
        <f t="shared" si="12"/>
        <v>0</v>
      </c>
      <c r="K32" s="362">
        <f t="shared" si="12"/>
        <v>0</v>
      </c>
      <c r="L32" s="362">
        <f t="shared" si="12"/>
        <v>0</v>
      </c>
      <c r="M32" s="362">
        <f t="shared" si="12"/>
        <v>0</v>
      </c>
      <c r="N32" s="362">
        <f t="shared" si="12"/>
        <v>0</v>
      </c>
      <c r="O32" s="362">
        <f t="shared" si="12"/>
        <v>0</v>
      </c>
      <c r="P32" s="362">
        <f t="shared" si="12"/>
        <v>0</v>
      </c>
      <c r="Q32" s="363">
        <f t="shared" si="6"/>
        <v>0</v>
      </c>
    </row>
    <row r="33" spans="2:17" s="330" customFormat="1" ht="11.5" x14ac:dyDescent="0.25">
      <c r="B33" s="340">
        <v>9</v>
      </c>
      <c r="C33" s="360">
        <f t="shared" si="3"/>
        <v>0</v>
      </c>
      <c r="D33" s="356">
        <f t="shared" si="3"/>
        <v>0</v>
      </c>
      <c r="E33" s="361">
        <f t="shared" ref="E33:P33" si="13">$D33*E13</f>
        <v>0</v>
      </c>
      <c r="F33" s="362">
        <f t="shared" si="13"/>
        <v>0</v>
      </c>
      <c r="G33" s="362">
        <f t="shared" si="13"/>
        <v>0</v>
      </c>
      <c r="H33" s="362">
        <f t="shared" si="13"/>
        <v>0</v>
      </c>
      <c r="I33" s="362">
        <f t="shared" si="13"/>
        <v>0</v>
      </c>
      <c r="J33" s="362">
        <f t="shared" si="13"/>
        <v>0</v>
      </c>
      <c r="K33" s="362">
        <f t="shared" si="13"/>
        <v>0</v>
      </c>
      <c r="L33" s="362">
        <f t="shared" si="13"/>
        <v>0</v>
      </c>
      <c r="M33" s="362">
        <f t="shared" si="13"/>
        <v>0</v>
      </c>
      <c r="N33" s="362">
        <f t="shared" si="13"/>
        <v>0</v>
      </c>
      <c r="O33" s="362">
        <f t="shared" si="13"/>
        <v>0</v>
      </c>
      <c r="P33" s="362">
        <f t="shared" si="13"/>
        <v>0</v>
      </c>
      <c r="Q33" s="363">
        <f t="shared" si="6"/>
        <v>0</v>
      </c>
    </row>
    <row r="34" spans="2:17" s="330" customFormat="1" ht="11.5" x14ac:dyDescent="0.25">
      <c r="B34" s="340">
        <v>10</v>
      </c>
      <c r="C34" s="360">
        <f t="shared" si="3"/>
        <v>0</v>
      </c>
      <c r="D34" s="356">
        <f t="shared" si="3"/>
        <v>0</v>
      </c>
      <c r="E34" s="361">
        <f t="shared" ref="E34:P34" si="14">$D34*E14</f>
        <v>0</v>
      </c>
      <c r="F34" s="362">
        <f t="shared" si="14"/>
        <v>0</v>
      </c>
      <c r="G34" s="362">
        <f t="shared" si="14"/>
        <v>0</v>
      </c>
      <c r="H34" s="362">
        <f t="shared" si="14"/>
        <v>0</v>
      </c>
      <c r="I34" s="362">
        <f t="shared" si="14"/>
        <v>0</v>
      </c>
      <c r="J34" s="362">
        <f t="shared" si="14"/>
        <v>0</v>
      </c>
      <c r="K34" s="362">
        <f t="shared" si="14"/>
        <v>0</v>
      </c>
      <c r="L34" s="362">
        <f t="shared" si="14"/>
        <v>0</v>
      </c>
      <c r="M34" s="362">
        <f t="shared" si="14"/>
        <v>0</v>
      </c>
      <c r="N34" s="362">
        <f t="shared" si="14"/>
        <v>0</v>
      </c>
      <c r="O34" s="362">
        <f t="shared" si="14"/>
        <v>0</v>
      </c>
      <c r="P34" s="362">
        <f t="shared" si="14"/>
        <v>0</v>
      </c>
      <c r="Q34" s="363">
        <f t="shared" si="6"/>
        <v>0</v>
      </c>
    </row>
    <row r="35" spans="2:17" s="330" customFormat="1" ht="11.5" x14ac:dyDescent="0.25">
      <c r="B35" s="340">
        <v>11</v>
      </c>
      <c r="C35" s="360">
        <f t="shared" si="3"/>
        <v>0</v>
      </c>
      <c r="D35" s="356">
        <f t="shared" si="3"/>
        <v>0</v>
      </c>
      <c r="E35" s="361">
        <f t="shared" ref="E35:P35" si="15">$D35*E15</f>
        <v>0</v>
      </c>
      <c r="F35" s="362">
        <f t="shared" si="15"/>
        <v>0</v>
      </c>
      <c r="G35" s="362">
        <f t="shared" si="15"/>
        <v>0</v>
      </c>
      <c r="H35" s="362">
        <f t="shared" si="15"/>
        <v>0</v>
      </c>
      <c r="I35" s="362">
        <f t="shared" si="15"/>
        <v>0</v>
      </c>
      <c r="J35" s="362">
        <f t="shared" si="15"/>
        <v>0</v>
      </c>
      <c r="K35" s="362">
        <f t="shared" si="15"/>
        <v>0</v>
      </c>
      <c r="L35" s="362">
        <f t="shared" si="15"/>
        <v>0</v>
      </c>
      <c r="M35" s="362">
        <f t="shared" si="15"/>
        <v>0</v>
      </c>
      <c r="N35" s="362">
        <f t="shared" si="15"/>
        <v>0</v>
      </c>
      <c r="O35" s="362">
        <f t="shared" si="15"/>
        <v>0</v>
      </c>
      <c r="P35" s="362">
        <f t="shared" si="15"/>
        <v>0</v>
      </c>
      <c r="Q35" s="363">
        <f t="shared" si="6"/>
        <v>0</v>
      </c>
    </row>
    <row r="36" spans="2:17" s="330" customFormat="1" ht="11.5" x14ac:dyDescent="0.25">
      <c r="B36" s="340">
        <v>12</v>
      </c>
      <c r="C36" s="360">
        <f t="shared" si="3"/>
        <v>0</v>
      </c>
      <c r="D36" s="356">
        <f t="shared" si="3"/>
        <v>0</v>
      </c>
      <c r="E36" s="361">
        <f t="shared" ref="E36:P36" si="16">$D36*E16</f>
        <v>0</v>
      </c>
      <c r="F36" s="362">
        <f t="shared" si="16"/>
        <v>0</v>
      </c>
      <c r="G36" s="362">
        <f t="shared" si="16"/>
        <v>0</v>
      </c>
      <c r="H36" s="362">
        <f t="shared" si="16"/>
        <v>0</v>
      </c>
      <c r="I36" s="362">
        <f t="shared" si="16"/>
        <v>0</v>
      </c>
      <c r="J36" s="362">
        <f t="shared" si="16"/>
        <v>0</v>
      </c>
      <c r="K36" s="362">
        <f t="shared" si="16"/>
        <v>0</v>
      </c>
      <c r="L36" s="362">
        <f t="shared" si="16"/>
        <v>0</v>
      </c>
      <c r="M36" s="362">
        <f t="shared" si="16"/>
        <v>0</v>
      </c>
      <c r="N36" s="362">
        <f t="shared" si="16"/>
        <v>0</v>
      </c>
      <c r="O36" s="362">
        <f t="shared" si="16"/>
        <v>0</v>
      </c>
      <c r="P36" s="362">
        <f t="shared" si="16"/>
        <v>0</v>
      </c>
      <c r="Q36" s="363">
        <f t="shared" si="6"/>
        <v>0</v>
      </c>
    </row>
    <row r="37" spans="2:17" s="330" customFormat="1" ht="11.5" x14ac:dyDescent="0.25">
      <c r="B37" s="340">
        <v>13</v>
      </c>
      <c r="C37" s="360">
        <f t="shared" si="3"/>
        <v>0</v>
      </c>
      <c r="D37" s="356">
        <f t="shared" si="3"/>
        <v>0</v>
      </c>
      <c r="E37" s="361">
        <f t="shared" ref="E37:P37" si="17">$D37*E17</f>
        <v>0</v>
      </c>
      <c r="F37" s="362">
        <f t="shared" si="17"/>
        <v>0</v>
      </c>
      <c r="G37" s="362">
        <f t="shared" si="17"/>
        <v>0</v>
      </c>
      <c r="H37" s="362">
        <f t="shared" si="17"/>
        <v>0</v>
      </c>
      <c r="I37" s="362">
        <f t="shared" si="17"/>
        <v>0</v>
      </c>
      <c r="J37" s="362">
        <f t="shared" si="17"/>
        <v>0</v>
      </c>
      <c r="K37" s="362">
        <f t="shared" si="17"/>
        <v>0</v>
      </c>
      <c r="L37" s="362">
        <f t="shared" si="17"/>
        <v>0</v>
      </c>
      <c r="M37" s="362">
        <f t="shared" si="17"/>
        <v>0</v>
      </c>
      <c r="N37" s="362">
        <f t="shared" si="17"/>
        <v>0</v>
      </c>
      <c r="O37" s="362">
        <f t="shared" si="17"/>
        <v>0</v>
      </c>
      <c r="P37" s="362">
        <f t="shared" si="17"/>
        <v>0</v>
      </c>
      <c r="Q37" s="363">
        <f t="shared" si="6"/>
        <v>0</v>
      </c>
    </row>
    <row r="38" spans="2:17" s="330" customFormat="1" ht="11.5" x14ac:dyDescent="0.25">
      <c r="B38" s="340">
        <v>14</v>
      </c>
      <c r="C38" s="360">
        <f t="shared" si="3"/>
        <v>0</v>
      </c>
      <c r="D38" s="356">
        <f t="shared" si="3"/>
        <v>0</v>
      </c>
      <c r="E38" s="361">
        <f t="shared" ref="E38:P38" si="18">$D38*E18</f>
        <v>0</v>
      </c>
      <c r="F38" s="362">
        <f t="shared" si="18"/>
        <v>0</v>
      </c>
      <c r="G38" s="362">
        <f t="shared" si="18"/>
        <v>0</v>
      </c>
      <c r="H38" s="362">
        <f t="shared" si="18"/>
        <v>0</v>
      </c>
      <c r="I38" s="362">
        <f t="shared" si="18"/>
        <v>0</v>
      </c>
      <c r="J38" s="362">
        <f t="shared" si="18"/>
        <v>0</v>
      </c>
      <c r="K38" s="362">
        <f t="shared" si="18"/>
        <v>0</v>
      </c>
      <c r="L38" s="362">
        <f t="shared" si="18"/>
        <v>0</v>
      </c>
      <c r="M38" s="362">
        <f t="shared" si="18"/>
        <v>0</v>
      </c>
      <c r="N38" s="362">
        <f t="shared" si="18"/>
        <v>0</v>
      </c>
      <c r="O38" s="362">
        <f t="shared" si="18"/>
        <v>0</v>
      </c>
      <c r="P38" s="362">
        <f t="shared" si="18"/>
        <v>0</v>
      </c>
      <c r="Q38" s="363">
        <f t="shared" si="6"/>
        <v>0</v>
      </c>
    </row>
    <row r="39" spans="2:17" s="330" customFormat="1" ht="11.5" x14ac:dyDescent="0.25">
      <c r="B39" s="340">
        <v>15</v>
      </c>
      <c r="C39" s="360">
        <f t="shared" si="3"/>
        <v>0</v>
      </c>
      <c r="D39" s="356">
        <f t="shared" si="3"/>
        <v>0</v>
      </c>
      <c r="E39" s="361">
        <f t="shared" ref="E39:P39" si="19">$D39*E19</f>
        <v>0</v>
      </c>
      <c r="F39" s="362">
        <f t="shared" si="19"/>
        <v>0</v>
      </c>
      <c r="G39" s="362">
        <f t="shared" si="19"/>
        <v>0</v>
      </c>
      <c r="H39" s="362">
        <f t="shared" si="19"/>
        <v>0</v>
      </c>
      <c r="I39" s="362">
        <f t="shared" si="19"/>
        <v>0</v>
      </c>
      <c r="J39" s="362">
        <f t="shared" si="19"/>
        <v>0</v>
      </c>
      <c r="K39" s="362">
        <f t="shared" si="19"/>
        <v>0</v>
      </c>
      <c r="L39" s="362">
        <f t="shared" si="19"/>
        <v>0</v>
      </c>
      <c r="M39" s="362">
        <f t="shared" si="19"/>
        <v>0</v>
      </c>
      <c r="N39" s="362">
        <f t="shared" si="19"/>
        <v>0</v>
      </c>
      <c r="O39" s="362">
        <f t="shared" si="19"/>
        <v>0</v>
      </c>
      <c r="P39" s="362">
        <f t="shared" si="19"/>
        <v>0</v>
      </c>
      <c r="Q39" s="363">
        <f t="shared" si="6"/>
        <v>0</v>
      </c>
    </row>
    <row r="40" spans="2:17" s="330" customFormat="1" ht="12" thickBot="1" x14ac:dyDescent="0.3">
      <c r="B40" s="344"/>
      <c r="C40" s="345"/>
      <c r="D40" s="364"/>
      <c r="E40" s="365"/>
      <c r="F40" s="366"/>
      <c r="G40" s="366"/>
      <c r="H40" s="366"/>
      <c r="I40" s="366"/>
      <c r="J40" s="366"/>
      <c r="K40" s="366"/>
      <c r="L40" s="366"/>
      <c r="M40" s="366"/>
      <c r="N40" s="366"/>
      <c r="O40" s="366"/>
      <c r="P40" s="366"/>
      <c r="Q40" s="367"/>
    </row>
    <row r="41" spans="2:17" s="330" customFormat="1" ht="12" thickBot="1" x14ac:dyDescent="0.3">
      <c r="B41" s="350"/>
      <c r="C41" s="351" t="s">
        <v>290</v>
      </c>
      <c r="D41" s="368"/>
      <c r="E41" s="369">
        <f t="shared" ref="E41:Q41" si="20">SUM(E25:E40)</f>
        <v>0</v>
      </c>
      <c r="F41" s="370">
        <f t="shared" si="20"/>
        <v>0</v>
      </c>
      <c r="G41" s="370">
        <f t="shared" si="20"/>
        <v>0</v>
      </c>
      <c r="H41" s="370">
        <f t="shared" si="20"/>
        <v>0</v>
      </c>
      <c r="I41" s="370">
        <f t="shared" si="20"/>
        <v>0</v>
      </c>
      <c r="J41" s="370">
        <f t="shared" si="20"/>
        <v>0</v>
      </c>
      <c r="K41" s="370">
        <f t="shared" si="20"/>
        <v>0</v>
      </c>
      <c r="L41" s="370">
        <f t="shared" si="20"/>
        <v>0</v>
      </c>
      <c r="M41" s="370">
        <f t="shared" si="20"/>
        <v>0</v>
      </c>
      <c r="N41" s="370">
        <f t="shared" si="20"/>
        <v>0</v>
      </c>
      <c r="O41" s="370">
        <f t="shared" si="20"/>
        <v>0</v>
      </c>
      <c r="P41" s="370">
        <f t="shared" si="20"/>
        <v>0</v>
      </c>
      <c r="Q41" s="371">
        <f t="shared" si="20"/>
        <v>0</v>
      </c>
    </row>
    <row r="46" spans="2:17" s="391" customFormat="1" ht="12" thickBot="1" x14ac:dyDescent="0.3"/>
    <row r="47" spans="2:17" s="391" customFormat="1" ht="11.5" x14ac:dyDescent="0.25">
      <c r="B47" s="801" t="s">
        <v>292</v>
      </c>
      <c r="C47" s="802"/>
      <c r="D47" s="803"/>
    </row>
    <row r="48" spans="2:17" s="391" customFormat="1" ht="12" thickBot="1" x14ac:dyDescent="0.3">
      <c r="B48" s="392" t="s">
        <v>293</v>
      </c>
      <c r="C48" s="393" t="s">
        <v>250</v>
      </c>
      <c r="D48" s="394" t="s">
        <v>461</v>
      </c>
      <c r="E48" s="395"/>
    </row>
    <row r="49" spans="2:4" s="391" customFormat="1" ht="12" thickBot="1" x14ac:dyDescent="0.3">
      <c r="B49" s="396">
        <v>1</v>
      </c>
      <c r="C49" s="397" t="s">
        <v>530</v>
      </c>
      <c r="D49" s="398">
        <v>31500</v>
      </c>
    </row>
    <row r="50" spans="2:4" s="391" customFormat="1" ht="11.5" x14ac:dyDescent="0.25">
      <c r="B50" s="399">
        <v>2</v>
      </c>
      <c r="C50" s="397" t="s">
        <v>678</v>
      </c>
      <c r="D50" s="401" t="s">
        <v>679</v>
      </c>
    </row>
    <row r="51" spans="2:4" s="391" customFormat="1" ht="11.5" x14ac:dyDescent="0.25">
      <c r="B51" s="399">
        <v>3</v>
      </c>
      <c r="C51" s="400" t="s">
        <v>680</v>
      </c>
      <c r="D51" s="401">
        <v>29000</v>
      </c>
    </row>
    <row r="52" spans="2:4" s="391" customFormat="1" ht="11.5" x14ac:dyDescent="0.25">
      <c r="B52" s="399">
        <v>4</v>
      </c>
      <c r="C52" s="400" t="s">
        <v>531</v>
      </c>
      <c r="D52" s="401">
        <v>28000</v>
      </c>
    </row>
    <row r="53" spans="2:4" s="391" customFormat="1" ht="11.5" x14ac:dyDescent="0.25">
      <c r="B53" s="399">
        <v>5</v>
      </c>
      <c r="C53" s="400" t="s">
        <v>532</v>
      </c>
      <c r="D53" s="401">
        <v>9650</v>
      </c>
    </row>
    <row r="54" spans="2:4" s="391" customFormat="1" ht="11.5" x14ac:dyDescent="0.25">
      <c r="B54" s="399">
        <v>6</v>
      </c>
      <c r="C54" s="400" t="s">
        <v>533</v>
      </c>
      <c r="D54" s="401">
        <v>12940</v>
      </c>
    </row>
    <row r="55" spans="2:4" s="391" customFormat="1" ht="11.5" x14ac:dyDescent="0.25">
      <c r="B55" s="399">
        <v>7</v>
      </c>
      <c r="C55" s="400" t="s">
        <v>534</v>
      </c>
      <c r="D55" s="401">
        <v>18000</v>
      </c>
    </row>
    <row r="56" spans="2:4" s="391" customFormat="1" ht="11.5" x14ac:dyDescent="0.25">
      <c r="B56" s="399">
        <v>8</v>
      </c>
      <c r="C56" s="400" t="s">
        <v>535</v>
      </c>
      <c r="D56" s="401">
        <v>4000</v>
      </c>
    </row>
    <row r="57" spans="2:4" s="391" customFormat="1" ht="11.5" x14ac:dyDescent="0.25">
      <c r="B57" s="399">
        <v>9</v>
      </c>
      <c r="C57" s="400" t="s">
        <v>535</v>
      </c>
      <c r="D57" s="401">
        <v>12000</v>
      </c>
    </row>
    <row r="58" spans="2:4" s="391" customFormat="1" ht="11.5" x14ac:dyDescent="0.25">
      <c r="B58" s="399">
        <v>10</v>
      </c>
      <c r="C58" s="400" t="s">
        <v>536</v>
      </c>
      <c r="D58" s="401">
        <v>3200</v>
      </c>
    </row>
    <row r="59" spans="2:4" s="391" customFormat="1" ht="11.5" x14ac:dyDescent="0.25">
      <c r="B59" s="399">
        <v>11</v>
      </c>
      <c r="C59" s="400" t="s">
        <v>537</v>
      </c>
      <c r="D59" s="401">
        <v>990</v>
      </c>
    </row>
    <row r="60" spans="2:4" s="391" customFormat="1" ht="11.5" x14ac:dyDescent="0.25">
      <c r="B60" s="399">
        <v>12</v>
      </c>
      <c r="C60" s="400" t="s">
        <v>538</v>
      </c>
      <c r="D60" s="401">
        <v>30000</v>
      </c>
    </row>
    <row r="61" spans="2:4" s="391" customFormat="1" ht="11.5" x14ac:dyDescent="0.25">
      <c r="B61" s="399">
        <v>13</v>
      </c>
      <c r="C61" s="400" t="s">
        <v>539</v>
      </c>
      <c r="D61" s="401">
        <v>7250</v>
      </c>
    </row>
    <row r="62" spans="2:4" s="391" customFormat="1" ht="11.5" x14ac:dyDescent="0.25">
      <c r="B62" s="399">
        <v>14</v>
      </c>
      <c r="C62" s="400" t="s">
        <v>540</v>
      </c>
      <c r="D62" s="401">
        <v>12000</v>
      </c>
    </row>
    <row r="63" spans="2:4" s="391" customFormat="1" ht="11.5" x14ac:dyDescent="0.25">
      <c r="B63" s="399">
        <v>15</v>
      </c>
      <c r="C63" s="400" t="s">
        <v>541</v>
      </c>
      <c r="D63" s="401">
        <v>3300</v>
      </c>
    </row>
    <row r="64" spans="2:4" s="391" customFormat="1" ht="11.5" x14ac:dyDescent="0.25">
      <c r="B64" s="399">
        <v>16</v>
      </c>
      <c r="C64" s="400" t="s">
        <v>542</v>
      </c>
      <c r="D64" s="401">
        <v>1250</v>
      </c>
    </row>
    <row r="65" spans="2:4" s="391" customFormat="1" ht="11.5" x14ac:dyDescent="0.25">
      <c r="B65" s="399">
        <v>17</v>
      </c>
      <c r="C65" s="400" t="s">
        <v>543</v>
      </c>
      <c r="D65" s="401">
        <v>5500</v>
      </c>
    </row>
    <row r="66" spans="2:4" s="391" customFormat="1" ht="11.5" x14ac:dyDescent="0.25">
      <c r="B66" s="399">
        <v>18</v>
      </c>
      <c r="C66" s="400"/>
      <c r="D66" s="401"/>
    </row>
    <row r="67" spans="2:4" x14ac:dyDescent="0.25">
      <c r="B67" s="404"/>
      <c r="C67" s="404"/>
      <c r="D67" s="404"/>
    </row>
  </sheetData>
  <mergeCells count="9">
    <mergeCell ref="B47:D47"/>
    <mergeCell ref="B3:B4"/>
    <mergeCell ref="C3:C4"/>
    <mergeCell ref="D3:D4"/>
    <mergeCell ref="E3:Q3"/>
    <mergeCell ref="B23:B24"/>
    <mergeCell ref="C23:C24"/>
    <mergeCell ref="D23:D24"/>
    <mergeCell ref="E23:Q23"/>
  </mergeCells>
  <dataValidations count="1">
    <dataValidation type="list" allowBlank="1" showInputMessage="1" showErrorMessage="1" sqref="C5:C19" xr:uid="{00000000-0002-0000-0700-000000000000}">
      <formula1>$C$49:$C$66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B2:R95"/>
  <sheetViews>
    <sheetView topLeftCell="A26" zoomScale="80" zoomScaleNormal="80" workbookViewId="0">
      <selection activeCell="E5" sqref="E5:H8"/>
    </sheetView>
  </sheetViews>
  <sheetFormatPr defaultRowHeight="11" x14ac:dyDescent="0.25"/>
  <cols>
    <col min="2" max="2" width="6.21875" customWidth="1"/>
    <col min="3" max="3" width="37" customWidth="1"/>
    <col min="4" max="4" width="12.33203125" customWidth="1"/>
    <col min="5" max="5" width="11.33203125" customWidth="1"/>
    <col min="11" max="11" width="9.33203125" customWidth="1"/>
    <col min="17" max="17" width="13.109375" customWidth="1"/>
  </cols>
  <sheetData>
    <row r="2" spans="2:18" ht="14.5" thickBot="1" x14ac:dyDescent="0.35">
      <c r="B2" s="387" t="str">
        <f>E3</f>
        <v xml:space="preserve">  ค่าเสื่อมราคา - เฟอร์นิเจอร์ &amp; เครื่องใช้สำนักงาน</v>
      </c>
    </row>
    <row r="3" spans="2:18" s="330" customFormat="1" ht="11.5" x14ac:dyDescent="0.25">
      <c r="B3" s="804" t="s">
        <v>276</v>
      </c>
      <c r="C3" s="806" t="s">
        <v>96</v>
      </c>
      <c r="D3" s="808" t="s">
        <v>150</v>
      </c>
      <c r="E3" s="810" t="str">
        <f>C58</f>
        <v xml:space="preserve">  ค่าเสื่อมราคา - เฟอร์นิเจอร์ &amp; เครื่องใช้สำนักงาน</v>
      </c>
      <c r="F3" s="811"/>
      <c r="G3" s="811"/>
      <c r="H3" s="811"/>
      <c r="I3" s="811"/>
      <c r="J3" s="811"/>
      <c r="K3" s="811"/>
      <c r="L3" s="811"/>
      <c r="M3" s="811"/>
      <c r="N3" s="811"/>
      <c r="O3" s="811"/>
      <c r="P3" s="811"/>
      <c r="Q3" s="812"/>
    </row>
    <row r="4" spans="2:18" s="330" customFormat="1" ht="12" thickBot="1" x14ac:dyDescent="0.3">
      <c r="B4" s="805"/>
      <c r="C4" s="807"/>
      <c r="D4" s="809"/>
      <c r="E4" s="331" t="s">
        <v>279</v>
      </c>
      <c r="F4" s="332" t="s">
        <v>280</v>
      </c>
      <c r="G4" s="332" t="s">
        <v>281</v>
      </c>
      <c r="H4" s="332" t="s">
        <v>282</v>
      </c>
      <c r="I4" s="332" t="s">
        <v>33</v>
      </c>
      <c r="J4" s="332" t="s">
        <v>283</v>
      </c>
      <c r="K4" s="332" t="s">
        <v>284</v>
      </c>
      <c r="L4" s="332" t="s">
        <v>285</v>
      </c>
      <c r="M4" s="332" t="s">
        <v>286</v>
      </c>
      <c r="N4" s="332" t="s">
        <v>287</v>
      </c>
      <c r="O4" s="332" t="s">
        <v>288</v>
      </c>
      <c r="P4" s="332" t="s">
        <v>289</v>
      </c>
      <c r="Q4" s="333" t="s">
        <v>98</v>
      </c>
    </row>
    <row r="5" spans="2:18" s="330" customFormat="1" ht="11.5" x14ac:dyDescent="0.25">
      <c r="B5" s="334">
        <v>1</v>
      </c>
      <c r="C5" s="335"/>
      <c r="D5" s="336">
        <f t="shared" ref="D5" si="0">IFERROR(VLOOKUP(C5,$C$58:$D$95,2,0),0)</f>
        <v>0</v>
      </c>
      <c r="E5" s="341"/>
      <c r="F5" s="342"/>
      <c r="G5" s="342"/>
      <c r="H5" s="338"/>
      <c r="I5" s="338"/>
      <c r="J5" s="338"/>
      <c r="K5" s="338"/>
      <c r="L5" s="338"/>
      <c r="M5" s="338"/>
      <c r="N5" s="338"/>
      <c r="O5" s="338"/>
      <c r="P5" s="338"/>
      <c r="Q5" s="339">
        <f t="shared" ref="Q5:Q25" si="1">SUM(E5:P5)</f>
        <v>0</v>
      </c>
      <c r="R5" s="712" t="s">
        <v>735</v>
      </c>
    </row>
    <row r="6" spans="2:18" s="330" customFormat="1" ht="11.5" x14ac:dyDescent="0.25">
      <c r="B6" s="340">
        <v>2</v>
      </c>
      <c r="C6" s="335"/>
      <c r="D6" s="336">
        <f t="shared" ref="D6:D24" si="2">IFERROR(VLOOKUP(C6,$C$58:$D$95,2,0),0)</f>
        <v>0</v>
      </c>
      <c r="E6" s="341"/>
      <c r="F6" s="342"/>
      <c r="G6" s="342"/>
      <c r="H6" s="342"/>
      <c r="I6" s="342"/>
      <c r="J6" s="342"/>
      <c r="K6" s="342"/>
      <c r="L6" s="342"/>
      <c r="M6" s="342"/>
      <c r="N6" s="342"/>
      <c r="O6" s="342"/>
      <c r="P6" s="342"/>
      <c r="Q6" s="343">
        <f t="shared" si="1"/>
        <v>0</v>
      </c>
      <c r="R6" s="712" t="s">
        <v>736</v>
      </c>
    </row>
    <row r="7" spans="2:18" s="330" customFormat="1" ht="11.5" x14ac:dyDescent="0.25">
      <c r="B7" s="340">
        <v>3</v>
      </c>
      <c r="C7" s="335"/>
      <c r="D7" s="336">
        <f t="shared" si="2"/>
        <v>0</v>
      </c>
      <c r="E7" s="341"/>
      <c r="F7" s="342"/>
      <c r="G7" s="342"/>
      <c r="H7" s="342"/>
      <c r="I7" s="342"/>
      <c r="J7" s="342"/>
      <c r="K7" s="342"/>
      <c r="L7" s="342"/>
      <c r="M7" s="342"/>
      <c r="N7" s="342"/>
      <c r="O7" s="342"/>
      <c r="P7" s="342"/>
      <c r="Q7" s="343">
        <f t="shared" si="1"/>
        <v>0</v>
      </c>
    </row>
    <row r="8" spans="2:18" s="330" customFormat="1" ht="11.5" x14ac:dyDescent="0.25">
      <c r="B8" s="340">
        <v>4</v>
      </c>
      <c r="C8" s="335"/>
      <c r="D8" s="336">
        <f t="shared" si="2"/>
        <v>0</v>
      </c>
      <c r="E8" s="341"/>
      <c r="F8" s="342"/>
      <c r="G8" s="342"/>
      <c r="H8" s="342"/>
      <c r="I8" s="342"/>
      <c r="J8" s="342"/>
      <c r="K8" s="342"/>
      <c r="L8" s="342"/>
      <c r="M8" s="342"/>
      <c r="N8" s="342"/>
      <c r="O8" s="342"/>
      <c r="P8" s="342"/>
      <c r="Q8" s="343">
        <f t="shared" si="1"/>
        <v>0</v>
      </c>
      <c r="R8" s="712"/>
    </row>
    <row r="9" spans="2:18" s="330" customFormat="1" ht="11.5" x14ac:dyDescent="0.25">
      <c r="B9" s="340">
        <v>5</v>
      </c>
      <c r="C9" s="335"/>
      <c r="D9" s="336">
        <f t="shared" si="2"/>
        <v>0</v>
      </c>
      <c r="E9" s="341"/>
      <c r="F9" s="342"/>
      <c r="G9" s="342"/>
      <c r="H9" s="342"/>
      <c r="I9" s="342"/>
      <c r="J9" s="342"/>
      <c r="K9" s="342"/>
      <c r="L9" s="342"/>
      <c r="M9" s="342"/>
      <c r="N9" s="342"/>
      <c r="O9" s="342"/>
      <c r="P9" s="342"/>
      <c r="Q9" s="343">
        <f t="shared" si="1"/>
        <v>0</v>
      </c>
    </row>
    <row r="10" spans="2:18" s="330" customFormat="1" ht="11.5" x14ac:dyDescent="0.25">
      <c r="B10" s="340">
        <v>6</v>
      </c>
      <c r="C10" s="335"/>
      <c r="D10" s="336">
        <f t="shared" si="2"/>
        <v>0</v>
      </c>
      <c r="E10" s="341"/>
      <c r="F10" s="342"/>
      <c r="G10" s="342"/>
      <c r="H10" s="342"/>
      <c r="I10" s="342"/>
      <c r="J10" s="342"/>
      <c r="K10" s="342"/>
      <c r="L10" s="342"/>
      <c r="M10" s="342"/>
      <c r="N10" s="342"/>
      <c r="O10" s="342"/>
      <c r="P10" s="342"/>
      <c r="Q10" s="343">
        <f t="shared" si="1"/>
        <v>0</v>
      </c>
    </row>
    <row r="11" spans="2:18" s="330" customFormat="1" ht="11.5" x14ac:dyDescent="0.25">
      <c r="B11" s="340">
        <v>7</v>
      </c>
      <c r="C11" s="335"/>
      <c r="D11" s="336">
        <f t="shared" si="2"/>
        <v>0</v>
      </c>
      <c r="E11" s="341"/>
      <c r="F11" s="342"/>
      <c r="G11" s="342"/>
      <c r="H11" s="342"/>
      <c r="I11" s="342"/>
      <c r="J11" s="342"/>
      <c r="K11" s="342"/>
      <c r="L11" s="342"/>
      <c r="M11" s="342"/>
      <c r="N11" s="342"/>
      <c r="O11" s="342"/>
      <c r="P11" s="342"/>
      <c r="Q11" s="343">
        <f t="shared" si="1"/>
        <v>0</v>
      </c>
    </row>
    <row r="12" spans="2:18" s="330" customFormat="1" ht="11.5" x14ac:dyDescent="0.25">
      <c r="B12" s="340">
        <v>8</v>
      </c>
      <c r="C12" s="335"/>
      <c r="D12" s="336">
        <f t="shared" si="2"/>
        <v>0</v>
      </c>
      <c r="E12" s="341"/>
      <c r="F12" s="342"/>
      <c r="G12" s="342"/>
      <c r="H12" s="342"/>
      <c r="I12" s="342"/>
      <c r="J12" s="342"/>
      <c r="K12" s="342"/>
      <c r="L12" s="342"/>
      <c r="M12" s="342"/>
      <c r="N12" s="342"/>
      <c r="O12" s="342"/>
      <c r="P12" s="342"/>
      <c r="Q12" s="343">
        <f t="shared" si="1"/>
        <v>0</v>
      </c>
    </row>
    <row r="13" spans="2:18" s="330" customFormat="1" ht="11.5" x14ac:dyDescent="0.25">
      <c r="B13" s="340">
        <v>9</v>
      </c>
      <c r="C13" s="335"/>
      <c r="D13" s="336">
        <f t="shared" si="2"/>
        <v>0</v>
      </c>
      <c r="E13" s="341"/>
      <c r="F13" s="342"/>
      <c r="G13" s="342"/>
      <c r="H13" s="342"/>
      <c r="I13" s="342"/>
      <c r="J13" s="342"/>
      <c r="K13" s="342"/>
      <c r="L13" s="342"/>
      <c r="M13" s="342"/>
      <c r="N13" s="342"/>
      <c r="O13" s="342"/>
      <c r="P13" s="342"/>
      <c r="Q13" s="343">
        <f t="shared" si="1"/>
        <v>0</v>
      </c>
    </row>
    <row r="14" spans="2:18" s="330" customFormat="1" ht="11.5" x14ac:dyDescent="0.25">
      <c r="B14" s="340">
        <v>10</v>
      </c>
      <c r="C14" s="335"/>
      <c r="D14" s="336">
        <f t="shared" si="2"/>
        <v>0</v>
      </c>
      <c r="E14" s="341"/>
      <c r="F14" s="342"/>
      <c r="G14" s="342"/>
      <c r="H14" s="342"/>
      <c r="I14" s="342"/>
      <c r="J14" s="342"/>
      <c r="K14" s="342"/>
      <c r="L14" s="342"/>
      <c r="M14" s="342"/>
      <c r="N14" s="342"/>
      <c r="O14" s="342"/>
      <c r="P14" s="342"/>
      <c r="Q14" s="343">
        <f t="shared" si="1"/>
        <v>0</v>
      </c>
    </row>
    <row r="15" spans="2:18" s="330" customFormat="1" ht="11.5" x14ac:dyDescent="0.25">
      <c r="B15" s="340">
        <v>11</v>
      </c>
      <c r="C15" s="335"/>
      <c r="D15" s="336">
        <f t="shared" si="2"/>
        <v>0</v>
      </c>
      <c r="E15" s="388"/>
      <c r="F15" s="389"/>
      <c r="G15" s="389"/>
      <c r="H15" s="389"/>
      <c r="I15" s="389"/>
      <c r="J15" s="389"/>
      <c r="K15" s="389"/>
      <c r="L15" s="389"/>
      <c r="M15" s="389"/>
      <c r="N15" s="389"/>
      <c r="O15" s="389"/>
      <c r="P15" s="389"/>
      <c r="Q15" s="343">
        <f t="shared" si="1"/>
        <v>0</v>
      </c>
    </row>
    <row r="16" spans="2:18" s="330" customFormat="1" ht="11.5" x14ac:dyDescent="0.25">
      <c r="B16" s="340">
        <v>12</v>
      </c>
      <c r="C16" s="335"/>
      <c r="D16" s="336">
        <f t="shared" si="2"/>
        <v>0</v>
      </c>
      <c r="E16" s="388"/>
      <c r="F16" s="389"/>
      <c r="G16" s="389"/>
      <c r="H16" s="389"/>
      <c r="I16" s="389"/>
      <c r="J16" s="389"/>
      <c r="K16" s="389"/>
      <c r="L16" s="389"/>
      <c r="M16" s="389"/>
      <c r="N16" s="389"/>
      <c r="O16" s="389"/>
      <c r="P16" s="389"/>
      <c r="Q16" s="343">
        <f t="shared" si="1"/>
        <v>0</v>
      </c>
    </row>
    <row r="17" spans="2:17" s="330" customFormat="1" ht="11.5" x14ac:dyDescent="0.25">
      <c r="B17" s="340">
        <v>13</v>
      </c>
      <c r="C17" s="335"/>
      <c r="D17" s="336">
        <f t="shared" si="2"/>
        <v>0</v>
      </c>
      <c r="E17" s="388"/>
      <c r="F17" s="389"/>
      <c r="G17" s="389"/>
      <c r="H17" s="389"/>
      <c r="I17" s="389"/>
      <c r="J17" s="389"/>
      <c r="K17" s="389"/>
      <c r="L17" s="389"/>
      <c r="M17" s="389"/>
      <c r="N17" s="389"/>
      <c r="O17" s="389"/>
      <c r="P17" s="389"/>
      <c r="Q17" s="343">
        <f t="shared" si="1"/>
        <v>0</v>
      </c>
    </row>
    <row r="18" spans="2:17" s="330" customFormat="1" ht="11.5" x14ac:dyDescent="0.25">
      <c r="B18" s="340">
        <v>14</v>
      </c>
      <c r="C18" s="335"/>
      <c r="D18" s="336">
        <f t="shared" si="2"/>
        <v>0</v>
      </c>
      <c r="E18" s="388"/>
      <c r="F18" s="389"/>
      <c r="G18" s="389"/>
      <c r="H18" s="389"/>
      <c r="I18" s="389"/>
      <c r="J18" s="389"/>
      <c r="K18" s="389"/>
      <c r="L18" s="389"/>
      <c r="M18" s="389"/>
      <c r="N18" s="389"/>
      <c r="O18" s="389"/>
      <c r="P18" s="389"/>
      <c r="Q18" s="343">
        <f t="shared" si="1"/>
        <v>0</v>
      </c>
    </row>
    <row r="19" spans="2:17" s="330" customFormat="1" ht="11.5" x14ac:dyDescent="0.25">
      <c r="B19" s="340">
        <v>15</v>
      </c>
      <c r="C19" s="335"/>
      <c r="D19" s="336">
        <f t="shared" si="2"/>
        <v>0</v>
      </c>
      <c r="E19" s="388"/>
      <c r="F19" s="389"/>
      <c r="G19" s="389"/>
      <c r="H19" s="389"/>
      <c r="I19" s="389"/>
      <c r="J19" s="389"/>
      <c r="K19" s="389"/>
      <c r="L19" s="389"/>
      <c r="M19" s="389"/>
      <c r="N19" s="389"/>
      <c r="O19" s="389"/>
      <c r="P19" s="389"/>
      <c r="Q19" s="343">
        <f t="shared" si="1"/>
        <v>0</v>
      </c>
    </row>
    <row r="20" spans="2:17" s="330" customFormat="1" ht="11.5" x14ac:dyDescent="0.25">
      <c r="B20" s="340">
        <v>16</v>
      </c>
      <c r="C20" s="335"/>
      <c r="D20" s="336">
        <f t="shared" si="2"/>
        <v>0</v>
      </c>
      <c r="E20" s="388"/>
      <c r="F20" s="389"/>
      <c r="G20" s="389"/>
      <c r="H20" s="389"/>
      <c r="I20" s="389"/>
      <c r="J20" s="389"/>
      <c r="K20" s="389"/>
      <c r="L20" s="389"/>
      <c r="M20" s="389"/>
      <c r="N20" s="389"/>
      <c r="O20" s="389"/>
      <c r="P20" s="389"/>
      <c r="Q20" s="343">
        <f t="shared" si="1"/>
        <v>0</v>
      </c>
    </row>
    <row r="21" spans="2:17" s="330" customFormat="1" ht="11.5" x14ac:dyDescent="0.25">
      <c r="B21" s="340">
        <v>17</v>
      </c>
      <c r="C21" s="335"/>
      <c r="D21" s="336">
        <f t="shared" si="2"/>
        <v>0</v>
      </c>
      <c r="E21" s="388"/>
      <c r="F21" s="389"/>
      <c r="G21" s="389"/>
      <c r="H21" s="389"/>
      <c r="I21" s="389"/>
      <c r="J21" s="389"/>
      <c r="K21" s="389"/>
      <c r="L21" s="389"/>
      <c r="M21" s="389"/>
      <c r="N21" s="389"/>
      <c r="O21" s="389"/>
      <c r="P21" s="389"/>
      <c r="Q21" s="343">
        <f t="shared" si="1"/>
        <v>0</v>
      </c>
    </row>
    <row r="22" spans="2:17" s="330" customFormat="1" ht="11.5" x14ac:dyDescent="0.25">
      <c r="B22" s="340">
        <v>18</v>
      </c>
      <c r="C22" s="335"/>
      <c r="D22" s="336">
        <f t="shared" si="2"/>
        <v>0</v>
      </c>
      <c r="E22" s="388"/>
      <c r="F22" s="389"/>
      <c r="G22" s="389"/>
      <c r="H22" s="389"/>
      <c r="I22" s="389"/>
      <c r="J22" s="389"/>
      <c r="K22" s="389"/>
      <c r="L22" s="389"/>
      <c r="M22" s="389"/>
      <c r="N22" s="389"/>
      <c r="O22" s="389"/>
      <c r="P22" s="389"/>
      <c r="Q22" s="343">
        <f t="shared" si="1"/>
        <v>0</v>
      </c>
    </row>
    <row r="23" spans="2:17" s="330" customFormat="1" ht="11.5" x14ac:dyDescent="0.25">
      <c r="B23" s="340">
        <v>19</v>
      </c>
      <c r="C23" s="335"/>
      <c r="D23" s="336">
        <f t="shared" si="2"/>
        <v>0</v>
      </c>
      <c r="E23" s="388"/>
      <c r="F23" s="389"/>
      <c r="G23" s="389"/>
      <c r="H23" s="389"/>
      <c r="I23" s="389"/>
      <c r="J23" s="389"/>
      <c r="K23" s="389"/>
      <c r="L23" s="389"/>
      <c r="M23" s="389"/>
      <c r="N23" s="389"/>
      <c r="O23" s="389"/>
      <c r="P23" s="389"/>
      <c r="Q23" s="343">
        <f t="shared" si="1"/>
        <v>0</v>
      </c>
    </row>
    <row r="24" spans="2:17" s="330" customFormat="1" ht="11.5" x14ac:dyDescent="0.25">
      <c r="B24" s="340">
        <v>20</v>
      </c>
      <c r="C24" s="335"/>
      <c r="D24" s="336">
        <f t="shared" si="2"/>
        <v>0</v>
      </c>
      <c r="E24" s="388"/>
      <c r="F24" s="389"/>
      <c r="G24" s="389"/>
      <c r="H24" s="389"/>
      <c r="I24" s="389"/>
      <c r="J24" s="389"/>
      <c r="K24" s="389"/>
      <c r="L24" s="389"/>
      <c r="M24" s="389"/>
      <c r="N24" s="389"/>
      <c r="O24" s="389"/>
      <c r="P24" s="389"/>
      <c r="Q24" s="343">
        <f t="shared" si="1"/>
        <v>0</v>
      </c>
    </row>
    <row r="25" spans="2:17" s="330" customFormat="1" ht="12" thickBot="1" x14ac:dyDescent="0.3">
      <c r="B25" s="344"/>
      <c r="C25" s="345"/>
      <c r="D25" s="346"/>
      <c r="E25" s="347"/>
      <c r="F25" s="348"/>
      <c r="G25" s="348"/>
      <c r="H25" s="348"/>
      <c r="I25" s="348"/>
      <c r="J25" s="348"/>
      <c r="K25" s="348"/>
      <c r="L25" s="348"/>
      <c r="M25" s="348"/>
      <c r="N25" s="348"/>
      <c r="O25" s="348"/>
      <c r="P25" s="348"/>
      <c r="Q25" s="349">
        <f t="shared" si="1"/>
        <v>0</v>
      </c>
    </row>
    <row r="26" spans="2:17" s="330" customFormat="1" ht="12" thickBot="1" x14ac:dyDescent="0.3">
      <c r="B26" s="350"/>
      <c r="C26" s="351" t="s">
        <v>290</v>
      </c>
      <c r="D26" s="390"/>
      <c r="E26" s="352">
        <f t="shared" ref="E26:Q26" si="3">SUM(E5:E25)</f>
        <v>0</v>
      </c>
      <c r="F26" s="353">
        <f t="shared" si="3"/>
        <v>0</v>
      </c>
      <c r="G26" s="353">
        <f t="shared" si="3"/>
        <v>0</v>
      </c>
      <c r="H26" s="353">
        <f t="shared" si="3"/>
        <v>0</v>
      </c>
      <c r="I26" s="353">
        <f t="shared" si="3"/>
        <v>0</v>
      </c>
      <c r="J26" s="353">
        <f t="shared" si="3"/>
        <v>0</v>
      </c>
      <c r="K26" s="353">
        <f t="shared" si="3"/>
        <v>0</v>
      </c>
      <c r="L26" s="353">
        <f t="shared" si="3"/>
        <v>0</v>
      </c>
      <c r="M26" s="353">
        <f t="shared" si="3"/>
        <v>0</v>
      </c>
      <c r="N26" s="353">
        <f t="shared" si="3"/>
        <v>0</v>
      </c>
      <c r="O26" s="353">
        <f t="shared" si="3"/>
        <v>0</v>
      </c>
      <c r="P26" s="353">
        <f t="shared" si="3"/>
        <v>0</v>
      </c>
      <c r="Q26" s="354">
        <f t="shared" si="3"/>
        <v>0</v>
      </c>
    </row>
    <row r="27" spans="2:17" ht="11.5" thickBot="1" x14ac:dyDescent="0.3"/>
    <row r="28" spans="2:17" s="330" customFormat="1" ht="11.5" x14ac:dyDescent="0.25">
      <c r="B28" s="804" t="s">
        <v>276</v>
      </c>
      <c r="C28" s="806" t="s">
        <v>277</v>
      </c>
      <c r="D28" s="808" t="s">
        <v>150</v>
      </c>
      <c r="E28" s="810" t="s">
        <v>459</v>
      </c>
      <c r="F28" s="811"/>
      <c r="G28" s="811"/>
      <c r="H28" s="811"/>
      <c r="I28" s="811"/>
      <c r="J28" s="811"/>
      <c r="K28" s="811"/>
      <c r="L28" s="811"/>
      <c r="M28" s="811"/>
      <c r="N28" s="811"/>
      <c r="O28" s="811"/>
      <c r="P28" s="811"/>
      <c r="Q28" s="812"/>
    </row>
    <row r="29" spans="2:17" s="330" customFormat="1" ht="12" thickBot="1" x14ac:dyDescent="0.3">
      <c r="B29" s="805"/>
      <c r="C29" s="807"/>
      <c r="D29" s="809"/>
      <c r="E29" s="331" t="s">
        <v>279</v>
      </c>
      <c r="F29" s="332" t="s">
        <v>280</v>
      </c>
      <c r="G29" s="332" t="s">
        <v>281</v>
      </c>
      <c r="H29" s="332" t="s">
        <v>282</v>
      </c>
      <c r="I29" s="332" t="s">
        <v>33</v>
      </c>
      <c r="J29" s="332" t="s">
        <v>283</v>
      </c>
      <c r="K29" s="332" t="s">
        <v>284</v>
      </c>
      <c r="L29" s="332" t="s">
        <v>285</v>
      </c>
      <c r="M29" s="332" t="s">
        <v>286</v>
      </c>
      <c r="N29" s="332" t="s">
        <v>287</v>
      </c>
      <c r="O29" s="332" t="s">
        <v>288</v>
      </c>
      <c r="P29" s="332" t="s">
        <v>289</v>
      </c>
      <c r="Q29" s="333" t="s">
        <v>98</v>
      </c>
    </row>
    <row r="30" spans="2:17" s="330" customFormat="1" ht="11.5" x14ac:dyDescent="0.25">
      <c r="B30" s="334">
        <v>1</v>
      </c>
      <c r="C30" s="355">
        <f t="shared" ref="C30:D49" si="4">C5</f>
        <v>0</v>
      </c>
      <c r="D30" s="356">
        <f t="shared" si="4"/>
        <v>0</v>
      </c>
      <c r="E30" s="357">
        <f t="shared" ref="E30:P30" si="5">$D30*E5</f>
        <v>0</v>
      </c>
      <c r="F30" s="358">
        <f t="shared" si="5"/>
        <v>0</v>
      </c>
      <c r="G30" s="358">
        <f t="shared" si="5"/>
        <v>0</v>
      </c>
      <c r="H30" s="358">
        <f t="shared" si="5"/>
        <v>0</v>
      </c>
      <c r="I30" s="358">
        <f t="shared" si="5"/>
        <v>0</v>
      </c>
      <c r="J30" s="358">
        <f t="shared" si="5"/>
        <v>0</v>
      </c>
      <c r="K30" s="358">
        <f t="shared" si="5"/>
        <v>0</v>
      </c>
      <c r="L30" s="358">
        <f t="shared" si="5"/>
        <v>0</v>
      </c>
      <c r="M30" s="358">
        <f t="shared" si="5"/>
        <v>0</v>
      </c>
      <c r="N30" s="358">
        <f t="shared" si="5"/>
        <v>0</v>
      </c>
      <c r="O30" s="358">
        <f t="shared" si="5"/>
        <v>0</v>
      </c>
      <c r="P30" s="358">
        <f t="shared" si="5"/>
        <v>0</v>
      </c>
      <c r="Q30" s="359">
        <f>SUM(E30:P30)</f>
        <v>0</v>
      </c>
    </row>
    <row r="31" spans="2:17" s="330" customFormat="1" ht="11.5" x14ac:dyDescent="0.25">
      <c r="B31" s="340">
        <v>2</v>
      </c>
      <c r="C31" s="360">
        <f t="shared" si="4"/>
        <v>0</v>
      </c>
      <c r="D31" s="356">
        <f t="shared" si="4"/>
        <v>0</v>
      </c>
      <c r="E31" s="361">
        <f t="shared" ref="E31:P31" si="6">$D31*E6</f>
        <v>0</v>
      </c>
      <c r="F31" s="362">
        <f t="shared" si="6"/>
        <v>0</v>
      </c>
      <c r="G31" s="362">
        <f t="shared" si="6"/>
        <v>0</v>
      </c>
      <c r="H31" s="362">
        <f t="shared" si="6"/>
        <v>0</v>
      </c>
      <c r="I31" s="362">
        <f t="shared" si="6"/>
        <v>0</v>
      </c>
      <c r="J31" s="362">
        <f t="shared" si="6"/>
        <v>0</v>
      </c>
      <c r="K31" s="362">
        <f t="shared" si="6"/>
        <v>0</v>
      </c>
      <c r="L31" s="362">
        <f t="shared" si="6"/>
        <v>0</v>
      </c>
      <c r="M31" s="362">
        <f t="shared" si="6"/>
        <v>0</v>
      </c>
      <c r="N31" s="362">
        <f t="shared" si="6"/>
        <v>0</v>
      </c>
      <c r="O31" s="362">
        <f t="shared" si="6"/>
        <v>0</v>
      </c>
      <c r="P31" s="362">
        <f t="shared" si="6"/>
        <v>0</v>
      </c>
      <c r="Q31" s="363">
        <f t="shared" ref="Q31:Q49" si="7">SUM(E31:P31)</f>
        <v>0</v>
      </c>
    </row>
    <row r="32" spans="2:17" s="330" customFormat="1" ht="11.5" x14ac:dyDescent="0.25">
      <c r="B32" s="340">
        <v>3</v>
      </c>
      <c r="C32" s="360">
        <f t="shared" si="4"/>
        <v>0</v>
      </c>
      <c r="D32" s="356">
        <f t="shared" si="4"/>
        <v>0</v>
      </c>
      <c r="E32" s="361">
        <f t="shared" ref="E32:P32" si="8">$D32*E7</f>
        <v>0</v>
      </c>
      <c r="F32" s="362">
        <f t="shared" si="8"/>
        <v>0</v>
      </c>
      <c r="G32" s="362">
        <f t="shared" si="8"/>
        <v>0</v>
      </c>
      <c r="H32" s="362">
        <f t="shared" si="8"/>
        <v>0</v>
      </c>
      <c r="I32" s="362">
        <f t="shared" si="8"/>
        <v>0</v>
      </c>
      <c r="J32" s="362">
        <f t="shared" si="8"/>
        <v>0</v>
      </c>
      <c r="K32" s="362">
        <f t="shared" si="8"/>
        <v>0</v>
      </c>
      <c r="L32" s="362">
        <f t="shared" si="8"/>
        <v>0</v>
      </c>
      <c r="M32" s="362">
        <f t="shared" si="8"/>
        <v>0</v>
      </c>
      <c r="N32" s="362">
        <f t="shared" si="8"/>
        <v>0</v>
      </c>
      <c r="O32" s="362">
        <f t="shared" si="8"/>
        <v>0</v>
      </c>
      <c r="P32" s="362">
        <f t="shared" si="8"/>
        <v>0</v>
      </c>
      <c r="Q32" s="363">
        <f t="shared" si="7"/>
        <v>0</v>
      </c>
    </row>
    <row r="33" spans="2:17" s="330" customFormat="1" ht="11.5" x14ac:dyDescent="0.25">
      <c r="B33" s="340">
        <v>4</v>
      </c>
      <c r="C33" s="360">
        <f t="shared" si="4"/>
        <v>0</v>
      </c>
      <c r="D33" s="356">
        <f t="shared" si="4"/>
        <v>0</v>
      </c>
      <c r="E33" s="361">
        <f t="shared" ref="E33:P33" si="9">$D33*E8</f>
        <v>0</v>
      </c>
      <c r="F33" s="362">
        <f t="shared" si="9"/>
        <v>0</v>
      </c>
      <c r="G33" s="362">
        <f t="shared" si="9"/>
        <v>0</v>
      </c>
      <c r="H33" s="362">
        <f t="shared" si="9"/>
        <v>0</v>
      </c>
      <c r="I33" s="362">
        <f t="shared" si="9"/>
        <v>0</v>
      </c>
      <c r="J33" s="362">
        <f t="shared" si="9"/>
        <v>0</v>
      </c>
      <c r="K33" s="362">
        <f t="shared" si="9"/>
        <v>0</v>
      </c>
      <c r="L33" s="362">
        <f t="shared" si="9"/>
        <v>0</v>
      </c>
      <c r="M33" s="362">
        <f t="shared" si="9"/>
        <v>0</v>
      </c>
      <c r="N33" s="362">
        <f t="shared" si="9"/>
        <v>0</v>
      </c>
      <c r="O33" s="362">
        <f t="shared" si="9"/>
        <v>0</v>
      </c>
      <c r="P33" s="362">
        <f t="shared" si="9"/>
        <v>0</v>
      </c>
      <c r="Q33" s="363">
        <f t="shared" si="7"/>
        <v>0</v>
      </c>
    </row>
    <row r="34" spans="2:17" s="330" customFormat="1" ht="11.5" x14ac:dyDescent="0.25">
      <c r="B34" s="340">
        <v>5</v>
      </c>
      <c r="C34" s="360">
        <f t="shared" si="4"/>
        <v>0</v>
      </c>
      <c r="D34" s="356">
        <f t="shared" si="4"/>
        <v>0</v>
      </c>
      <c r="E34" s="361">
        <f t="shared" ref="E34:P34" si="10">$D34*E9</f>
        <v>0</v>
      </c>
      <c r="F34" s="362">
        <f t="shared" si="10"/>
        <v>0</v>
      </c>
      <c r="G34" s="362">
        <f t="shared" si="10"/>
        <v>0</v>
      </c>
      <c r="H34" s="362">
        <f t="shared" si="10"/>
        <v>0</v>
      </c>
      <c r="I34" s="362">
        <f t="shared" si="10"/>
        <v>0</v>
      </c>
      <c r="J34" s="362">
        <f t="shared" si="10"/>
        <v>0</v>
      </c>
      <c r="K34" s="362">
        <f t="shared" si="10"/>
        <v>0</v>
      </c>
      <c r="L34" s="362">
        <f t="shared" si="10"/>
        <v>0</v>
      </c>
      <c r="M34" s="362">
        <f t="shared" si="10"/>
        <v>0</v>
      </c>
      <c r="N34" s="362">
        <f t="shared" si="10"/>
        <v>0</v>
      </c>
      <c r="O34" s="362">
        <f t="shared" si="10"/>
        <v>0</v>
      </c>
      <c r="P34" s="362">
        <f t="shared" si="10"/>
        <v>0</v>
      </c>
      <c r="Q34" s="363">
        <f t="shared" si="7"/>
        <v>0</v>
      </c>
    </row>
    <row r="35" spans="2:17" s="330" customFormat="1" ht="11.5" x14ac:dyDescent="0.25">
      <c r="B35" s="340">
        <v>6</v>
      </c>
      <c r="C35" s="360">
        <f t="shared" si="4"/>
        <v>0</v>
      </c>
      <c r="D35" s="356">
        <f t="shared" si="4"/>
        <v>0</v>
      </c>
      <c r="E35" s="361">
        <f t="shared" ref="E35:P35" si="11">$D35*E10</f>
        <v>0</v>
      </c>
      <c r="F35" s="362">
        <f t="shared" si="11"/>
        <v>0</v>
      </c>
      <c r="G35" s="362">
        <f t="shared" si="11"/>
        <v>0</v>
      </c>
      <c r="H35" s="362">
        <f t="shared" si="11"/>
        <v>0</v>
      </c>
      <c r="I35" s="362">
        <f t="shared" si="11"/>
        <v>0</v>
      </c>
      <c r="J35" s="362">
        <f t="shared" si="11"/>
        <v>0</v>
      </c>
      <c r="K35" s="362">
        <f t="shared" si="11"/>
        <v>0</v>
      </c>
      <c r="L35" s="362">
        <f t="shared" si="11"/>
        <v>0</v>
      </c>
      <c r="M35" s="362">
        <f t="shared" si="11"/>
        <v>0</v>
      </c>
      <c r="N35" s="362">
        <f t="shared" si="11"/>
        <v>0</v>
      </c>
      <c r="O35" s="362">
        <f t="shared" si="11"/>
        <v>0</v>
      </c>
      <c r="P35" s="362">
        <f t="shared" si="11"/>
        <v>0</v>
      </c>
      <c r="Q35" s="363">
        <f t="shared" si="7"/>
        <v>0</v>
      </c>
    </row>
    <row r="36" spans="2:17" s="330" customFormat="1" ht="11.5" x14ac:dyDescent="0.25">
      <c r="B36" s="340">
        <v>7</v>
      </c>
      <c r="C36" s="360">
        <f t="shared" si="4"/>
        <v>0</v>
      </c>
      <c r="D36" s="356">
        <f t="shared" si="4"/>
        <v>0</v>
      </c>
      <c r="E36" s="361">
        <f t="shared" ref="E36:P36" si="12">$D36*E11</f>
        <v>0</v>
      </c>
      <c r="F36" s="362">
        <f t="shared" si="12"/>
        <v>0</v>
      </c>
      <c r="G36" s="362">
        <f t="shared" si="12"/>
        <v>0</v>
      </c>
      <c r="H36" s="362">
        <f t="shared" si="12"/>
        <v>0</v>
      </c>
      <c r="I36" s="362">
        <f t="shared" si="12"/>
        <v>0</v>
      </c>
      <c r="J36" s="362">
        <f t="shared" si="12"/>
        <v>0</v>
      </c>
      <c r="K36" s="362">
        <f t="shared" si="12"/>
        <v>0</v>
      </c>
      <c r="L36" s="362">
        <f t="shared" si="12"/>
        <v>0</v>
      </c>
      <c r="M36" s="362">
        <f t="shared" si="12"/>
        <v>0</v>
      </c>
      <c r="N36" s="362">
        <f t="shared" si="12"/>
        <v>0</v>
      </c>
      <c r="O36" s="362">
        <f t="shared" si="12"/>
        <v>0</v>
      </c>
      <c r="P36" s="362">
        <f t="shared" si="12"/>
        <v>0</v>
      </c>
      <c r="Q36" s="363">
        <f t="shared" si="7"/>
        <v>0</v>
      </c>
    </row>
    <row r="37" spans="2:17" s="330" customFormat="1" ht="11.5" x14ac:dyDescent="0.25">
      <c r="B37" s="340">
        <v>8</v>
      </c>
      <c r="C37" s="360">
        <f t="shared" si="4"/>
        <v>0</v>
      </c>
      <c r="D37" s="356">
        <f t="shared" si="4"/>
        <v>0</v>
      </c>
      <c r="E37" s="361">
        <f t="shared" ref="E37:P37" si="13">$D37*E12</f>
        <v>0</v>
      </c>
      <c r="F37" s="362">
        <f t="shared" si="13"/>
        <v>0</v>
      </c>
      <c r="G37" s="362">
        <f t="shared" si="13"/>
        <v>0</v>
      </c>
      <c r="H37" s="362">
        <f t="shared" si="13"/>
        <v>0</v>
      </c>
      <c r="I37" s="362">
        <f t="shared" si="13"/>
        <v>0</v>
      </c>
      <c r="J37" s="362">
        <f t="shared" si="13"/>
        <v>0</v>
      </c>
      <c r="K37" s="362">
        <f t="shared" si="13"/>
        <v>0</v>
      </c>
      <c r="L37" s="362">
        <f t="shared" si="13"/>
        <v>0</v>
      </c>
      <c r="M37" s="362">
        <f t="shared" si="13"/>
        <v>0</v>
      </c>
      <c r="N37" s="362">
        <f t="shared" si="13"/>
        <v>0</v>
      </c>
      <c r="O37" s="362">
        <f t="shared" si="13"/>
        <v>0</v>
      </c>
      <c r="P37" s="362">
        <f t="shared" si="13"/>
        <v>0</v>
      </c>
      <c r="Q37" s="363">
        <f t="shared" si="7"/>
        <v>0</v>
      </c>
    </row>
    <row r="38" spans="2:17" s="330" customFormat="1" ht="11.5" x14ac:dyDescent="0.25">
      <c r="B38" s="340">
        <v>9</v>
      </c>
      <c r="C38" s="360">
        <f t="shared" si="4"/>
        <v>0</v>
      </c>
      <c r="D38" s="356">
        <f t="shared" si="4"/>
        <v>0</v>
      </c>
      <c r="E38" s="361">
        <f t="shared" ref="E38:P38" si="14">$D38*E13</f>
        <v>0</v>
      </c>
      <c r="F38" s="362">
        <f t="shared" si="14"/>
        <v>0</v>
      </c>
      <c r="G38" s="362">
        <f t="shared" si="14"/>
        <v>0</v>
      </c>
      <c r="H38" s="362">
        <f t="shared" si="14"/>
        <v>0</v>
      </c>
      <c r="I38" s="362">
        <f t="shared" si="14"/>
        <v>0</v>
      </c>
      <c r="J38" s="362">
        <f t="shared" si="14"/>
        <v>0</v>
      </c>
      <c r="K38" s="362">
        <f t="shared" si="14"/>
        <v>0</v>
      </c>
      <c r="L38" s="362">
        <f t="shared" si="14"/>
        <v>0</v>
      </c>
      <c r="M38" s="362">
        <f t="shared" si="14"/>
        <v>0</v>
      </c>
      <c r="N38" s="362">
        <f t="shared" si="14"/>
        <v>0</v>
      </c>
      <c r="O38" s="362">
        <f t="shared" si="14"/>
        <v>0</v>
      </c>
      <c r="P38" s="362">
        <f t="shared" si="14"/>
        <v>0</v>
      </c>
      <c r="Q38" s="363">
        <f t="shared" si="7"/>
        <v>0</v>
      </c>
    </row>
    <row r="39" spans="2:17" s="330" customFormat="1" ht="11.5" x14ac:dyDescent="0.25">
      <c r="B39" s="340">
        <v>10</v>
      </c>
      <c r="C39" s="360">
        <f t="shared" si="4"/>
        <v>0</v>
      </c>
      <c r="D39" s="356">
        <f t="shared" si="4"/>
        <v>0</v>
      </c>
      <c r="E39" s="361">
        <f t="shared" ref="E39:P39" si="15">$D39*E14</f>
        <v>0</v>
      </c>
      <c r="F39" s="362">
        <f t="shared" si="15"/>
        <v>0</v>
      </c>
      <c r="G39" s="362">
        <f t="shared" si="15"/>
        <v>0</v>
      </c>
      <c r="H39" s="362">
        <f t="shared" si="15"/>
        <v>0</v>
      </c>
      <c r="I39" s="362">
        <f t="shared" si="15"/>
        <v>0</v>
      </c>
      <c r="J39" s="362">
        <f t="shared" si="15"/>
        <v>0</v>
      </c>
      <c r="K39" s="362">
        <f t="shared" si="15"/>
        <v>0</v>
      </c>
      <c r="L39" s="362">
        <f t="shared" si="15"/>
        <v>0</v>
      </c>
      <c r="M39" s="362">
        <f t="shared" si="15"/>
        <v>0</v>
      </c>
      <c r="N39" s="362">
        <f t="shared" si="15"/>
        <v>0</v>
      </c>
      <c r="O39" s="362">
        <f t="shared" si="15"/>
        <v>0</v>
      </c>
      <c r="P39" s="362">
        <f t="shared" si="15"/>
        <v>0</v>
      </c>
      <c r="Q39" s="363">
        <f t="shared" si="7"/>
        <v>0</v>
      </c>
    </row>
    <row r="40" spans="2:17" s="330" customFormat="1" ht="11.5" x14ac:dyDescent="0.25">
      <c r="B40" s="340">
        <v>11</v>
      </c>
      <c r="C40" s="360">
        <f t="shared" si="4"/>
        <v>0</v>
      </c>
      <c r="D40" s="356">
        <f t="shared" si="4"/>
        <v>0</v>
      </c>
      <c r="E40" s="361">
        <f t="shared" ref="E40:P40" si="16">$D40*E15</f>
        <v>0</v>
      </c>
      <c r="F40" s="362">
        <f t="shared" si="16"/>
        <v>0</v>
      </c>
      <c r="G40" s="362">
        <f t="shared" si="16"/>
        <v>0</v>
      </c>
      <c r="H40" s="362">
        <f t="shared" si="16"/>
        <v>0</v>
      </c>
      <c r="I40" s="362">
        <f t="shared" si="16"/>
        <v>0</v>
      </c>
      <c r="J40" s="362">
        <f t="shared" si="16"/>
        <v>0</v>
      </c>
      <c r="K40" s="362">
        <f t="shared" si="16"/>
        <v>0</v>
      </c>
      <c r="L40" s="362">
        <f t="shared" si="16"/>
        <v>0</v>
      </c>
      <c r="M40" s="362">
        <f t="shared" si="16"/>
        <v>0</v>
      </c>
      <c r="N40" s="362">
        <f t="shared" si="16"/>
        <v>0</v>
      </c>
      <c r="O40" s="362">
        <f t="shared" si="16"/>
        <v>0</v>
      </c>
      <c r="P40" s="362">
        <f t="shared" si="16"/>
        <v>0</v>
      </c>
      <c r="Q40" s="363">
        <f t="shared" si="7"/>
        <v>0</v>
      </c>
    </row>
    <row r="41" spans="2:17" s="330" customFormat="1" ht="11.5" x14ac:dyDescent="0.25">
      <c r="B41" s="340">
        <v>12</v>
      </c>
      <c r="C41" s="360">
        <f t="shared" si="4"/>
        <v>0</v>
      </c>
      <c r="D41" s="356">
        <f t="shared" si="4"/>
        <v>0</v>
      </c>
      <c r="E41" s="361">
        <f t="shared" ref="E41:P41" si="17">$D41*E16</f>
        <v>0</v>
      </c>
      <c r="F41" s="362">
        <f t="shared" si="17"/>
        <v>0</v>
      </c>
      <c r="G41" s="362">
        <f t="shared" si="17"/>
        <v>0</v>
      </c>
      <c r="H41" s="362">
        <f t="shared" si="17"/>
        <v>0</v>
      </c>
      <c r="I41" s="362">
        <f t="shared" si="17"/>
        <v>0</v>
      </c>
      <c r="J41" s="362">
        <f t="shared" si="17"/>
        <v>0</v>
      </c>
      <c r="K41" s="362">
        <f t="shared" si="17"/>
        <v>0</v>
      </c>
      <c r="L41" s="362">
        <f t="shared" si="17"/>
        <v>0</v>
      </c>
      <c r="M41" s="362">
        <f t="shared" si="17"/>
        <v>0</v>
      </c>
      <c r="N41" s="362">
        <f t="shared" si="17"/>
        <v>0</v>
      </c>
      <c r="O41" s="362">
        <f t="shared" si="17"/>
        <v>0</v>
      </c>
      <c r="P41" s="362">
        <f t="shared" si="17"/>
        <v>0</v>
      </c>
      <c r="Q41" s="363">
        <f t="shared" si="7"/>
        <v>0</v>
      </c>
    </row>
    <row r="42" spans="2:17" s="330" customFormat="1" ht="11.5" x14ac:dyDescent="0.25">
      <c r="B42" s="340">
        <v>13</v>
      </c>
      <c r="C42" s="360">
        <f t="shared" si="4"/>
        <v>0</v>
      </c>
      <c r="D42" s="356">
        <f t="shared" si="4"/>
        <v>0</v>
      </c>
      <c r="E42" s="361">
        <f t="shared" ref="E42:P42" si="18">$D42*E17</f>
        <v>0</v>
      </c>
      <c r="F42" s="362">
        <f t="shared" si="18"/>
        <v>0</v>
      </c>
      <c r="G42" s="362">
        <f t="shared" si="18"/>
        <v>0</v>
      </c>
      <c r="H42" s="362">
        <f t="shared" si="18"/>
        <v>0</v>
      </c>
      <c r="I42" s="362">
        <f t="shared" si="18"/>
        <v>0</v>
      </c>
      <c r="J42" s="362">
        <f t="shared" si="18"/>
        <v>0</v>
      </c>
      <c r="K42" s="362">
        <f t="shared" si="18"/>
        <v>0</v>
      </c>
      <c r="L42" s="362">
        <f t="shared" si="18"/>
        <v>0</v>
      </c>
      <c r="M42" s="362">
        <f t="shared" si="18"/>
        <v>0</v>
      </c>
      <c r="N42" s="362">
        <f t="shared" si="18"/>
        <v>0</v>
      </c>
      <c r="O42" s="362">
        <f t="shared" si="18"/>
        <v>0</v>
      </c>
      <c r="P42" s="362">
        <f t="shared" si="18"/>
        <v>0</v>
      </c>
      <c r="Q42" s="363">
        <f t="shared" si="7"/>
        <v>0</v>
      </c>
    </row>
    <row r="43" spans="2:17" s="330" customFormat="1" ht="11.5" x14ac:dyDescent="0.25">
      <c r="B43" s="340">
        <v>14</v>
      </c>
      <c r="C43" s="360">
        <f t="shared" si="4"/>
        <v>0</v>
      </c>
      <c r="D43" s="356">
        <f t="shared" si="4"/>
        <v>0</v>
      </c>
      <c r="E43" s="361">
        <f t="shared" ref="E43:P43" si="19">$D43*E18</f>
        <v>0</v>
      </c>
      <c r="F43" s="362">
        <f t="shared" si="19"/>
        <v>0</v>
      </c>
      <c r="G43" s="362">
        <f t="shared" si="19"/>
        <v>0</v>
      </c>
      <c r="H43" s="362">
        <f t="shared" si="19"/>
        <v>0</v>
      </c>
      <c r="I43" s="362">
        <f t="shared" si="19"/>
        <v>0</v>
      </c>
      <c r="J43" s="362">
        <f t="shared" si="19"/>
        <v>0</v>
      </c>
      <c r="K43" s="362">
        <f t="shared" si="19"/>
        <v>0</v>
      </c>
      <c r="L43" s="362">
        <f t="shared" si="19"/>
        <v>0</v>
      </c>
      <c r="M43" s="362">
        <f t="shared" si="19"/>
        <v>0</v>
      </c>
      <c r="N43" s="362">
        <f t="shared" si="19"/>
        <v>0</v>
      </c>
      <c r="O43" s="362">
        <f t="shared" si="19"/>
        <v>0</v>
      </c>
      <c r="P43" s="362">
        <f t="shared" si="19"/>
        <v>0</v>
      </c>
      <c r="Q43" s="363">
        <f t="shared" si="7"/>
        <v>0</v>
      </c>
    </row>
    <row r="44" spans="2:17" s="330" customFormat="1" ht="11.5" x14ac:dyDescent="0.25">
      <c r="B44" s="340">
        <v>15</v>
      </c>
      <c r="C44" s="360">
        <f t="shared" si="4"/>
        <v>0</v>
      </c>
      <c r="D44" s="356">
        <f t="shared" si="4"/>
        <v>0</v>
      </c>
      <c r="E44" s="361">
        <f t="shared" ref="E44:P44" si="20">$D44*E19</f>
        <v>0</v>
      </c>
      <c r="F44" s="362">
        <f t="shared" si="20"/>
        <v>0</v>
      </c>
      <c r="G44" s="362">
        <f t="shared" si="20"/>
        <v>0</v>
      </c>
      <c r="H44" s="362">
        <f t="shared" si="20"/>
        <v>0</v>
      </c>
      <c r="I44" s="362">
        <f t="shared" si="20"/>
        <v>0</v>
      </c>
      <c r="J44" s="362">
        <f t="shared" si="20"/>
        <v>0</v>
      </c>
      <c r="K44" s="362">
        <f t="shared" si="20"/>
        <v>0</v>
      </c>
      <c r="L44" s="362">
        <f t="shared" si="20"/>
        <v>0</v>
      </c>
      <c r="M44" s="362">
        <f t="shared" si="20"/>
        <v>0</v>
      </c>
      <c r="N44" s="362">
        <f t="shared" si="20"/>
        <v>0</v>
      </c>
      <c r="O44" s="362">
        <f t="shared" si="20"/>
        <v>0</v>
      </c>
      <c r="P44" s="362">
        <f t="shared" si="20"/>
        <v>0</v>
      </c>
      <c r="Q44" s="363">
        <f t="shared" si="7"/>
        <v>0</v>
      </c>
    </row>
    <row r="45" spans="2:17" s="330" customFormat="1" ht="11.5" x14ac:dyDescent="0.25">
      <c r="B45" s="340">
        <v>16</v>
      </c>
      <c r="C45" s="360">
        <f t="shared" si="4"/>
        <v>0</v>
      </c>
      <c r="D45" s="356">
        <f t="shared" si="4"/>
        <v>0</v>
      </c>
      <c r="E45" s="361">
        <f t="shared" ref="E45:P45" si="21">$D45*E20</f>
        <v>0</v>
      </c>
      <c r="F45" s="362">
        <f t="shared" si="21"/>
        <v>0</v>
      </c>
      <c r="G45" s="362">
        <f t="shared" si="21"/>
        <v>0</v>
      </c>
      <c r="H45" s="362">
        <f t="shared" si="21"/>
        <v>0</v>
      </c>
      <c r="I45" s="362">
        <f t="shared" si="21"/>
        <v>0</v>
      </c>
      <c r="J45" s="362">
        <f t="shared" si="21"/>
        <v>0</v>
      </c>
      <c r="K45" s="362">
        <f t="shared" si="21"/>
        <v>0</v>
      </c>
      <c r="L45" s="362">
        <f t="shared" si="21"/>
        <v>0</v>
      </c>
      <c r="M45" s="362">
        <f t="shared" si="21"/>
        <v>0</v>
      </c>
      <c r="N45" s="362">
        <f t="shared" si="21"/>
        <v>0</v>
      </c>
      <c r="O45" s="362">
        <f t="shared" si="21"/>
        <v>0</v>
      </c>
      <c r="P45" s="362">
        <f t="shared" si="21"/>
        <v>0</v>
      </c>
      <c r="Q45" s="363">
        <f t="shared" si="7"/>
        <v>0</v>
      </c>
    </row>
    <row r="46" spans="2:17" s="330" customFormat="1" ht="11.5" x14ac:dyDescent="0.25">
      <c r="B46" s="340">
        <v>17</v>
      </c>
      <c r="C46" s="360">
        <f t="shared" si="4"/>
        <v>0</v>
      </c>
      <c r="D46" s="356">
        <f t="shared" si="4"/>
        <v>0</v>
      </c>
      <c r="E46" s="361">
        <f t="shared" ref="E46:P46" si="22">$D46*E21</f>
        <v>0</v>
      </c>
      <c r="F46" s="362">
        <f t="shared" si="22"/>
        <v>0</v>
      </c>
      <c r="G46" s="362">
        <f t="shared" si="22"/>
        <v>0</v>
      </c>
      <c r="H46" s="362">
        <f t="shared" si="22"/>
        <v>0</v>
      </c>
      <c r="I46" s="362">
        <f t="shared" si="22"/>
        <v>0</v>
      </c>
      <c r="J46" s="362">
        <f t="shared" si="22"/>
        <v>0</v>
      </c>
      <c r="K46" s="362">
        <f t="shared" si="22"/>
        <v>0</v>
      </c>
      <c r="L46" s="362">
        <f t="shared" si="22"/>
        <v>0</v>
      </c>
      <c r="M46" s="362">
        <f t="shared" si="22"/>
        <v>0</v>
      </c>
      <c r="N46" s="362">
        <f t="shared" si="22"/>
        <v>0</v>
      </c>
      <c r="O46" s="362">
        <f t="shared" si="22"/>
        <v>0</v>
      </c>
      <c r="P46" s="362">
        <f t="shared" si="22"/>
        <v>0</v>
      </c>
      <c r="Q46" s="363">
        <f t="shared" si="7"/>
        <v>0</v>
      </c>
    </row>
    <row r="47" spans="2:17" s="330" customFormat="1" ht="11.5" x14ac:dyDescent="0.25">
      <c r="B47" s="340">
        <v>18</v>
      </c>
      <c r="C47" s="360">
        <f t="shared" si="4"/>
        <v>0</v>
      </c>
      <c r="D47" s="356">
        <f t="shared" si="4"/>
        <v>0</v>
      </c>
      <c r="E47" s="361">
        <f t="shared" ref="E47:P47" si="23">$D47*E22</f>
        <v>0</v>
      </c>
      <c r="F47" s="362">
        <f t="shared" si="23"/>
        <v>0</v>
      </c>
      <c r="G47" s="362">
        <f t="shared" si="23"/>
        <v>0</v>
      </c>
      <c r="H47" s="362">
        <f t="shared" si="23"/>
        <v>0</v>
      </c>
      <c r="I47" s="362">
        <f t="shared" si="23"/>
        <v>0</v>
      </c>
      <c r="J47" s="362">
        <f t="shared" si="23"/>
        <v>0</v>
      </c>
      <c r="K47" s="362">
        <f t="shared" si="23"/>
        <v>0</v>
      </c>
      <c r="L47" s="362">
        <f t="shared" si="23"/>
        <v>0</v>
      </c>
      <c r="M47" s="362">
        <f t="shared" si="23"/>
        <v>0</v>
      </c>
      <c r="N47" s="362">
        <f t="shared" si="23"/>
        <v>0</v>
      </c>
      <c r="O47" s="362">
        <f t="shared" si="23"/>
        <v>0</v>
      </c>
      <c r="P47" s="362">
        <f t="shared" si="23"/>
        <v>0</v>
      </c>
      <c r="Q47" s="363">
        <f t="shared" si="7"/>
        <v>0</v>
      </c>
    </row>
    <row r="48" spans="2:17" s="330" customFormat="1" ht="11.5" x14ac:dyDescent="0.25">
      <c r="B48" s="340">
        <v>19</v>
      </c>
      <c r="C48" s="360">
        <f t="shared" si="4"/>
        <v>0</v>
      </c>
      <c r="D48" s="356">
        <f t="shared" si="4"/>
        <v>0</v>
      </c>
      <c r="E48" s="361">
        <f t="shared" ref="E48:P48" si="24">$D48*E23</f>
        <v>0</v>
      </c>
      <c r="F48" s="362">
        <f t="shared" si="24"/>
        <v>0</v>
      </c>
      <c r="G48" s="362">
        <f t="shared" si="24"/>
        <v>0</v>
      </c>
      <c r="H48" s="362">
        <f t="shared" si="24"/>
        <v>0</v>
      </c>
      <c r="I48" s="362">
        <f t="shared" si="24"/>
        <v>0</v>
      </c>
      <c r="J48" s="362">
        <f t="shared" si="24"/>
        <v>0</v>
      </c>
      <c r="K48" s="362">
        <f t="shared" si="24"/>
        <v>0</v>
      </c>
      <c r="L48" s="362">
        <f t="shared" si="24"/>
        <v>0</v>
      </c>
      <c r="M48" s="362">
        <f t="shared" si="24"/>
        <v>0</v>
      </c>
      <c r="N48" s="362">
        <f t="shared" si="24"/>
        <v>0</v>
      </c>
      <c r="O48" s="362">
        <f t="shared" si="24"/>
        <v>0</v>
      </c>
      <c r="P48" s="362">
        <f t="shared" si="24"/>
        <v>0</v>
      </c>
      <c r="Q48" s="363">
        <f t="shared" si="7"/>
        <v>0</v>
      </c>
    </row>
    <row r="49" spans="2:17" s="330" customFormat="1" ht="11.5" x14ac:dyDescent="0.25">
      <c r="B49" s="340">
        <v>20</v>
      </c>
      <c r="C49" s="360">
        <f t="shared" si="4"/>
        <v>0</v>
      </c>
      <c r="D49" s="356">
        <f t="shared" si="4"/>
        <v>0</v>
      </c>
      <c r="E49" s="361">
        <f t="shared" ref="E49:P49" si="25">$D49*E24</f>
        <v>0</v>
      </c>
      <c r="F49" s="362">
        <f t="shared" si="25"/>
        <v>0</v>
      </c>
      <c r="G49" s="362">
        <f t="shared" si="25"/>
        <v>0</v>
      </c>
      <c r="H49" s="362">
        <f t="shared" si="25"/>
        <v>0</v>
      </c>
      <c r="I49" s="362">
        <f t="shared" si="25"/>
        <v>0</v>
      </c>
      <c r="J49" s="362">
        <f t="shared" si="25"/>
        <v>0</v>
      </c>
      <c r="K49" s="362">
        <f t="shared" si="25"/>
        <v>0</v>
      </c>
      <c r="L49" s="362">
        <f t="shared" si="25"/>
        <v>0</v>
      </c>
      <c r="M49" s="362">
        <f t="shared" si="25"/>
        <v>0</v>
      </c>
      <c r="N49" s="362">
        <f t="shared" si="25"/>
        <v>0</v>
      </c>
      <c r="O49" s="362">
        <f t="shared" si="25"/>
        <v>0</v>
      </c>
      <c r="P49" s="362">
        <f t="shared" si="25"/>
        <v>0</v>
      </c>
      <c r="Q49" s="363">
        <f t="shared" si="7"/>
        <v>0</v>
      </c>
    </row>
    <row r="50" spans="2:17" s="330" customFormat="1" ht="12" thickBot="1" x14ac:dyDescent="0.3">
      <c r="B50" s="344"/>
      <c r="C50" s="345"/>
      <c r="D50" s="364"/>
      <c r="E50" s="365"/>
      <c r="F50" s="366"/>
      <c r="G50" s="366"/>
      <c r="H50" s="366"/>
      <c r="I50" s="366"/>
      <c r="J50" s="366"/>
      <c r="K50" s="366"/>
      <c r="L50" s="366"/>
      <c r="M50" s="366"/>
      <c r="N50" s="366"/>
      <c r="O50" s="366"/>
      <c r="P50" s="366"/>
      <c r="Q50" s="367"/>
    </row>
    <row r="51" spans="2:17" s="330" customFormat="1" ht="12" thickBot="1" x14ac:dyDescent="0.3">
      <c r="B51" s="350"/>
      <c r="C51" s="351" t="s">
        <v>290</v>
      </c>
      <c r="D51" s="368"/>
      <c r="E51" s="369">
        <f t="shared" ref="E51:Q51" si="26">SUM(E30:E50)</f>
        <v>0</v>
      </c>
      <c r="F51" s="370">
        <f t="shared" si="26"/>
        <v>0</v>
      </c>
      <c r="G51" s="370">
        <f t="shared" si="26"/>
        <v>0</v>
      </c>
      <c r="H51" s="370">
        <f t="shared" si="26"/>
        <v>0</v>
      </c>
      <c r="I51" s="370">
        <f t="shared" si="26"/>
        <v>0</v>
      </c>
      <c r="J51" s="370">
        <f t="shared" si="26"/>
        <v>0</v>
      </c>
      <c r="K51" s="370">
        <f t="shared" si="26"/>
        <v>0</v>
      </c>
      <c r="L51" s="370">
        <f t="shared" si="26"/>
        <v>0</v>
      </c>
      <c r="M51" s="370">
        <f t="shared" si="26"/>
        <v>0</v>
      </c>
      <c r="N51" s="370">
        <f t="shared" si="26"/>
        <v>0</v>
      </c>
      <c r="O51" s="370">
        <f t="shared" si="26"/>
        <v>0</v>
      </c>
      <c r="P51" s="370">
        <f t="shared" si="26"/>
        <v>0</v>
      </c>
      <c r="Q51" s="371">
        <f t="shared" si="26"/>
        <v>0</v>
      </c>
    </row>
    <row r="56" spans="2:17" s="391" customFormat="1" ht="12" thickBot="1" x14ac:dyDescent="0.3"/>
    <row r="57" spans="2:17" s="391" customFormat="1" ht="11.5" x14ac:dyDescent="0.25">
      <c r="B57" s="801" t="s">
        <v>292</v>
      </c>
      <c r="C57" s="802"/>
      <c r="D57" s="803"/>
    </row>
    <row r="58" spans="2:17" s="391" customFormat="1" ht="12" thickBot="1" x14ac:dyDescent="0.3">
      <c r="B58" s="392" t="s">
        <v>293</v>
      </c>
      <c r="C58" s="393" t="s">
        <v>629</v>
      </c>
      <c r="D58" s="394" t="s">
        <v>461</v>
      </c>
      <c r="E58" s="395"/>
    </row>
    <row r="59" spans="2:17" s="391" customFormat="1" ht="11.5" x14ac:dyDescent="0.25">
      <c r="B59" s="396">
        <v>1</v>
      </c>
      <c r="C59" s="397" t="s">
        <v>544</v>
      </c>
      <c r="D59" s="398">
        <v>2650</v>
      </c>
    </row>
    <row r="60" spans="2:17" s="391" customFormat="1" ht="11.5" x14ac:dyDescent="0.25">
      <c r="B60" s="399">
        <v>2</v>
      </c>
      <c r="C60" s="400" t="s">
        <v>574</v>
      </c>
      <c r="D60" s="401">
        <v>8000</v>
      </c>
    </row>
    <row r="61" spans="2:17" s="391" customFormat="1" ht="11.5" x14ac:dyDescent="0.25">
      <c r="B61" s="399">
        <v>3</v>
      </c>
      <c r="C61" s="400" t="s">
        <v>575</v>
      </c>
      <c r="D61" s="401">
        <v>3950</v>
      </c>
    </row>
    <row r="62" spans="2:17" s="391" customFormat="1" ht="11.5" x14ac:dyDescent="0.25">
      <c r="B62" s="399">
        <v>4</v>
      </c>
      <c r="C62" s="400" t="s">
        <v>576</v>
      </c>
      <c r="D62" s="401">
        <v>5000</v>
      </c>
    </row>
    <row r="63" spans="2:17" s="391" customFormat="1" ht="11.5" x14ac:dyDescent="0.25">
      <c r="B63" s="399">
        <v>5</v>
      </c>
      <c r="C63" s="400" t="s">
        <v>577</v>
      </c>
      <c r="D63" s="401">
        <v>9000</v>
      </c>
    </row>
    <row r="64" spans="2:17" s="391" customFormat="1" ht="11.5" x14ac:dyDescent="0.25">
      <c r="B64" s="399">
        <v>6</v>
      </c>
      <c r="C64" s="400" t="s">
        <v>578</v>
      </c>
      <c r="D64" s="401">
        <v>40000</v>
      </c>
    </row>
    <row r="65" spans="2:4" s="391" customFormat="1" ht="11.5" x14ac:dyDescent="0.25">
      <c r="B65" s="399">
        <v>7</v>
      </c>
      <c r="C65" s="400" t="s">
        <v>579</v>
      </c>
      <c r="D65" s="401">
        <v>15000</v>
      </c>
    </row>
    <row r="66" spans="2:4" s="391" customFormat="1" ht="11.5" x14ac:dyDescent="0.25">
      <c r="B66" s="399">
        <v>8</v>
      </c>
      <c r="C66" s="400" t="s">
        <v>580</v>
      </c>
      <c r="D66" s="401">
        <v>9000</v>
      </c>
    </row>
    <row r="67" spans="2:4" s="391" customFormat="1" ht="11.5" x14ac:dyDescent="0.25">
      <c r="B67" s="399">
        <v>9</v>
      </c>
      <c r="C67" s="400" t="s">
        <v>581</v>
      </c>
      <c r="D67" s="401">
        <v>6600</v>
      </c>
    </row>
    <row r="68" spans="2:4" s="391" customFormat="1" ht="11.5" x14ac:dyDescent="0.25">
      <c r="B68" s="399">
        <v>10</v>
      </c>
      <c r="C68" s="400" t="s">
        <v>582</v>
      </c>
      <c r="D68" s="401">
        <v>9000</v>
      </c>
    </row>
    <row r="69" spans="2:4" s="391" customFormat="1" ht="11.5" x14ac:dyDescent="0.25">
      <c r="B69" s="399">
        <v>11</v>
      </c>
      <c r="C69" s="400" t="s">
        <v>583</v>
      </c>
      <c r="D69" s="401">
        <v>25000</v>
      </c>
    </row>
    <row r="70" spans="2:4" s="391" customFormat="1" ht="11.5" x14ac:dyDescent="0.25">
      <c r="B70" s="399">
        <v>12</v>
      </c>
      <c r="C70" s="400" t="s">
        <v>584</v>
      </c>
      <c r="D70" s="401">
        <v>8000</v>
      </c>
    </row>
    <row r="71" spans="2:4" s="391" customFormat="1" ht="11.5" x14ac:dyDescent="0.25">
      <c r="B71" s="399">
        <v>13</v>
      </c>
      <c r="C71" s="400" t="s">
        <v>585</v>
      </c>
      <c r="D71" s="401">
        <v>7500</v>
      </c>
    </row>
    <row r="72" spans="2:4" s="391" customFormat="1" ht="11.5" x14ac:dyDescent="0.25">
      <c r="B72" s="399">
        <v>14</v>
      </c>
      <c r="C72" s="400" t="s">
        <v>586</v>
      </c>
      <c r="D72" s="401">
        <v>7500</v>
      </c>
    </row>
    <row r="73" spans="2:4" s="391" customFormat="1" ht="11.5" x14ac:dyDescent="0.25">
      <c r="B73" s="399">
        <v>15</v>
      </c>
      <c r="C73" s="400" t="s">
        <v>587</v>
      </c>
      <c r="D73" s="401">
        <v>10500</v>
      </c>
    </row>
    <row r="74" spans="2:4" s="391" customFormat="1" ht="11.5" x14ac:dyDescent="0.25">
      <c r="B74" s="399">
        <v>16</v>
      </c>
      <c r="C74" s="400" t="s">
        <v>588</v>
      </c>
      <c r="D74" s="401">
        <v>12500</v>
      </c>
    </row>
    <row r="75" spans="2:4" s="391" customFormat="1" ht="11.5" x14ac:dyDescent="0.25">
      <c r="B75" s="399">
        <v>17</v>
      </c>
      <c r="C75" s="400" t="s">
        <v>589</v>
      </c>
      <c r="D75" s="401">
        <v>12000</v>
      </c>
    </row>
    <row r="76" spans="2:4" s="391" customFormat="1" ht="11.5" x14ac:dyDescent="0.25">
      <c r="B76" s="399">
        <v>18</v>
      </c>
      <c r="C76" s="400" t="s">
        <v>590</v>
      </c>
      <c r="D76" s="401">
        <v>12000</v>
      </c>
    </row>
    <row r="77" spans="2:4" s="391" customFormat="1" ht="11.5" x14ac:dyDescent="0.25">
      <c r="B77" s="399">
        <v>19</v>
      </c>
      <c r="C77" s="400" t="s">
        <v>600</v>
      </c>
      <c r="D77" s="401">
        <v>8400</v>
      </c>
    </row>
    <row r="78" spans="2:4" s="391" customFormat="1" ht="11.5" x14ac:dyDescent="0.25">
      <c r="B78" s="399">
        <v>20</v>
      </c>
      <c r="C78" s="400" t="s">
        <v>601</v>
      </c>
      <c r="D78" s="401">
        <v>9400</v>
      </c>
    </row>
    <row r="79" spans="2:4" s="391" customFormat="1" ht="11.5" x14ac:dyDescent="0.25">
      <c r="B79" s="399">
        <v>21</v>
      </c>
      <c r="C79" s="400" t="s">
        <v>602</v>
      </c>
      <c r="D79" s="401">
        <v>14400</v>
      </c>
    </row>
    <row r="80" spans="2:4" s="391" customFormat="1" ht="11.5" x14ac:dyDescent="0.25">
      <c r="B80" s="399">
        <v>22</v>
      </c>
      <c r="C80" s="400" t="s">
        <v>603</v>
      </c>
      <c r="D80" s="401">
        <v>18900</v>
      </c>
    </row>
    <row r="81" spans="2:4" s="391" customFormat="1" ht="11.5" x14ac:dyDescent="0.25">
      <c r="B81" s="399">
        <v>23</v>
      </c>
      <c r="C81" s="400" t="s">
        <v>604</v>
      </c>
      <c r="D81" s="401">
        <v>27150</v>
      </c>
    </row>
    <row r="82" spans="2:4" s="391" customFormat="1" ht="11.5" x14ac:dyDescent="0.25">
      <c r="B82" s="399">
        <v>24</v>
      </c>
      <c r="C82" s="400" t="s">
        <v>605</v>
      </c>
      <c r="D82" s="401">
        <v>30750</v>
      </c>
    </row>
    <row r="83" spans="2:4" s="391" customFormat="1" ht="11.5" x14ac:dyDescent="0.25">
      <c r="B83" s="399">
        <v>25</v>
      </c>
      <c r="C83" s="400" t="s">
        <v>606</v>
      </c>
      <c r="D83" s="401">
        <v>15400</v>
      </c>
    </row>
    <row r="84" spans="2:4" s="391" customFormat="1" ht="11.5" x14ac:dyDescent="0.25">
      <c r="B84" s="399">
        <v>26</v>
      </c>
      <c r="C84" s="400" t="s">
        <v>607</v>
      </c>
      <c r="D84" s="401">
        <v>17900</v>
      </c>
    </row>
    <row r="85" spans="2:4" s="391" customFormat="1" ht="11.5" x14ac:dyDescent="0.25">
      <c r="B85" s="399">
        <v>27</v>
      </c>
      <c r="C85" s="400" t="s">
        <v>608</v>
      </c>
      <c r="D85" s="401">
        <v>21900</v>
      </c>
    </row>
    <row r="86" spans="2:4" s="391" customFormat="1" ht="11.5" x14ac:dyDescent="0.25">
      <c r="B86" s="399">
        <v>28</v>
      </c>
      <c r="C86" s="400" t="s">
        <v>609</v>
      </c>
      <c r="D86" s="401">
        <v>27200</v>
      </c>
    </row>
    <row r="87" spans="2:4" s="391" customFormat="1" ht="11.5" x14ac:dyDescent="0.25">
      <c r="B87" s="399">
        <v>29</v>
      </c>
      <c r="C87" s="400" t="s">
        <v>610</v>
      </c>
      <c r="D87" s="401">
        <v>34700</v>
      </c>
    </row>
    <row r="88" spans="2:4" s="391" customFormat="1" ht="11.5" x14ac:dyDescent="0.25">
      <c r="B88" s="399">
        <v>30</v>
      </c>
      <c r="C88" s="400" t="s">
        <v>611</v>
      </c>
      <c r="D88" s="401">
        <v>20600</v>
      </c>
    </row>
    <row r="89" spans="2:4" s="391" customFormat="1" ht="11.5" x14ac:dyDescent="0.25">
      <c r="B89" s="399">
        <v>31</v>
      </c>
      <c r="C89" s="400" t="s">
        <v>612</v>
      </c>
      <c r="D89" s="401">
        <v>29300</v>
      </c>
    </row>
    <row r="90" spans="2:4" s="391" customFormat="1" ht="11.5" x14ac:dyDescent="0.25">
      <c r="B90" s="399">
        <v>32</v>
      </c>
      <c r="C90" s="400" t="s">
        <v>613</v>
      </c>
      <c r="D90" s="401">
        <v>30000</v>
      </c>
    </row>
    <row r="91" spans="2:4" s="391" customFormat="1" ht="11.5" x14ac:dyDescent="0.25">
      <c r="B91" s="399">
        <v>33</v>
      </c>
      <c r="C91" s="400" t="s">
        <v>614</v>
      </c>
      <c r="D91" s="401">
        <v>37100</v>
      </c>
    </row>
    <row r="92" spans="2:4" s="391" customFormat="1" ht="11.5" x14ac:dyDescent="0.25">
      <c r="B92" s="399">
        <v>34</v>
      </c>
      <c r="C92" s="400" t="s">
        <v>639</v>
      </c>
      <c r="D92" s="401">
        <v>2300</v>
      </c>
    </row>
    <row r="93" spans="2:4" s="391" customFormat="1" ht="11.5" x14ac:dyDescent="0.25">
      <c r="B93" s="399">
        <v>35</v>
      </c>
      <c r="C93" s="400" t="s">
        <v>741</v>
      </c>
      <c r="D93" s="401">
        <v>4500</v>
      </c>
    </row>
    <row r="94" spans="2:4" s="391" customFormat="1" ht="11.5" x14ac:dyDescent="0.25">
      <c r="B94" s="399">
        <v>36</v>
      </c>
      <c r="C94" s="400" t="s">
        <v>640</v>
      </c>
      <c r="D94" s="401">
        <v>4600</v>
      </c>
    </row>
    <row r="95" spans="2:4" s="391" customFormat="1" ht="11.5" x14ac:dyDescent="0.25">
      <c r="B95" s="402"/>
      <c r="C95" s="402"/>
      <c r="D95" s="403"/>
    </row>
  </sheetData>
  <mergeCells count="9">
    <mergeCell ref="B57:D57"/>
    <mergeCell ref="B3:B4"/>
    <mergeCell ref="C3:C4"/>
    <mergeCell ref="D3:D4"/>
    <mergeCell ref="E3:Q3"/>
    <mergeCell ref="B28:B29"/>
    <mergeCell ref="C28:C29"/>
    <mergeCell ref="D28:D29"/>
    <mergeCell ref="E28:Q28"/>
  </mergeCells>
  <dataValidations count="1">
    <dataValidation type="list" allowBlank="1" showInputMessage="1" showErrorMessage="1" sqref="C5:C24" xr:uid="{00000000-0002-0000-0800-000000000000}">
      <formula1>$C$59:$C$94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B2:Q100"/>
  <sheetViews>
    <sheetView topLeftCell="A6" zoomScale="80" zoomScaleNormal="80" workbookViewId="0">
      <selection activeCell="F5" sqref="F5:M7"/>
    </sheetView>
  </sheetViews>
  <sheetFormatPr defaultRowHeight="11" x14ac:dyDescent="0.25"/>
  <cols>
    <col min="2" max="2" width="6.21875" customWidth="1"/>
    <col min="3" max="3" width="37" customWidth="1"/>
    <col min="4" max="4" width="12.33203125" customWidth="1"/>
    <col min="5" max="5" width="11.33203125" customWidth="1"/>
    <col min="11" max="11" width="9.33203125" customWidth="1"/>
    <col min="17" max="17" width="13.109375" customWidth="1"/>
  </cols>
  <sheetData>
    <row r="2" spans="2:17" ht="14.5" thickBot="1" x14ac:dyDescent="0.35">
      <c r="B2" s="387" t="str">
        <f>E3</f>
        <v>ค่าเสื่อมราคา - เครื่องมือเครื่องใช้</v>
      </c>
    </row>
    <row r="3" spans="2:17" s="330" customFormat="1" ht="11.5" x14ac:dyDescent="0.25">
      <c r="B3" s="804" t="s">
        <v>276</v>
      </c>
      <c r="C3" s="806" t="s">
        <v>96</v>
      </c>
      <c r="D3" s="808" t="s">
        <v>150</v>
      </c>
      <c r="E3" s="810" t="str">
        <f>C58</f>
        <v>ค่าเสื่อมราคา - เครื่องมือเครื่องใช้</v>
      </c>
      <c r="F3" s="811"/>
      <c r="G3" s="811"/>
      <c r="H3" s="811"/>
      <c r="I3" s="811"/>
      <c r="J3" s="811"/>
      <c r="K3" s="811"/>
      <c r="L3" s="811"/>
      <c r="M3" s="811"/>
      <c r="N3" s="811"/>
      <c r="O3" s="811"/>
      <c r="P3" s="811"/>
      <c r="Q3" s="812"/>
    </row>
    <row r="4" spans="2:17" s="330" customFormat="1" ht="12" thickBot="1" x14ac:dyDescent="0.3">
      <c r="B4" s="805"/>
      <c r="C4" s="807"/>
      <c r="D4" s="809"/>
      <c r="E4" s="331" t="s">
        <v>279</v>
      </c>
      <c r="F4" s="332" t="s">
        <v>280</v>
      </c>
      <c r="G4" s="332" t="s">
        <v>281</v>
      </c>
      <c r="H4" s="332" t="s">
        <v>282</v>
      </c>
      <c r="I4" s="332" t="s">
        <v>33</v>
      </c>
      <c r="J4" s="332" t="s">
        <v>283</v>
      </c>
      <c r="K4" s="332" t="s">
        <v>284</v>
      </c>
      <c r="L4" s="332" t="s">
        <v>285</v>
      </c>
      <c r="M4" s="332" t="s">
        <v>286</v>
      </c>
      <c r="N4" s="332" t="s">
        <v>287</v>
      </c>
      <c r="O4" s="332" t="s">
        <v>288</v>
      </c>
      <c r="P4" s="332" t="s">
        <v>289</v>
      </c>
      <c r="Q4" s="333" t="s">
        <v>98</v>
      </c>
    </row>
    <row r="5" spans="2:17" s="330" customFormat="1" ht="11.5" x14ac:dyDescent="0.25">
      <c r="B5" s="334">
        <v>1</v>
      </c>
      <c r="C5" s="335"/>
      <c r="D5" s="336">
        <f>IFERROR(VLOOKUP(C5,$C$58:$D$100,2,0),0)</f>
        <v>0</v>
      </c>
      <c r="E5" s="337"/>
      <c r="F5" s="338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9">
        <f t="shared" ref="Q5:Q25" si="0">SUM(E5:P5)</f>
        <v>0</v>
      </c>
    </row>
    <row r="6" spans="2:17" s="330" customFormat="1" ht="11.5" x14ac:dyDescent="0.25">
      <c r="B6" s="340">
        <v>2</v>
      </c>
      <c r="C6" s="335"/>
      <c r="D6" s="336">
        <f t="shared" ref="D6:D24" si="1">IFERROR(VLOOKUP(C6,$C$58:$D$100,2,0),0)</f>
        <v>0</v>
      </c>
      <c r="E6" s="341"/>
      <c r="F6" s="342"/>
      <c r="G6" s="342"/>
      <c r="H6" s="342"/>
      <c r="I6" s="342"/>
      <c r="J6" s="342"/>
      <c r="K6" s="342"/>
      <c r="L6" s="342"/>
      <c r="M6" s="342"/>
      <c r="N6" s="342"/>
      <c r="O6" s="342"/>
      <c r="P6" s="342"/>
      <c r="Q6" s="343">
        <f t="shared" si="0"/>
        <v>0</v>
      </c>
    </row>
    <row r="7" spans="2:17" s="330" customFormat="1" ht="11.5" x14ac:dyDescent="0.25">
      <c r="B7" s="340">
        <v>3</v>
      </c>
      <c r="C7" s="335"/>
      <c r="D7" s="336">
        <f t="shared" si="1"/>
        <v>0</v>
      </c>
      <c r="E7" s="341"/>
      <c r="F7" s="342"/>
      <c r="G7" s="342"/>
      <c r="H7" s="342"/>
      <c r="I7" s="342"/>
      <c r="J7" s="342"/>
      <c r="K7" s="342"/>
      <c r="L7" s="342"/>
      <c r="M7" s="342"/>
      <c r="N7" s="342"/>
      <c r="O7" s="342"/>
      <c r="P7" s="342"/>
      <c r="Q7" s="343">
        <f t="shared" si="0"/>
        <v>0</v>
      </c>
    </row>
    <row r="8" spans="2:17" s="330" customFormat="1" ht="11.5" x14ac:dyDescent="0.25">
      <c r="B8" s="340">
        <v>4</v>
      </c>
      <c r="C8" s="335"/>
      <c r="D8" s="336">
        <f t="shared" si="1"/>
        <v>0</v>
      </c>
      <c r="E8" s="341"/>
      <c r="F8" s="342"/>
      <c r="G8" s="342"/>
      <c r="H8" s="342"/>
      <c r="I8" s="342"/>
      <c r="J8" s="342"/>
      <c r="K8" s="342"/>
      <c r="L8" s="342"/>
      <c r="M8" s="342"/>
      <c r="N8" s="342"/>
      <c r="O8" s="342"/>
      <c r="P8" s="342"/>
      <c r="Q8" s="343">
        <f t="shared" si="0"/>
        <v>0</v>
      </c>
    </row>
    <row r="9" spans="2:17" s="330" customFormat="1" ht="11.5" x14ac:dyDescent="0.25">
      <c r="B9" s="340">
        <v>5</v>
      </c>
      <c r="C9" s="335"/>
      <c r="D9" s="336">
        <f t="shared" si="1"/>
        <v>0</v>
      </c>
      <c r="E9" s="341"/>
      <c r="F9" s="342"/>
      <c r="G9" s="342"/>
      <c r="H9" s="342"/>
      <c r="I9" s="342"/>
      <c r="J9" s="342"/>
      <c r="K9" s="342"/>
      <c r="L9" s="342"/>
      <c r="M9" s="342"/>
      <c r="N9" s="342"/>
      <c r="O9" s="342"/>
      <c r="P9" s="342"/>
      <c r="Q9" s="343">
        <f t="shared" si="0"/>
        <v>0</v>
      </c>
    </row>
    <row r="10" spans="2:17" s="330" customFormat="1" ht="11.5" x14ac:dyDescent="0.25">
      <c r="B10" s="340">
        <v>6</v>
      </c>
      <c r="C10" s="335"/>
      <c r="D10" s="336">
        <f t="shared" si="1"/>
        <v>0</v>
      </c>
      <c r="E10" s="341"/>
      <c r="F10" s="342"/>
      <c r="G10" s="342"/>
      <c r="H10" s="342"/>
      <c r="I10" s="342"/>
      <c r="J10" s="342"/>
      <c r="K10" s="342"/>
      <c r="L10" s="342"/>
      <c r="M10" s="342"/>
      <c r="N10" s="342"/>
      <c r="O10" s="342"/>
      <c r="P10" s="342"/>
      <c r="Q10" s="343">
        <f t="shared" si="0"/>
        <v>0</v>
      </c>
    </row>
    <row r="11" spans="2:17" s="330" customFormat="1" ht="11.5" x14ac:dyDescent="0.25">
      <c r="B11" s="340">
        <v>7</v>
      </c>
      <c r="C11" s="335"/>
      <c r="D11" s="336">
        <f t="shared" si="1"/>
        <v>0</v>
      </c>
      <c r="E11" s="341"/>
      <c r="F11" s="342"/>
      <c r="G11" s="342"/>
      <c r="H11" s="342"/>
      <c r="I11" s="342"/>
      <c r="J11" s="342"/>
      <c r="K11" s="342"/>
      <c r="L11" s="342"/>
      <c r="M11" s="342"/>
      <c r="N11" s="342"/>
      <c r="O11" s="342"/>
      <c r="P11" s="342"/>
      <c r="Q11" s="343">
        <f t="shared" si="0"/>
        <v>0</v>
      </c>
    </row>
    <row r="12" spans="2:17" s="330" customFormat="1" ht="11.5" x14ac:dyDescent="0.25">
      <c r="B12" s="340">
        <v>8</v>
      </c>
      <c r="C12" s="335"/>
      <c r="D12" s="336">
        <f t="shared" si="1"/>
        <v>0</v>
      </c>
      <c r="E12" s="341"/>
      <c r="F12" s="342"/>
      <c r="G12" s="342"/>
      <c r="H12" s="342"/>
      <c r="I12" s="342"/>
      <c r="J12" s="342"/>
      <c r="K12" s="342"/>
      <c r="L12" s="342"/>
      <c r="M12" s="342"/>
      <c r="N12" s="342"/>
      <c r="O12" s="342"/>
      <c r="P12" s="342"/>
      <c r="Q12" s="343">
        <f t="shared" si="0"/>
        <v>0</v>
      </c>
    </row>
    <row r="13" spans="2:17" s="330" customFormat="1" ht="11.5" x14ac:dyDescent="0.25">
      <c r="B13" s="340">
        <v>9</v>
      </c>
      <c r="C13" s="335"/>
      <c r="D13" s="336">
        <f t="shared" si="1"/>
        <v>0</v>
      </c>
      <c r="E13" s="341"/>
      <c r="F13" s="342"/>
      <c r="G13" s="342"/>
      <c r="H13" s="342"/>
      <c r="I13" s="342"/>
      <c r="J13" s="342"/>
      <c r="K13" s="342"/>
      <c r="L13" s="342"/>
      <c r="M13" s="342"/>
      <c r="N13" s="342"/>
      <c r="O13" s="342"/>
      <c r="P13" s="342"/>
      <c r="Q13" s="343">
        <f t="shared" si="0"/>
        <v>0</v>
      </c>
    </row>
    <row r="14" spans="2:17" s="330" customFormat="1" ht="11.5" x14ac:dyDescent="0.25">
      <c r="B14" s="340">
        <v>10</v>
      </c>
      <c r="C14" s="335"/>
      <c r="D14" s="336">
        <f t="shared" si="1"/>
        <v>0</v>
      </c>
      <c r="E14" s="341"/>
      <c r="F14" s="342"/>
      <c r="G14" s="342"/>
      <c r="H14" s="342"/>
      <c r="I14" s="342"/>
      <c r="J14" s="342"/>
      <c r="K14" s="342"/>
      <c r="L14" s="342"/>
      <c r="M14" s="342"/>
      <c r="N14" s="342"/>
      <c r="O14" s="342"/>
      <c r="P14" s="342"/>
      <c r="Q14" s="343">
        <f t="shared" si="0"/>
        <v>0</v>
      </c>
    </row>
    <row r="15" spans="2:17" s="330" customFormat="1" ht="11.5" x14ac:dyDescent="0.25">
      <c r="B15" s="340">
        <v>11</v>
      </c>
      <c r="C15" s="335"/>
      <c r="D15" s="336">
        <f t="shared" si="1"/>
        <v>0</v>
      </c>
      <c r="E15" s="388"/>
      <c r="F15" s="389"/>
      <c r="G15" s="389"/>
      <c r="H15" s="389"/>
      <c r="I15" s="389"/>
      <c r="J15" s="389"/>
      <c r="K15" s="389"/>
      <c r="L15" s="389"/>
      <c r="M15" s="389"/>
      <c r="N15" s="389"/>
      <c r="O15" s="389"/>
      <c r="P15" s="389"/>
      <c r="Q15" s="343">
        <f t="shared" si="0"/>
        <v>0</v>
      </c>
    </row>
    <row r="16" spans="2:17" s="330" customFormat="1" ht="11.5" x14ac:dyDescent="0.25">
      <c r="B16" s="340">
        <v>12</v>
      </c>
      <c r="C16" s="335"/>
      <c r="D16" s="336">
        <f t="shared" si="1"/>
        <v>0</v>
      </c>
      <c r="E16" s="388"/>
      <c r="F16" s="389"/>
      <c r="G16" s="389"/>
      <c r="H16" s="389"/>
      <c r="I16" s="389"/>
      <c r="J16" s="389"/>
      <c r="K16" s="389"/>
      <c r="L16" s="389"/>
      <c r="M16" s="389"/>
      <c r="N16" s="389"/>
      <c r="O16" s="389"/>
      <c r="P16" s="389"/>
      <c r="Q16" s="343">
        <f t="shared" si="0"/>
        <v>0</v>
      </c>
    </row>
    <row r="17" spans="2:17" s="330" customFormat="1" ht="11.5" x14ac:dyDescent="0.25">
      <c r="B17" s="340">
        <v>13</v>
      </c>
      <c r="C17" s="335"/>
      <c r="D17" s="336">
        <f t="shared" si="1"/>
        <v>0</v>
      </c>
      <c r="E17" s="388"/>
      <c r="F17" s="389"/>
      <c r="G17" s="389"/>
      <c r="H17" s="389"/>
      <c r="I17" s="389"/>
      <c r="J17" s="389"/>
      <c r="K17" s="389"/>
      <c r="L17" s="389"/>
      <c r="M17" s="389"/>
      <c r="N17" s="389"/>
      <c r="O17" s="389"/>
      <c r="P17" s="389"/>
      <c r="Q17" s="343">
        <f t="shared" si="0"/>
        <v>0</v>
      </c>
    </row>
    <row r="18" spans="2:17" s="330" customFormat="1" ht="11.5" x14ac:dyDescent="0.25">
      <c r="B18" s="340">
        <v>14</v>
      </c>
      <c r="C18" s="335"/>
      <c r="D18" s="336">
        <f t="shared" si="1"/>
        <v>0</v>
      </c>
      <c r="E18" s="388"/>
      <c r="F18" s="389"/>
      <c r="G18" s="389"/>
      <c r="H18" s="389"/>
      <c r="I18" s="389"/>
      <c r="J18" s="389"/>
      <c r="K18" s="389"/>
      <c r="L18" s="389"/>
      <c r="M18" s="389"/>
      <c r="N18" s="389"/>
      <c r="O18" s="389"/>
      <c r="P18" s="389"/>
      <c r="Q18" s="343">
        <f t="shared" si="0"/>
        <v>0</v>
      </c>
    </row>
    <row r="19" spans="2:17" s="330" customFormat="1" ht="11.5" x14ac:dyDescent="0.25">
      <c r="B19" s="340">
        <v>15</v>
      </c>
      <c r="C19" s="335"/>
      <c r="D19" s="336">
        <f t="shared" si="1"/>
        <v>0</v>
      </c>
      <c r="E19" s="388"/>
      <c r="F19" s="389"/>
      <c r="G19" s="389"/>
      <c r="H19" s="389"/>
      <c r="I19" s="389"/>
      <c r="J19" s="389"/>
      <c r="K19" s="389"/>
      <c r="L19" s="389"/>
      <c r="M19" s="389"/>
      <c r="N19" s="389"/>
      <c r="O19" s="389"/>
      <c r="P19" s="389"/>
      <c r="Q19" s="343">
        <f t="shared" si="0"/>
        <v>0</v>
      </c>
    </row>
    <row r="20" spans="2:17" s="330" customFormat="1" ht="11.5" x14ac:dyDescent="0.25">
      <c r="B20" s="340">
        <v>16</v>
      </c>
      <c r="C20" s="335"/>
      <c r="D20" s="336">
        <f t="shared" si="1"/>
        <v>0</v>
      </c>
      <c r="E20" s="388"/>
      <c r="F20" s="389"/>
      <c r="G20" s="389"/>
      <c r="H20" s="389"/>
      <c r="I20" s="389"/>
      <c r="J20" s="389"/>
      <c r="K20" s="389"/>
      <c r="L20" s="389"/>
      <c r="M20" s="389"/>
      <c r="N20" s="389"/>
      <c r="O20" s="389"/>
      <c r="P20" s="389"/>
      <c r="Q20" s="343">
        <f t="shared" si="0"/>
        <v>0</v>
      </c>
    </row>
    <row r="21" spans="2:17" s="330" customFormat="1" ht="11.5" x14ac:dyDescent="0.25">
      <c r="B21" s="340">
        <v>17</v>
      </c>
      <c r="C21" s="335"/>
      <c r="D21" s="336">
        <f t="shared" si="1"/>
        <v>0</v>
      </c>
      <c r="E21" s="388"/>
      <c r="F21" s="389"/>
      <c r="G21" s="389"/>
      <c r="H21" s="389"/>
      <c r="I21" s="389"/>
      <c r="J21" s="389"/>
      <c r="K21" s="389"/>
      <c r="L21" s="389"/>
      <c r="M21" s="389"/>
      <c r="N21" s="389"/>
      <c r="O21" s="389"/>
      <c r="P21" s="389"/>
      <c r="Q21" s="343">
        <f t="shared" si="0"/>
        <v>0</v>
      </c>
    </row>
    <row r="22" spans="2:17" s="330" customFormat="1" ht="11.5" x14ac:dyDescent="0.25">
      <c r="B22" s="340">
        <v>18</v>
      </c>
      <c r="C22" s="335"/>
      <c r="D22" s="336">
        <f t="shared" si="1"/>
        <v>0</v>
      </c>
      <c r="E22" s="388"/>
      <c r="F22" s="389"/>
      <c r="G22" s="389"/>
      <c r="H22" s="389"/>
      <c r="I22" s="389"/>
      <c r="J22" s="389"/>
      <c r="K22" s="389"/>
      <c r="L22" s="389"/>
      <c r="M22" s="389"/>
      <c r="N22" s="389"/>
      <c r="O22" s="389"/>
      <c r="P22" s="389"/>
      <c r="Q22" s="343">
        <f t="shared" si="0"/>
        <v>0</v>
      </c>
    </row>
    <row r="23" spans="2:17" s="330" customFormat="1" ht="11.5" x14ac:dyDescent="0.25">
      <c r="B23" s="340">
        <v>19</v>
      </c>
      <c r="C23" s="335"/>
      <c r="D23" s="336">
        <f t="shared" si="1"/>
        <v>0</v>
      </c>
      <c r="E23" s="388"/>
      <c r="F23" s="389"/>
      <c r="G23" s="389"/>
      <c r="H23" s="389"/>
      <c r="I23" s="389"/>
      <c r="J23" s="389"/>
      <c r="K23" s="389"/>
      <c r="L23" s="389"/>
      <c r="M23" s="389"/>
      <c r="N23" s="389"/>
      <c r="O23" s="389"/>
      <c r="P23" s="389"/>
      <c r="Q23" s="343">
        <f t="shared" si="0"/>
        <v>0</v>
      </c>
    </row>
    <row r="24" spans="2:17" s="330" customFormat="1" ht="11.5" x14ac:dyDescent="0.25">
      <c r="B24" s="340">
        <v>20</v>
      </c>
      <c r="C24" s="335"/>
      <c r="D24" s="336">
        <f t="shared" si="1"/>
        <v>0</v>
      </c>
      <c r="E24" s="388"/>
      <c r="F24" s="389"/>
      <c r="G24" s="389"/>
      <c r="H24" s="389"/>
      <c r="I24" s="389"/>
      <c r="J24" s="389"/>
      <c r="K24" s="389"/>
      <c r="L24" s="389"/>
      <c r="M24" s="389"/>
      <c r="N24" s="389"/>
      <c r="O24" s="389"/>
      <c r="P24" s="389"/>
      <c r="Q24" s="343">
        <f t="shared" si="0"/>
        <v>0</v>
      </c>
    </row>
    <row r="25" spans="2:17" s="330" customFormat="1" ht="12" thickBot="1" x14ac:dyDescent="0.3">
      <c r="B25" s="344"/>
      <c r="C25" s="345"/>
      <c r="D25" s="346"/>
      <c r="E25" s="347"/>
      <c r="F25" s="348"/>
      <c r="G25" s="348"/>
      <c r="H25" s="348"/>
      <c r="I25" s="348"/>
      <c r="J25" s="348"/>
      <c r="K25" s="348"/>
      <c r="L25" s="348"/>
      <c r="M25" s="348"/>
      <c r="N25" s="348"/>
      <c r="O25" s="348"/>
      <c r="P25" s="348"/>
      <c r="Q25" s="349">
        <f t="shared" si="0"/>
        <v>0</v>
      </c>
    </row>
    <row r="26" spans="2:17" s="330" customFormat="1" ht="12" thickBot="1" x14ac:dyDescent="0.3">
      <c r="B26" s="350"/>
      <c r="C26" s="351" t="s">
        <v>290</v>
      </c>
      <c r="D26" s="390"/>
      <c r="E26" s="352">
        <f t="shared" ref="E26:Q26" si="2">SUM(E5:E25)</f>
        <v>0</v>
      </c>
      <c r="F26" s="353">
        <f t="shared" si="2"/>
        <v>0</v>
      </c>
      <c r="G26" s="353">
        <f t="shared" si="2"/>
        <v>0</v>
      </c>
      <c r="H26" s="353">
        <f t="shared" si="2"/>
        <v>0</v>
      </c>
      <c r="I26" s="353">
        <f t="shared" si="2"/>
        <v>0</v>
      </c>
      <c r="J26" s="353">
        <f t="shared" si="2"/>
        <v>0</v>
      </c>
      <c r="K26" s="353">
        <f t="shared" si="2"/>
        <v>0</v>
      </c>
      <c r="L26" s="353">
        <f t="shared" si="2"/>
        <v>0</v>
      </c>
      <c r="M26" s="353">
        <f t="shared" si="2"/>
        <v>0</v>
      </c>
      <c r="N26" s="353">
        <f t="shared" si="2"/>
        <v>0</v>
      </c>
      <c r="O26" s="353">
        <f t="shared" si="2"/>
        <v>0</v>
      </c>
      <c r="P26" s="353">
        <f t="shared" si="2"/>
        <v>0</v>
      </c>
      <c r="Q26" s="354">
        <f t="shared" si="2"/>
        <v>0</v>
      </c>
    </row>
    <row r="27" spans="2:17" ht="11.5" thickBot="1" x14ac:dyDescent="0.3"/>
    <row r="28" spans="2:17" s="330" customFormat="1" ht="11.5" x14ac:dyDescent="0.25">
      <c r="B28" s="804" t="s">
        <v>276</v>
      </c>
      <c r="C28" s="806" t="s">
        <v>277</v>
      </c>
      <c r="D28" s="808" t="s">
        <v>150</v>
      </c>
      <c r="E28" s="810" t="s">
        <v>459</v>
      </c>
      <c r="F28" s="811"/>
      <c r="G28" s="811"/>
      <c r="H28" s="811"/>
      <c r="I28" s="811"/>
      <c r="J28" s="811"/>
      <c r="K28" s="811"/>
      <c r="L28" s="811"/>
      <c r="M28" s="811"/>
      <c r="N28" s="811"/>
      <c r="O28" s="811"/>
      <c r="P28" s="811"/>
      <c r="Q28" s="812"/>
    </row>
    <row r="29" spans="2:17" s="330" customFormat="1" ht="12" thickBot="1" x14ac:dyDescent="0.3">
      <c r="B29" s="805"/>
      <c r="C29" s="807"/>
      <c r="D29" s="809"/>
      <c r="E29" s="331" t="s">
        <v>279</v>
      </c>
      <c r="F29" s="332" t="s">
        <v>280</v>
      </c>
      <c r="G29" s="332" t="s">
        <v>281</v>
      </c>
      <c r="H29" s="332" t="s">
        <v>282</v>
      </c>
      <c r="I29" s="332" t="s">
        <v>33</v>
      </c>
      <c r="J29" s="332" t="s">
        <v>283</v>
      </c>
      <c r="K29" s="332" t="s">
        <v>284</v>
      </c>
      <c r="L29" s="332" t="s">
        <v>285</v>
      </c>
      <c r="M29" s="332" t="s">
        <v>286</v>
      </c>
      <c r="N29" s="332" t="s">
        <v>287</v>
      </c>
      <c r="O29" s="332" t="s">
        <v>288</v>
      </c>
      <c r="P29" s="332" t="s">
        <v>289</v>
      </c>
      <c r="Q29" s="333" t="s">
        <v>98</v>
      </c>
    </row>
    <row r="30" spans="2:17" s="330" customFormat="1" ht="11.5" x14ac:dyDescent="0.25">
      <c r="B30" s="334">
        <v>1</v>
      </c>
      <c r="C30" s="355">
        <f t="shared" ref="C30:D49" si="3">C5</f>
        <v>0</v>
      </c>
      <c r="D30" s="356">
        <f t="shared" si="3"/>
        <v>0</v>
      </c>
      <c r="E30" s="357">
        <f t="shared" ref="E30:P30" si="4">$D30*E5</f>
        <v>0</v>
      </c>
      <c r="F30" s="358">
        <f t="shared" si="4"/>
        <v>0</v>
      </c>
      <c r="G30" s="358">
        <f t="shared" si="4"/>
        <v>0</v>
      </c>
      <c r="H30" s="358">
        <f t="shared" si="4"/>
        <v>0</v>
      </c>
      <c r="I30" s="358">
        <f t="shared" si="4"/>
        <v>0</v>
      </c>
      <c r="J30" s="358">
        <f t="shared" si="4"/>
        <v>0</v>
      </c>
      <c r="K30" s="358">
        <f t="shared" si="4"/>
        <v>0</v>
      </c>
      <c r="L30" s="358">
        <f t="shared" si="4"/>
        <v>0</v>
      </c>
      <c r="M30" s="358">
        <f t="shared" si="4"/>
        <v>0</v>
      </c>
      <c r="N30" s="358">
        <f t="shared" si="4"/>
        <v>0</v>
      </c>
      <c r="O30" s="358">
        <f t="shared" si="4"/>
        <v>0</v>
      </c>
      <c r="P30" s="358">
        <f t="shared" si="4"/>
        <v>0</v>
      </c>
      <c r="Q30" s="359">
        <f>SUM(E30:P30)</f>
        <v>0</v>
      </c>
    </row>
    <row r="31" spans="2:17" s="330" customFormat="1" ht="11.5" x14ac:dyDescent="0.25">
      <c r="B31" s="340">
        <v>2</v>
      </c>
      <c r="C31" s="360">
        <f t="shared" si="3"/>
        <v>0</v>
      </c>
      <c r="D31" s="356">
        <f t="shared" si="3"/>
        <v>0</v>
      </c>
      <c r="E31" s="361">
        <f t="shared" ref="E31:P31" si="5">$D31*E6</f>
        <v>0</v>
      </c>
      <c r="F31" s="362">
        <f t="shared" si="5"/>
        <v>0</v>
      </c>
      <c r="G31" s="362">
        <f t="shared" si="5"/>
        <v>0</v>
      </c>
      <c r="H31" s="362">
        <f t="shared" si="5"/>
        <v>0</v>
      </c>
      <c r="I31" s="362">
        <f t="shared" si="5"/>
        <v>0</v>
      </c>
      <c r="J31" s="362">
        <f t="shared" si="5"/>
        <v>0</v>
      </c>
      <c r="K31" s="362">
        <f t="shared" si="5"/>
        <v>0</v>
      </c>
      <c r="L31" s="362">
        <f t="shared" si="5"/>
        <v>0</v>
      </c>
      <c r="M31" s="362">
        <f t="shared" si="5"/>
        <v>0</v>
      </c>
      <c r="N31" s="362">
        <f t="shared" si="5"/>
        <v>0</v>
      </c>
      <c r="O31" s="362">
        <f t="shared" si="5"/>
        <v>0</v>
      </c>
      <c r="P31" s="362">
        <f t="shared" si="5"/>
        <v>0</v>
      </c>
      <c r="Q31" s="363">
        <f t="shared" ref="Q31:Q49" si="6">SUM(E31:P31)</f>
        <v>0</v>
      </c>
    </row>
    <row r="32" spans="2:17" s="330" customFormat="1" ht="11.5" x14ac:dyDescent="0.25">
      <c r="B32" s="340">
        <v>3</v>
      </c>
      <c r="C32" s="360">
        <f t="shared" si="3"/>
        <v>0</v>
      </c>
      <c r="D32" s="356">
        <f t="shared" si="3"/>
        <v>0</v>
      </c>
      <c r="E32" s="361">
        <f t="shared" ref="E32:P32" si="7">$D32*E7</f>
        <v>0</v>
      </c>
      <c r="F32" s="362">
        <f t="shared" si="7"/>
        <v>0</v>
      </c>
      <c r="G32" s="362">
        <f t="shared" si="7"/>
        <v>0</v>
      </c>
      <c r="H32" s="362">
        <f t="shared" si="7"/>
        <v>0</v>
      </c>
      <c r="I32" s="362">
        <f t="shared" si="7"/>
        <v>0</v>
      </c>
      <c r="J32" s="362">
        <f t="shared" si="7"/>
        <v>0</v>
      </c>
      <c r="K32" s="362">
        <f t="shared" si="7"/>
        <v>0</v>
      </c>
      <c r="L32" s="362">
        <f t="shared" si="7"/>
        <v>0</v>
      </c>
      <c r="M32" s="362">
        <f t="shared" si="7"/>
        <v>0</v>
      </c>
      <c r="N32" s="362">
        <f t="shared" si="7"/>
        <v>0</v>
      </c>
      <c r="O32" s="362">
        <f t="shared" si="7"/>
        <v>0</v>
      </c>
      <c r="P32" s="362">
        <f t="shared" si="7"/>
        <v>0</v>
      </c>
      <c r="Q32" s="363">
        <f t="shared" si="6"/>
        <v>0</v>
      </c>
    </row>
    <row r="33" spans="2:17" s="330" customFormat="1" ht="11.5" x14ac:dyDescent="0.25">
      <c r="B33" s="340">
        <v>4</v>
      </c>
      <c r="C33" s="360">
        <f t="shared" si="3"/>
        <v>0</v>
      </c>
      <c r="D33" s="356">
        <f t="shared" si="3"/>
        <v>0</v>
      </c>
      <c r="E33" s="361">
        <f t="shared" ref="E33:P33" si="8">$D33*E8</f>
        <v>0</v>
      </c>
      <c r="F33" s="362">
        <f t="shared" si="8"/>
        <v>0</v>
      </c>
      <c r="G33" s="362">
        <f t="shared" si="8"/>
        <v>0</v>
      </c>
      <c r="H33" s="362">
        <f t="shared" si="8"/>
        <v>0</v>
      </c>
      <c r="I33" s="362">
        <f t="shared" si="8"/>
        <v>0</v>
      </c>
      <c r="J33" s="362">
        <f t="shared" si="8"/>
        <v>0</v>
      </c>
      <c r="K33" s="362">
        <f t="shared" si="8"/>
        <v>0</v>
      </c>
      <c r="L33" s="362">
        <f t="shared" si="8"/>
        <v>0</v>
      </c>
      <c r="M33" s="362">
        <f t="shared" si="8"/>
        <v>0</v>
      </c>
      <c r="N33" s="362">
        <f t="shared" si="8"/>
        <v>0</v>
      </c>
      <c r="O33" s="362">
        <f t="shared" si="8"/>
        <v>0</v>
      </c>
      <c r="P33" s="362">
        <f t="shared" si="8"/>
        <v>0</v>
      </c>
      <c r="Q33" s="363">
        <f t="shared" si="6"/>
        <v>0</v>
      </c>
    </row>
    <row r="34" spans="2:17" s="330" customFormat="1" ht="11.5" x14ac:dyDescent="0.25">
      <c r="B34" s="340">
        <v>5</v>
      </c>
      <c r="C34" s="360">
        <f t="shared" si="3"/>
        <v>0</v>
      </c>
      <c r="D34" s="356">
        <f t="shared" si="3"/>
        <v>0</v>
      </c>
      <c r="E34" s="361">
        <f t="shared" ref="E34:P34" si="9">$D34*E9</f>
        <v>0</v>
      </c>
      <c r="F34" s="362">
        <f t="shared" si="9"/>
        <v>0</v>
      </c>
      <c r="G34" s="362">
        <f t="shared" si="9"/>
        <v>0</v>
      </c>
      <c r="H34" s="362">
        <f t="shared" si="9"/>
        <v>0</v>
      </c>
      <c r="I34" s="362">
        <f t="shared" si="9"/>
        <v>0</v>
      </c>
      <c r="J34" s="362">
        <f t="shared" si="9"/>
        <v>0</v>
      </c>
      <c r="K34" s="362">
        <f t="shared" si="9"/>
        <v>0</v>
      </c>
      <c r="L34" s="362">
        <f t="shared" si="9"/>
        <v>0</v>
      </c>
      <c r="M34" s="362">
        <f t="shared" si="9"/>
        <v>0</v>
      </c>
      <c r="N34" s="362">
        <f t="shared" si="9"/>
        <v>0</v>
      </c>
      <c r="O34" s="362">
        <f t="shared" si="9"/>
        <v>0</v>
      </c>
      <c r="P34" s="362">
        <f t="shared" si="9"/>
        <v>0</v>
      </c>
      <c r="Q34" s="363">
        <f t="shared" si="6"/>
        <v>0</v>
      </c>
    </row>
    <row r="35" spans="2:17" s="330" customFormat="1" ht="11.5" x14ac:dyDescent="0.25">
      <c r="B35" s="340">
        <v>6</v>
      </c>
      <c r="C35" s="360">
        <f t="shared" si="3"/>
        <v>0</v>
      </c>
      <c r="D35" s="356">
        <f t="shared" si="3"/>
        <v>0</v>
      </c>
      <c r="E35" s="361">
        <f t="shared" ref="E35:P35" si="10">$D35*E10</f>
        <v>0</v>
      </c>
      <c r="F35" s="362">
        <f t="shared" si="10"/>
        <v>0</v>
      </c>
      <c r="G35" s="362">
        <f t="shared" si="10"/>
        <v>0</v>
      </c>
      <c r="H35" s="362">
        <f t="shared" si="10"/>
        <v>0</v>
      </c>
      <c r="I35" s="362">
        <f t="shared" si="10"/>
        <v>0</v>
      </c>
      <c r="J35" s="362">
        <f t="shared" si="10"/>
        <v>0</v>
      </c>
      <c r="K35" s="362">
        <f t="shared" si="10"/>
        <v>0</v>
      </c>
      <c r="L35" s="362">
        <f t="shared" si="10"/>
        <v>0</v>
      </c>
      <c r="M35" s="362">
        <f t="shared" si="10"/>
        <v>0</v>
      </c>
      <c r="N35" s="362">
        <f t="shared" si="10"/>
        <v>0</v>
      </c>
      <c r="O35" s="362">
        <f t="shared" si="10"/>
        <v>0</v>
      </c>
      <c r="P35" s="362">
        <f t="shared" si="10"/>
        <v>0</v>
      </c>
      <c r="Q35" s="363">
        <f t="shared" si="6"/>
        <v>0</v>
      </c>
    </row>
    <row r="36" spans="2:17" s="330" customFormat="1" ht="11.5" x14ac:dyDescent="0.25">
      <c r="B36" s="340">
        <v>7</v>
      </c>
      <c r="C36" s="360">
        <f t="shared" si="3"/>
        <v>0</v>
      </c>
      <c r="D36" s="356">
        <f t="shared" si="3"/>
        <v>0</v>
      </c>
      <c r="E36" s="361">
        <f t="shared" ref="E36:P36" si="11">$D36*E11</f>
        <v>0</v>
      </c>
      <c r="F36" s="362">
        <f t="shared" si="11"/>
        <v>0</v>
      </c>
      <c r="G36" s="362">
        <f t="shared" si="11"/>
        <v>0</v>
      </c>
      <c r="H36" s="362">
        <f t="shared" si="11"/>
        <v>0</v>
      </c>
      <c r="I36" s="362">
        <f t="shared" si="11"/>
        <v>0</v>
      </c>
      <c r="J36" s="362">
        <f t="shared" si="11"/>
        <v>0</v>
      </c>
      <c r="K36" s="362">
        <f t="shared" si="11"/>
        <v>0</v>
      </c>
      <c r="L36" s="362">
        <f t="shared" si="11"/>
        <v>0</v>
      </c>
      <c r="M36" s="362">
        <f t="shared" si="11"/>
        <v>0</v>
      </c>
      <c r="N36" s="362">
        <f t="shared" si="11"/>
        <v>0</v>
      </c>
      <c r="O36" s="362">
        <f t="shared" si="11"/>
        <v>0</v>
      </c>
      <c r="P36" s="362">
        <f t="shared" si="11"/>
        <v>0</v>
      </c>
      <c r="Q36" s="363">
        <f t="shared" si="6"/>
        <v>0</v>
      </c>
    </row>
    <row r="37" spans="2:17" s="330" customFormat="1" ht="11.5" x14ac:dyDescent="0.25">
      <c r="B37" s="340">
        <v>8</v>
      </c>
      <c r="C37" s="360">
        <f t="shared" si="3"/>
        <v>0</v>
      </c>
      <c r="D37" s="356">
        <f t="shared" si="3"/>
        <v>0</v>
      </c>
      <c r="E37" s="361">
        <f t="shared" ref="E37:P37" si="12">$D37*E12</f>
        <v>0</v>
      </c>
      <c r="F37" s="362">
        <f t="shared" si="12"/>
        <v>0</v>
      </c>
      <c r="G37" s="362">
        <f t="shared" si="12"/>
        <v>0</v>
      </c>
      <c r="H37" s="362">
        <f t="shared" si="12"/>
        <v>0</v>
      </c>
      <c r="I37" s="362">
        <f t="shared" si="12"/>
        <v>0</v>
      </c>
      <c r="J37" s="362">
        <f t="shared" si="12"/>
        <v>0</v>
      </c>
      <c r="K37" s="362">
        <f t="shared" si="12"/>
        <v>0</v>
      </c>
      <c r="L37" s="362">
        <f t="shared" si="12"/>
        <v>0</v>
      </c>
      <c r="M37" s="362">
        <f t="shared" si="12"/>
        <v>0</v>
      </c>
      <c r="N37" s="362">
        <f t="shared" si="12"/>
        <v>0</v>
      </c>
      <c r="O37" s="362">
        <f t="shared" si="12"/>
        <v>0</v>
      </c>
      <c r="P37" s="362">
        <f t="shared" si="12"/>
        <v>0</v>
      </c>
      <c r="Q37" s="363">
        <f t="shared" si="6"/>
        <v>0</v>
      </c>
    </row>
    <row r="38" spans="2:17" s="330" customFormat="1" ht="11.5" x14ac:dyDescent="0.25">
      <c r="B38" s="340">
        <v>9</v>
      </c>
      <c r="C38" s="360">
        <f t="shared" si="3"/>
        <v>0</v>
      </c>
      <c r="D38" s="356">
        <f t="shared" si="3"/>
        <v>0</v>
      </c>
      <c r="E38" s="361">
        <f t="shared" ref="E38:P38" si="13">$D38*E13</f>
        <v>0</v>
      </c>
      <c r="F38" s="362">
        <f t="shared" si="13"/>
        <v>0</v>
      </c>
      <c r="G38" s="362">
        <f t="shared" si="13"/>
        <v>0</v>
      </c>
      <c r="H38" s="362">
        <f t="shared" si="13"/>
        <v>0</v>
      </c>
      <c r="I38" s="362">
        <f t="shared" si="13"/>
        <v>0</v>
      </c>
      <c r="J38" s="362">
        <f t="shared" si="13"/>
        <v>0</v>
      </c>
      <c r="K38" s="362">
        <f t="shared" si="13"/>
        <v>0</v>
      </c>
      <c r="L38" s="362">
        <f t="shared" si="13"/>
        <v>0</v>
      </c>
      <c r="M38" s="362">
        <f t="shared" si="13"/>
        <v>0</v>
      </c>
      <c r="N38" s="362">
        <f t="shared" si="13"/>
        <v>0</v>
      </c>
      <c r="O38" s="362">
        <f t="shared" si="13"/>
        <v>0</v>
      </c>
      <c r="P38" s="362">
        <f t="shared" si="13"/>
        <v>0</v>
      </c>
      <c r="Q38" s="363">
        <f t="shared" si="6"/>
        <v>0</v>
      </c>
    </row>
    <row r="39" spans="2:17" s="330" customFormat="1" ht="11.5" x14ac:dyDescent="0.25">
      <c r="B39" s="340">
        <v>10</v>
      </c>
      <c r="C39" s="360">
        <f t="shared" si="3"/>
        <v>0</v>
      </c>
      <c r="D39" s="356">
        <f t="shared" si="3"/>
        <v>0</v>
      </c>
      <c r="E39" s="361">
        <f t="shared" ref="E39:P39" si="14">$D39*E14</f>
        <v>0</v>
      </c>
      <c r="F39" s="362">
        <f t="shared" si="14"/>
        <v>0</v>
      </c>
      <c r="G39" s="362">
        <f t="shared" si="14"/>
        <v>0</v>
      </c>
      <c r="H39" s="362">
        <f t="shared" si="14"/>
        <v>0</v>
      </c>
      <c r="I39" s="362">
        <f t="shared" si="14"/>
        <v>0</v>
      </c>
      <c r="J39" s="362">
        <f t="shared" si="14"/>
        <v>0</v>
      </c>
      <c r="K39" s="362">
        <f t="shared" si="14"/>
        <v>0</v>
      </c>
      <c r="L39" s="362">
        <f t="shared" si="14"/>
        <v>0</v>
      </c>
      <c r="M39" s="362">
        <f t="shared" si="14"/>
        <v>0</v>
      </c>
      <c r="N39" s="362">
        <f t="shared" si="14"/>
        <v>0</v>
      </c>
      <c r="O39" s="362">
        <f t="shared" si="14"/>
        <v>0</v>
      </c>
      <c r="P39" s="362">
        <f t="shared" si="14"/>
        <v>0</v>
      </c>
      <c r="Q39" s="363">
        <f t="shared" si="6"/>
        <v>0</v>
      </c>
    </row>
    <row r="40" spans="2:17" s="330" customFormat="1" ht="11.5" x14ac:dyDescent="0.25">
      <c r="B40" s="340">
        <v>11</v>
      </c>
      <c r="C40" s="360">
        <f t="shared" si="3"/>
        <v>0</v>
      </c>
      <c r="D40" s="356">
        <f t="shared" si="3"/>
        <v>0</v>
      </c>
      <c r="E40" s="361">
        <f t="shared" ref="E40:P40" si="15">$D40*E15</f>
        <v>0</v>
      </c>
      <c r="F40" s="362">
        <f t="shared" si="15"/>
        <v>0</v>
      </c>
      <c r="G40" s="362">
        <f t="shared" si="15"/>
        <v>0</v>
      </c>
      <c r="H40" s="362">
        <f t="shared" si="15"/>
        <v>0</v>
      </c>
      <c r="I40" s="362">
        <f t="shared" si="15"/>
        <v>0</v>
      </c>
      <c r="J40" s="362">
        <f t="shared" si="15"/>
        <v>0</v>
      </c>
      <c r="K40" s="362">
        <f t="shared" si="15"/>
        <v>0</v>
      </c>
      <c r="L40" s="362">
        <f t="shared" si="15"/>
        <v>0</v>
      </c>
      <c r="M40" s="362">
        <f t="shared" si="15"/>
        <v>0</v>
      </c>
      <c r="N40" s="362">
        <f t="shared" si="15"/>
        <v>0</v>
      </c>
      <c r="O40" s="362">
        <f t="shared" si="15"/>
        <v>0</v>
      </c>
      <c r="P40" s="362">
        <f t="shared" si="15"/>
        <v>0</v>
      </c>
      <c r="Q40" s="363">
        <f t="shared" si="6"/>
        <v>0</v>
      </c>
    </row>
    <row r="41" spans="2:17" s="330" customFormat="1" ht="11.5" x14ac:dyDescent="0.25">
      <c r="B41" s="340">
        <v>12</v>
      </c>
      <c r="C41" s="360">
        <f t="shared" si="3"/>
        <v>0</v>
      </c>
      <c r="D41" s="356">
        <f t="shared" si="3"/>
        <v>0</v>
      </c>
      <c r="E41" s="361">
        <f t="shared" ref="E41:P41" si="16">$D41*E16</f>
        <v>0</v>
      </c>
      <c r="F41" s="362">
        <f t="shared" si="16"/>
        <v>0</v>
      </c>
      <c r="G41" s="362">
        <f t="shared" si="16"/>
        <v>0</v>
      </c>
      <c r="H41" s="362">
        <f t="shared" si="16"/>
        <v>0</v>
      </c>
      <c r="I41" s="362">
        <f t="shared" si="16"/>
        <v>0</v>
      </c>
      <c r="J41" s="362">
        <f t="shared" si="16"/>
        <v>0</v>
      </c>
      <c r="K41" s="362">
        <f t="shared" si="16"/>
        <v>0</v>
      </c>
      <c r="L41" s="362">
        <f t="shared" si="16"/>
        <v>0</v>
      </c>
      <c r="M41" s="362">
        <f t="shared" si="16"/>
        <v>0</v>
      </c>
      <c r="N41" s="362">
        <f t="shared" si="16"/>
        <v>0</v>
      </c>
      <c r="O41" s="362">
        <f t="shared" si="16"/>
        <v>0</v>
      </c>
      <c r="P41" s="362">
        <f t="shared" si="16"/>
        <v>0</v>
      </c>
      <c r="Q41" s="363">
        <f t="shared" si="6"/>
        <v>0</v>
      </c>
    </row>
    <row r="42" spans="2:17" s="330" customFormat="1" ht="11.5" x14ac:dyDescent="0.25">
      <c r="B42" s="340">
        <v>13</v>
      </c>
      <c r="C42" s="360">
        <f t="shared" si="3"/>
        <v>0</v>
      </c>
      <c r="D42" s="356">
        <f t="shared" si="3"/>
        <v>0</v>
      </c>
      <c r="E42" s="361">
        <f t="shared" ref="E42:P42" si="17">$D42*E17</f>
        <v>0</v>
      </c>
      <c r="F42" s="362">
        <f t="shared" si="17"/>
        <v>0</v>
      </c>
      <c r="G42" s="362">
        <f t="shared" si="17"/>
        <v>0</v>
      </c>
      <c r="H42" s="362">
        <f t="shared" si="17"/>
        <v>0</v>
      </c>
      <c r="I42" s="362">
        <f t="shared" si="17"/>
        <v>0</v>
      </c>
      <c r="J42" s="362">
        <f t="shared" si="17"/>
        <v>0</v>
      </c>
      <c r="K42" s="362">
        <f t="shared" si="17"/>
        <v>0</v>
      </c>
      <c r="L42" s="362">
        <f t="shared" si="17"/>
        <v>0</v>
      </c>
      <c r="M42" s="362">
        <f t="shared" si="17"/>
        <v>0</v>
      </c>
      <c r="N42" s="362">
        <f t="shared" si="17"/>
        <v>0</v>
      </c>
      <c r="O42" s="362">
        <f t="shared" si="17"/>
        <v>0</v>
      </c>
      <c r="P42" s="362">
        <f t="shared" si="17"/>
        <v>0</v>
      </c>
      <c r="Q42" s="363">
        <f t="shared" si="6"/>
        <v>0</v>
      </c>
    </row>
    <row r="43" spans="2:17" s="330" customFormat="1" ht="11.5" x14ac:dyDescent="0.25">
      <c r="B43" s="340">
        <v>14</v>
      </c>
      <c r="C43" s="360">
        <f t="shared" si="3"/>
        <v>0</v>
      </c>
      <c r="D43" s="356">
        <f t="shared" si="3"/>
        <v>0</v>
      </c>
      <c r="E43" s="361">
        <f t="shared" ref="E43:P43" si="18">$D43*E18</f>
        <v>0</v>
      </c>
      <c r="F43" s="362">
        <f t="shared" si="18"/>
        <v>0</v>
      </c>
      <c r="G43" s="362">
        <f t="shared" si="18"/>
        <v>0</v>
      </c>
      <c r="H43" s="362">
        <f t="shared" si="18"/>
        <v>0</v>
      </c>
      <c r="I43" s="362">
        <f t="shared" si="18"/>
        <v>0</v>
      </c>
      <c r="J43" s="362">
        <f t="shared" si="18"/>
        <v>0</v>
      </c>
      <c r="K43" s="362">
        <f t="shared" si="18"/>
        <v>0</v>
      </c>
      <c r="L43" s="362">
        <f t="shared" si="18"/>
        <v>0</v>
      </c>
      <c r="M43" s="362">
        <f t="shared" si="18"/>
        <v>0</v>
      </c>
      <c r="N43" s="362">
        <f t="shared" si="18"/>
        <v>0</v>
      </c>
      <c r="O43" s="362">
        <f t="shared" si="18"/>
        <v>0</v>
      </c>
      <c r="P43" s="362">
        <f t="shared" si="18"/>
        <v>0</v>
      </c>
      <c r="Q43" s="363">
        <f t="shared" si="6"/>
        <v>0</v>
      </c>
    </row>
    <row r="44" spans="2:17" s="330" customFormat="1" ht="11.5" x14ac:dyDescent="0.25">
      <c r="B44" s="340">
        <v>15</v>
      </c>
      <c r="C44" s="360">
        <f t="shared" si="3"/>
        <v>0</v>
      </c>
      <c r="D44" s="356">
        <f t="shared" si="3"/>
        <v>0</v>
      </c>
      <c r="E44" s="361">
        <f t="shared" ref="E44:P44" si="19">$D44*E19</f>
        <v>0</v>
      </c>
      <c r="F44" s="362">
        <f t="shared" si="19"/>
        <v>0</v>
      </c>
      <c r="G44" s="362">
        <f t="shared" si="19"/>
        <v>0</v>
      </c>
      <c r="H44" s="362">
        <f t="shared" si="19"/>
        <v>0</v>
      </c>
      <c r="I44" s="362">
        <f t="shared" si="19"/>
        <v>0</v>
      </c>
      <c r="J44" s="362">
        <f t="shared" si="19"/>
        <v>0</v>
      </c>
      <c r="K44" s="362">
        <f t="shared" si="19"/>
        <v>0</v>
      </c>
      <c r="L44" s="362">
        <f t="shared" si="19"/>
        <v>0</v>
      </c>
      <c r="M44" s="362">
        <f t="shared" si="19"/>
        <v>0</v>
      </c>
      <c r="N44" s="362">
        <f t="shared" si="19"/>
        <v>0</v>
      </c>
      <c r="O44" s="362">
        <f t="shared" si="19"/>
        <v>0</v>
      </c>
      <c r="P44" s="362">
        <f t="shared" si="19"/>
        <v>0</v>
      </c>
      <c r="Q44" s="363">
        <f t="shared" si="6"/>
        <v>0</v>
      </c>
    </row>
    <row r="45" spans="2:17" s="330" customFormat="1" ht="11.5" x14ac:dyDescent="0.25">
      <c r="B45" s="340">
        <v>16</v>
      </c>
      <c r="C45" s="360">
        <f t="shared" si="3"/>
        <v>0</v>
      </c>
      <c r="D45" s="356">
        <f t="shared" si="3"/>
        <v>0</v>
      </c>
      <c r="E45" s="361">
        <f t="shared" ref="E45:P45" si="20">$D45*E20</f>
        <v>0</v>
      </c>
      <c r="F45" s="362">
        <f t="shared" si="20"/>
        <v>0</v>
      </c>
      <c r="G45" s="362">
        <f t="shared" si="20"/>
        <v>0</v>
      </c>
      <c r="H45" s="362">
        <f t="shared" si="20"/>
        <v>0</v>
      </c>
      <c r="I45" s="362">
        <f t="shared" si="20"/>
        <v>0</v>
      </c>
      <c r="J45" s="362">
        <f t="shared" si="20"/>
        <v>0</v>
      </c>
      <c r="K45" s="362">
        <f t="shared" si="20"/>
        <v>0</v>
      </c>
      <c r="L45" s="362">
        <f t="shared" si="20"/>
        <v>0</v>
      </c>
      <c r="M45" s="362">
        <f t="shared" si="20"/>
        <v>0</v>
      </c>
      <c r="N45" s="362">
        <f t="shared" si="20"/>
        <v>0</v>
      </c>
      <c r="O45" s="362">
        <f t="shared" si="20"/>
        <v>0</v>
      </c>
      <c r="P45" s="362">
        <f t="shared" si="20"/>
        <v>0</v>
      </c>
      <c r="Q45" s="363">
        <f t="shared" si="6"/>
        <v>0</v>
      </c>
    </row>
    <row r="46" spans="2:17" s="330" customFormat="1" ht="11.5" x14ac:dyDescent="0.25">
      <c r="B46" s="340">
        <v>17</v>
      </c>
      <c r="C46" s="360">
        <f t="shared" si="3"/>
        <v>0</v>
      </c>
      <c r="D46" s="356">
        <f t="shared" si="3"/>
        <v>0</v>
      </c>
      <c r="E46" s="361">
        <f t="shared" ref="E46:P46" si="21">$D46*E21</f>
        <v>0</v>
      </c>
      <c r="F46" s="362">
        <f t="shared" si="21"/>
        <v>0</v>
      </c>
      <c r="G46" s="362">
        <f t="shared" si="21"/>
        <v>0</v>
      </c>
      <c r="H46" s="362">
        <f t="shared" si="21"/>
        <v>0</v>
      </c>
      <c r="I46" s="362">
        <f t="shared" si="21"/>
        <v>0</v>
      </c>
      <c r="J46" s="362">
        <f t="shared" si="21"/>
        <v>0</v>
      </c>
      <c r="K46" s="362">
        <f t="shared" si="21"/>
        <v>0</v>
      </c>
      <c r="L46" s="362">
        <f t="shared" si="21"/>
        <v>0</v>
      </c>
      <c r="M46" s="362">
        <f t="shared" si="21"/>
        <v>0</v>
      </c>
      <c r="N46" s="362">
        <f t="shared" si="21"/>
        <v>0</v>
      </c>
      <c r="O46" s="362">
        <f t="shared" si="21"/>
        <v>0</v>
      </c>
      <c r="P46" s="362">
        <f t="shared" si="21"/>
        <v>0</v>
      </c>
      <c r="Q46" s="363">
        <f t="shared" si="6"/>
        <v>0</v>
      </c>
    </row>
    <row r="47" spans="2:17" s="330" customFormat="1" ht="11.5" x14ac:dyDescent="0.25">
      <c r="B47" s="340">
        <v>18</v>
      </c>
      <c r="C47" s="360">
        <f t="shared" si="3"/>
        <v>0</v>
      </c>
      <c r="D47" s="356">
        <f t="shared" si="3"/>
        <v>0</v>
      </c>
      <c r="E47" s="361">
        <f t="shared" ref="E47:P47" si="22">$D47*E22</f>
        <v>0</v>
      </c>
      <c r="F47" s="362">
        <f t="shared" si="22"/>
        <v>0</v>
      </c>
      <c r="G47" s="362">
        <f t="shared" si="22"/>
        <v>0</v>
      </c>
      <c r="H47" s="362">
        <f t="shared" si="22"/>
        <v>0</v>
      </c>
      <c r="I47" s="362">
        <f t="shared" si="22"/>
        <v>0</v>
      </c>
      <c r="J47" s="362">
        <f t="shared" si="22"/>
        <v>0</v>
      </c>
      <c r="K47" s="362">
        <f t="shared" si="22"/>
        <v>0</v>
      </c>
      <c r="L47" s="362">
        <f t="shared" si="22"/>
        <v>0</v>
      </c>
      <c r="M47" s="362">
        <f t="shared" si="22"/>
        <v>0</v>
      </c>
      <c r="N47" s="362">
        <f t="shared" si="22"/>
        <v>0</v>
      </c>
      <c r="O47" s="362">
        <f t="shared" si="22"/>
        <v>0</v>
      </c>
      <c r="P47" s="362">
        <f t="shared" si="22"/>
        <v>0</v>
      </c>
      <c r="Q47" s="363">
        <f t="shared" si="6"/>
        <v>0</v>
      </c>
    </row>
    <row r="48" spans="2:17" s="330" customFormat="1" ht="11.5" x14ac:dyDescent="0.25">
      <c r="B48" s="340">
        <v>19</v>
      </c>
      <c r="C48" s="360">
        <f t="shared" si="3"/>
        <v>0</v>
      </c>
      <c r="D48" s="356">
        <f t="shared" si="3"/>
        <v>0</v>
      </c>
      <c r="E48" s="361">
        <f t="shared" ref="E48:P48" si="23">$D48*E23</f>
        <v>0</v>
      </c>
      <c r="F48" s="362">
        <f t="shared" si="23"/>
        <v>0</v>
      </c>
      <c r="G48" s="362">
        <f t="shared" si="23"/>
        <v>0</v>
      </c>
      <c r="H48" s="362">
        <f t="shared" si="23"/>
        <v>0</v>
      </c>
      <c r="I48" s="362">
        <f t="shared" si="23"/>
        <v>0</v>
      </c>
      <c r="J48" s="362">
        <f t="shared" si="23"/>
        <v>0</v>
      </c>
      <c r="K48" s="362">
        <f t="shared" si="23"/>
        <v>0</v>
      </c>
      <c r="L48" s="362">
        <f t="shared" si="23"/>
        <v>0</v>
      </c>
      <c r="M48" s="362">
        <f t="shared" si="23"/>
        <v>0</v>
      </c>
      <c r="N48" s="362">
        <f t="shared" si="23"/>
        <v>0</v>
      </c>
      <c r="O48" s="362">
        <f t="shared" si="23"/>
        <v>0</v>
      </c>
      <c r="P48" s="362">
        <f t="shared" si="23"/>
        <v>0</v>
      </c>
      <c r="Q48" s="363">
        <f t="shared" si="6"/>
        <v>0</v>
      </c>
    </row>
    <row r="49" spans="2:17" s="330" customFormat="1" ht="11.5" x14ac:dyDescent="0.25">
      <c r="B49" s="340">
        <v>20</v>
      </c>
      <c r="C49" s="360">
        <f t="shared" si="3"/>
        <v>0</v>
      </c>
      <c r="D49" s="356">
        <f t="shared" si="3"/>
        <v>0</v>
      </c>
      <c r="E49" s="361">
        <f t="shared" ref="E49:P49" si="24">$D49*E24</f>
        <v>0</v>
      </c>
      <c r="F49" s="362">
        <f t="shared" si="24"/>
        <v>0</v>
      </c>
      <c r="G49" s="362">
        <f t="shared" si="24"/>
        <v>0</v>
      </c>
      <c r="H49" s="362">
        <f t="shared" si="24"/>
        <v>0</v>
      </c>
      <c r="I49" s="362">
        <f t="shared" si="24"/>
        <v>0</v>
      </c>
      <c r="J49" s="362">
        <f t="shared" si="24"/>
        <v>0</v>
      </c>
      <c r="K49" s="362">
        <f t="shared" si="24"/>
        <v>0</v>
      </c>
      <c r="L49" s="362">
        <f t="shared" si="24"/>
        <v>0</v>
      </c>
      <c r="M49" s="362">
        <f t="shared" si="24"/>
        <v>0</v>
      </c>
      <c r="N49" s="362">
        <f t="shared" si="24"/>
        <v>0</v>
      </c>
      <c r="O49" s="362">
        <f t="shared" si="24"/>
        <v>0</v>
      </c>
      <c r="P49" s="362">
        <f t="shared" si="24"/>
        <v>0</v>
      </c>
      <c r="Q49" s="363">
        <f t="shared" si="6"/>
        <v>0</v>
      </c>
    </row>
    <row r="50" spans="2:17" s="330" customFormat="1" ht="12" thickBot="1" x14ac:dyDescent="0.3">
      <c r="B50" s="344"/>
      <c r="C50" s="345"/>
      <c r="D50" s="364"/>
      <c r="E50" s="365"/>
      <c r="F50" s="366"/>
      <c r="G50" s="366"/>
      <c r="H50" s="366"/>
      <c r="I50" s="366"/>
      <c r="J50" s="366"/>
      <c r="K50" s="366"/>
      <c r="L50" s="366"/>
      <c r="M50" s="366"/>
      <c r="N50" s="366"/>
      <c r="O50" s="366"/>
      <c r="P50" s="366"/>
      <c r="Q50" s="367"/>
    </row>
    <row r="51" spans="2:17" s="330" customFormat="1" ht="12" thickBot="1" x14ac:dyDescent="0.3">
      <c r="B51" s="350"/>
      <c r="C51" s="351" t="s">
        <v>290</v>
      </c>
      <c r="D51" s="368"/>
      <c r="E51" s="369">
        <f t="shared" ref="E51:Q51" si="25">SUM(E30:E50)</f>
        <v>0</v>
      </c>
      <c r="F51" s="370">
        <f t="shared" si="25"/>
        <v>0</v>
      </c>
      <c r="G51" s="370">
        <f t="shared" si="25"/>
        <v>0</v>
      </c>
      <c r="H51" s="370">
        <f t="shared" si="25"/>
        <v>0</v>
      </c>
      <c r="I51" s="370">
        <f t="shared" si="25"/>
        <v>0</v>
      </c>
      <c r="J51" s="370">
        <f t="shared" si="25"/>
        <v>0</v>
      </c>
      <c r="K51" s="370">
        <f t="shared" si="25"/>
        <v>0</v>
      </c>
      <c r="L51" s="370">
        <f t="shared" si="25"/>
        <v>0</v>
      </c>
      <c r="M51" s="370">
        <f t="shared" si="25"/>
        <v>0</v>
      </c>
      <c r="N51" s="370">
        <f t="shared" si="25"/>
        <v>0</v>
      </c>
      <c r="O51" s="370">
        <f t="shared" si="25"/>
        <v>0</v>
      </c>
      <c r="P51" s="370">
        <f t="shared" si="25"/>
        <v>0</v>
      </c>
      <c r="Q51" s="371">
        <f t="shared" si="25"/>
        <v>0</v>
      </c>
    </row>
    <row r="56" spans="2:17" s="391" customFormat="1" ht="12" thickBot="1" x14ac:dyDescent="0.3"/>
    <row r="57" spans="2:17" s="391" customFormat="1" ht="11.5" x14ac:dyDescent="0.25">
      <c r="B57" s="801" t="s">
        <v>292</v>
      </c>
      <c r="C57" s="802"/>
      <c r="D57" s="803"/>
    </row>
    <row r="58" spans="2:17" s="391" customFormat="1" ht="12" thickBot="1" x14ac:dyDescent="0.3">
      <c r="B58" s="392" t="s">
        <v>293</v>
      </c>
      <c r="C58" s="393" t="s">
        <v>255</v>
      </c>
      <c r="D58" s="394" t="s">
        <v>461</v>
      </c>
      <c r="E58" s="395"/>
    </row>
    <row r="59" spans="2:17" s="391" customFormat="1" ht="11.5" x14ac:dyDescent="0.25">
      <c r="B59" s="396">
        <v>1</v>
      </c>
      <c r="C59" s="397" t="s">
        <v>545</v>
      </c>
      <c r="D59" s="476">
        <v>27500</v>
      </c>
    </row>
    <row r="60" spans="2:17" s="391" customFormat="1" ht="11.5" x14ac:dyDescent="0.25">
      <c r="B60" s="399">
        <v>2</v>
      </c>
      <c r="C60" s="400" t="s">
        <v>546</v>
      </c>
      <c r="D60" s="477">
        <v>24500</v>
      </c>
    </row>
    <row r="61" spans="2:17" s="391" customFormat="1" ht="11.5" x14ac:dyDescent="0.25">
      <c r="B61" s="399">
        <v>3</v>
      </c>
      <c r="C61" s="400" t="s">
        <v>547</v>
      </c>
      <c r="D61" s="477">
        <v>4250</v>
      </c>
    </row>
    <row r="62" spans="2:17" s="391" customFormat="1" ht="11.5" x14ac:dyDescent="0.25">
      <c r="B62" s="399">
        <v>4</v>
      </c>
      <c r="C62" s="400" t="s">
        <v>548</v>
      </c>
      <c r="D62" s="477">
        <v>8500</v>
      </c>
    </row>
    <row r="63" spans="2:17" s="391" customFormat="1" ht="11.5" x14ac:dyDescent="0.25">
      <c r="B63" s="399">
        <v>5</v>
      </c>
      <c r="C63" s="400" t="s">
        <v>549</v>
      </c>
      <c r="D63" s="477">
        <v>7800</v>
      </c>
    </row>
    <row r="64" spans="2:17" s="391" customFormat="1" ht="11.5" x14ac:dyDescent="0.25">
      <c r="B64" s="399">
        <v>6</v>
      </c>
      <c r="C64" s="400" t="s">
        <v>550</v>
      </c>
      <c r="D64" s="477">
        <v>7675</v>
      </c>
    </row>
    <row r="65" spans="2:4" s="391" customFormat="1" ht="11.5" x14ac:dyDescent="0.25">
      <c r="B65" s="399">
        <v>7</v>
      </c>
      <c r="C65" s="400" t="s">
        <v>551</v>
      </c>
      <c r="D65" s="477">
        <v>24500</v>
      </c>
    </row>
    <row r="66" spans="2:4" s="391" customFormat="1" ht="11.5" x14ac:dyDescent="0.25">
      <c r="B66" s="399">
        <v>8</v>
      </c>
      <c r="C66" s="400" t="s">
        <v>552</v>
      </c>
      <c r="D66" s="477">
        <v>33000</v>
      </c>
    </row>
    <row r="67" spans="2:4" s="391" customFormat="1" ht="11.5" x14ac:dyDescent="0.25">
      <c r="B67" s="399">
        <v>9</v>
      </c>
      <c r="C67" s="400" t="s">
        <v>553</v>
      </c>
      <c r="D67" s="477">
        <v>2000</v>
      </c>
    </row>
    <row r="68" spans="2:4" s="391" customFormat="1" ht="11.5" x14ac:dyDescent="0.25">
      <c r="B68" s="399">
        <v>10</v>
      </c>
      <c r="C68" s="400" t="s">
        <v>554</v>
      </c>
      <c r="D68" s="477">
        <v>8500</v>
      </c>
    </row>
    <row r="69" spans="2:4" s="391" customFormat="1" ht="11.5" x14ac:dyDescent="0.25">
      <c r="B69" s="399">
        <v>11</v>
      </c>
      <c r="C69" s="400" t="s">
        <v>555</v>
      </c>
      <c r="D69" s="477">
        <v>14500</v>
      </c>
    </row>
    <row r="70" spans="2:4" s="391" customFormat="1" ht="11.5" x14ac:dyDescent="0.25">
      <c r="B70" s="399">
        <v>12</v>
      </c>
      <c r="C70" s="400" t="s">
        <v>556</v>
      </c>
      <c r="D70" s="477">
        <v>27803</v>
      </c>
    </row>
    <row r="71" spans="2:4" s="391" customFormat="1" ht="11.5" x14ac:dyDescent="0.25">
      <c r="B71" s="399">
        <v>13</v>
      </c>
      <c r="C71" s="400" t="s">
        <v>557</v>
      </c>
      <c r="D71" s="477">
        <v>17500</v>
      </c>
    </row>
    <row r="72" spans="2:4" s="391" customFormat="1" ht="11.5" x14ac:dyDescent="0.25">
      <c r="B72" s="399">
        <v>14</v>
      </c>
      <c r="C72" s="400" t="s">
        <v>558</v>
      </c>
      <c r="D72" s="477">
        <v>7500</v>
      </c>
    </row>
    <row r="73" spans="2:4" s="391" customFormat="1" ht="11.5" x14ac:dyDescent="0.25">
      <c r="B73" s="399">
        <v>15</v>
      </c>
      <c r="C73" s="400" t="s">
        <v>559</v>
      </c>
      <c r="D73" s="477">
        <v>34000</v>
      </c>
    </row>
    <row r="74" spans="2:4" s="391" customFormat="1" ht="11.5" x14ac:dyDescent="0.25">
      <c r="B74" s="399">
        <v>16</v>
      </c>
      <c r="C74" s="400" t="s">
        <v>560</v>
      </c>
      <c r="D74" s="477">
        <v>8500</v>
      </c>
    </row>
    <row r="75" spans="2:4" s="391" customFormat="1" ht="11.5" x14ac:dyDescent="0.25">
      <c r="B75" s="399">
        <v>17</v>
      </c>
      <c r="C75" s="400" t="s">
        <v>561</v>
      </c>
      <c r="D75" s="477">
        <v>2800</v>
      </c>
    </row>
    <row r="76" spans="2:4" s="391" customFormat="1" ht="11.5" x14ac:dyDescent="0.25">
      <c r="B76" s="399">
        <v>18</v>
      </c>
      <c r="C76" s="400" t="s">
        <v>562</v>
      </c>
      <c r="D76" s="477">
        <v>8500</v>
      </c>
    </row>
    <row r="77" spans="2:4" s="391" customFormat="1" ht="11.5" x14ac:dyDescent="0.25">
      <c r="B77" s="399">
        <v>19</v>
      </c>
      <c r="C77" s="400" t="s">
        <v>563</v>
      </c>
      <c r="D77" s="477">
        <v>14500</v>
      </c>
    </row>
    <row r="78" spans="2:4" s="391" customFormat="1" ht="11.5" x14ac:dyDescent="0.25">
      <c r="B78" s="399">
        <v>20</v>
      </c>
      <c r="C78" s="400" t="s">
        <v>564</v>
      </c>
      <c r="D78" s="477">
        <v>8500</v>
      </c>
    </row>
    <row r="79" spans="2:4" s="391" customFormat="1" ht="11.5" x14ac:dyDescent="0.25">
      <c r="B79" s="399">
        <v>21</v>
      </c>
      <c r="C79" s="400" t="s">
        <v>565</v>
      </c>
      <c r="D79" s="477">
        <v>900</v>
      </c>
    </row>
    <row r="80" spans="2:4" s="391" customFormat="1" ht="11.5" x14ac:dyDescent="0.25">
      <c r="B80" s="399">
        <v>22</v>
      </c>
      <c r="C80" s="400" t="s">
        <v>566</v>
      </c>
      <c r="D80" s="477">
        <v>6074.77</v>
      </c>
    </row>
    <row r="81" spans="2:4" s="391" customFormat="1" ht="11.5" x14ac:dyDescent="0.25">
      <c r="B81" s="399">
        <v>23</v>
      </c>
      <c r="C81" s="400" t="s">
        <v>567</v>
      </c>
      <c r="D81" s="477">
        <v>5000</v>
      </c>
    </row>
    <row r="82" spans="2:4" s="391" customFormat="1" ht="11.5" x14ac:dyDescent="0.25">
      <c r="B82" s="399">
        <v>24</v>
      </c>
      <c r="C82" s="400" t="s">
        <v>568</v>
      </c>
      <c r="D82" s="477">
        <v>5000</v>
      </c>
    </row>
    <row r="83" spans="2:4" s="391" customFormat="1" ht="11.5" x14ac:dyDescent="0.25">
      <c r="B83" s="399">
        <v>25</v>
      </c>
      <c r="C83" s="400" t="s">
        <v>569</v>
      </c>
      <c r="D83" s="477">
        <v>5163.55</v>
      </c>
    </row>
    <row r="84" spans="2:4" s="391" customFormat="1" ht="11.5" x14ac:dyDescent="0.25">
      <c r="B84" s="399">
        <v>26</v>
      </c>
      <c r="C84" s="400" t="s">
        <v>570</v>
      </c>
      <c r="D84" s="477">
        <v>47900</v>
      </c>
    </row>
    <row r="85" spans="2:4" s="391" customFormat="1" ht="11.5" x14ac:dyDescent="0.25">
      <c r="B85" s="399">
        <v>27</v>
      </c>
      <c r="C85" s="400" t="s">
        <v>681</v>
      </c>
      <c r="D85" s="401">
        <v>25000</v>
      </c>
    </row>
    <row r="86" spans="2:4" s="391" customFormat="1" ht="11.5" x14ac:dyDescent="0.25">
      <c r="B86" s="399">
        <v>28</v>
      </c>
      <c r="C86" s="400" t="s">
        <v>571</v>
      </c>
      <c r="D86" s="401">
        <v>35000</v>
      </c>
    </row>
    <row r="87" spans="2:4" s="391" customFormat="1" ht="11.5" x14ac:dyDescent="0.25">
      <c r="B87" s="399">
        <v>29</v>
      </c>
      <c r="C87" s="400" t="s">
        <v>572</v>
      </c>
      <c r="D87" s="401">
        <v>13000</v>
      </c>
    </row>
    <row r="88" spans="2:4" s="391" customFormat="1" ht="11.5" x14ac:dyDescent="0.25">
      <c r="B88" s="399">
        <v>30</v>
      </c>
      <c r="C88" s="400" t="s">
        <v>573</v>
      </c>
      <c r="D88" s="477">
        <v>49000</v>
      </c>
    </row>
    <row r="89" spans="2:4" s="391" customFormat="1" ht="11.5" x14ac:dyDescent="0.25">
      <c r="B89" s="399">
        <v>31</v>
      </c>
      <c r="C89" s="400" t="s">
        <v>591</v>
      </c>
      <c r="D89" s="477">
        <v>42800</v>
      </c>
    </row>
    <row r="90" spans="2:4" s="391" customFormat="1" ht="11.5" x14ac:dyDescent="0.25">
      <c r="B90" s="399">
        <v>32</v>
      </c>
      <c r="C90" s="400" t="s">
        <v>592</v>
      </c>
      <c r="D90" s="477">
        <v>33000</v>
      </c>
    </row>
    <row r="91" spans="2:4" s="391" customFormat="1" ht="11.5" x14ac:dyDescent="0.25">
      <c r="B91" s="399">
        <v>33</v>
      </c>
      <c r="C91" s="400" t="s">
        <v>593</v>
      </c>
      <c r="D91" s="477">
        <v>42000.003799999999</v>
      </c>
    </row>
    <row r="92" spans="2:4" s="391" customFormat="1" ht="11.5" x14ac:dyDescent="0.25">
      <c r="B92" s="399">
        <v>34</v>
      </c>
      <c r="C92" s="400" t="s">
        <v>594</v>
      </c>
      <c r="D92" s="477">
        <v>9000</v>
      </c>
    </row>
    <row r="93" spans="2:4" s="391" customFormat="1" ht="11.5" x14ac:dyDescent="0.25">
      <c r="B93" s="399">
        <v>35</v>
      </c>
      <c r="C93" s="400" t="s">
        <v>595</v>
      </c>
      <c r="D93" s="477">
        <v>8900</v>
      </c>
    </row>
    <row r="94" spans="2:4" s="391" customFormat="1" ht="11.5" x14ac:dyDescent="0.25">
      <c r="B94" s="399">
        <v>36</v>
      </c>
      <c r="C94" s="400" t="s">
        <v>596</v>
      </c>
      <c r="D94" s="477">
        <v>6000</v>
      </c>
    </row>
    <row r="95" spans="2:4" s="391" customFormat="1" ht="11.5" x14ac:dyDescent="0.25">
      <c r="B95" s="399">
        <v>37</v>
      </c>
      <c r="C95" s="400" t="s">
        <v>597</v>
      </c>
      <c r="D95" s="477">
        <v>12000</v>
      </c>
    </row>
    <row r="96" spans="2:4" s="391" customFormat="1" ht="11.5" x14ac:dyDescent="0.25">
      <c r="B96" s="399">
        <v>38</v>
      </c>
      <c r="C96" s="400" t="s">
        <v>598</v>
      </c>
      <c r="D96" s="477">
        <v>24000</v>
      </c>
    </row>
    <row r="97" spans="2:4" s="391" customFormat="1" ht="11.5" x14ac:dyDescent="0.25">
      <c r="B97" s="399">
        <v>39</v>
      </c>
      <c r="C97" s="400" t="s">
        <v>599</v>
      </c>
      <c r="D97" s="477">
        <v>43000</v>
      </c>
    </row>
    <row r="98" spans="2:4" s="391" customFormat="1" ht="11.5" x14ac:dyDescent="0.25">
      <c r="B98" s="399">
        <v>40</v>
      </c>
      <c r="C98" s="400" t="s">
        <v>598</v>
      </c>
      <c r="D98" s="477">
        <v>24000</v>
      </c>
    </row>
    <row r="99" spans="2:4" s="391" customFormat="1" ht="11.5" x14ac:dyDescent="0.25">
      <c r="B99" s="399">
        <v>41</v>
      </c>
      <c r="C99" s="400"/>
      <c r="D99" s="401"/>
    </row>
    <row r="100" spans="2:4" s="391" customFormat="1" ht="11.5" x14ac:dyDescent="0.25">
      <c r="B100" s="402"/>
      <c r="C100" s="402"/>
      <c r="D100" s="403"/>
    </row>
  </sheetData>
  <mergeCells count="9">
    <mergeCell ref="B57:D57"/>
    <mergeCell ref="B3:B4"/>
    <mergeCell ref="C3:C4"/>
    <mergeCell ref="D3:D4"/>
    <mergeCell ref="E3:Q3"/>
    <mergeCell ref="B28:B29"/>
    <mergeCell ref="C28:C29"/>
    <mergeCell ref="D28:D29"/>
    <mergeCell ref="E28:Q28"/>
  </mergeCells>
  <dataValidations count="1">
    <dataValidation type="list" allowBlank="1" showInputMessage="1" showErrorMessage="1" sqref="C5:C24" xr:uid="{00000000-0002-0000-0900-000000000000}">
      <formula1>$C$59:$C$99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DC5D3-BD01-45EB-8643-7B00ACDF7B71}">
  <sheetPr>
    <tabColor rgb="FFFFFF00"/>
  </sheetPr>
  <dimension ref="B1:Q25"/>
  <sheetViews>
    <sheetView topLeftCell="A4" zoomScale="80" zoomScaleNormal="80" workbookViewId="0">
      <selection activeCell="C22" sqref="C22"/>
    </sheetView>
  </sheetViews>
  <sheetFormatPr defaultColWidth="8.6640625" defaultRowHeight="11.5" x14ac:dyDescent="0.25"/>
  <cols>
    <col min="1" max="1" width="8.6640625" style="540"/>
    <col min="2" max="2" width="9.77734375" style="540" bestFit="1" customWidth="1"/>
    <col min="3" max="3" width="26" style="540" customWidth="1"/>
    <col min="4" max="4" width="7.6640625" style="540" customWidth="1"/>
    <col min="5" max="5" width="7.88671875" style="540" customWidth="1"/>
    <col min="6" max="6" width="10.6640625" style="540" customWidth="1"/>
    <col min="7" max="9" width="10.109375" style="540" bestFit="1" customWidth="1"/>
    <col min="10" max="10" width="10.21875" style="540" customWidth="1"/>
    <col min="11" max="11" width="11.109375" style="540" customWidth="1"/>
    <col min="12" max="12" width="10.21875" style="540" customWidth="1"/>
    <col min="13" max="13" width="9.88671875" style="540" customWidth="1"/>
    <col min="14" max="14" width="11.109375" style="540" bestFit="1" customWidth="1"/>
    <col min="15" max="15" width="10.109375" style="540" bestFit="1" customWidth="1"/>
    <col min="16" max="16" width="10.6640625" style="540" bestFit="1" customWidth="1"/>
    <col min="17" max="17" width="12.21875" style="540" customWidth="1"/>
    <col min="18" max="16384" width="8.6640625" style="540"/>
  </cols>
  <sheetData>
    <row r="1" spans="2:17" ht="12" thickBot="1" x14ac:dyDescent="0.3"/>
    <row r="2" spans="2:17" x14ac:dyDescent="0.25">
      <c r="B2" s="818" t="s">
        <v>276</v>
      </c>
      <c r="C2" s="816" t="s">
        <v>96</v>
      </c>
      <c r="D2" s="818" t="s">
        <v>716</v>
      </c>
      <c r="E2" s="820"/>
      <c r="F2" s="813" t="s">
        <v>641</v>
      </c>
      <c r="G2" s="813"/>
      <c r="H2" s="813"/>
      <c r="I2" s="813"/>
      <c r="J2" s="813"/>
      <c r="K2" s="813"/>
      <c r="L2" s="814" t="s">
        <v>642</v>
      </c>
      <c r="M2" s="813"/>
      <c r="N2" s="813"/>
      <c r="O2" s="813"/>
      <c r="P2" s="813"/>
      <c r="Q2" s="815"/>
    </row>
    <row r="3" spans="2:17" ht="12" thickBot="1" x14ac:dyDescent="0.3">
      <c r="B3" s="819"/>
      <c r="C3" s="817"/>
      <c r="D3" s="568" t="s">
        <v>714</v>
      </c>
      <c r="E3" s="572" t="s">
        <v>715</v>
      </c>
      <c r="F3" s="559" t="s">
        <v>1</v>
      </c>
      <c r="G3" s="538" t="s">
        <v>2</v>
      </c>
      <c r="H3" s="538" t="s">
        <v>3</v>
      </c>
      <c r="I3" s="538" t="s">
        <v>31</v>
      </c>
      <c r="J3" s="538" t="s">
        <v>33</v>
      </c>
      <c r="K3" s="549" t="s">
        <v>34</v>
      </c>
      <c r="L3" s="537" t="s">
        <v>35</v>
      </c>
      <c r="M3" s="538" t="s">
        <v>36</v>
      </c>
      <c r="N3" s="538" t="s">
        <v>37</v>
      </c>
      <c r="O3" s="538" t="s">
        <v>38</v>
      </c>
      <c r="P3" s="538" t="s">
        <v>39</v>
      </c>
      <c r="Q3" s="539" t="s">
        <v>40</v>
      </c>
    </row>
    <row r="4" spans="2:17" x14ac:dyDescent="0.25">
      <c r="B4" s="567">
        <v>1</v>
      </c>
      <c r="C4" s="570" t="s">
        <v>731</v>
      </c>
      <c r="D4" s="573"/>
      <c r="E4" s="709" t="s">
        <v>730</v>
      </c>
      <c r="F4" s="560"/>
      <c r="G4" s="543"/>
      <c r="H4" s="543"/>
      <c r="I4" s="543"/>
      <c r="J4" s="543"/>
      <c r="K4" s="550"/>
      <c r="L4" s="542"/>
      <c r="M4" s="543"/>
      <c r="N4" s="543"/>
      <c r="O4" s="543"/>
      <c r="P4" s="543"/>
      <c r="Q4" s="544"/>
    </row>
    <row r="5" spans="2:17" x14ac:dyDescent="0.25">
      <c r="B5" s="563">
        <v>2</v>
      </c>
      <c r="C5" s="571"/>
      <c r="D5" s="574"/>
      <c r="E5" s="710"/>
      <c r="F5" s="560"/>
      <c r="G5" s="543"/>
      <c r="H5" s="543"/>
      <c r="I5" s="543"/>
      <c r="J5" s="543"/>
      <c r="K5" s="550"/>
      <c r="L5" s="542"/>
      <c r="M5" s="543"/>
      <c r="N5" s="543"/>
      <c r="O5" s="543"/>
      <c r="P5" s="543"/>
      <c r="Q5" s="544"/>
    </row>
    <row r="6" spans="2:17" x14ac:dyDescent="0.25">
      <c r="B6" s="563">
        <v>3</v>
      </c>
      <c r="C6" s="571"/>
      <c r="D6" s="574"/>
      <c r="E6" s="710"/>
      <c r="F6" s="560"/>
      <c r="G6" s="543"/>
      <c r="H6" s="543"/>
      <c r="I6" s="543"/>
      <c r="J6" s="543"/>
      <c r="K6" s="550"/>
      <c r="L6" s="542"/>
      <c r="M6" s="543"/>
      <c r="N6" s="543"/>
      <c r="O6" s="543"/>
      <c r="P6" s="543"/>
      <c r="Q6" s="544"/>
    </row>
    <row r="7" spans="2:17" x14ac:dyDescent="0.25">
      <c r="B7" s="563">
        <v>4</v>
      </c>
      <c r="C7" s="571"/>
      <c r="D7" s="574"/>
      <c r="E7" s="710"/>
      <c r="F7" s="560"/>
      <c r="G7" s="543"/>
      <c r="H7" s="543"/>
      <c r="I7" s="543"/>
      <c r="J7" s="543"/>
      <c r="K7" s="550"/>
      <c r="L7" s="542"/>
      <c r="M7" s="543"/>
      <c r="N7" s="543"/>
      <c r="O7" s="543"/>
      <c r="P7" s="543"/>
      <c r="Q7" s="544"/>
    </row>
    <row r="8" spans="2:17" x14ac:dyDescent="0.25">
      <c r="B8" s="563">
        <v>5</v>
      </c>
      <c r="C8" s="571"/>
      <c r="D8" s="574"/>
      <c r="E8" s="710"/>
      <c r="F8" s="560"/>
      <c r="G8" s="543"/>
      <c r="H8" s="543"/>
      <c r="I8" s="543"/>
      <c r="J8" s="543"/>
      <c r="K8" s="550"/>
      <c r="L8" s="542"/>
      <c r="M8" s="543"/>
      <c r="N8" s="543"/>
      <c r="O8" s="543"/>
      <c r="P8" s="543"/>
      <c r="Q8" s="544"/>
    </row>
    <row r="9" spans="2:17" x14ac:dyDescent="0.25">
      <c r="B9" s="563">
        <v>6</v>
      </c>
      <c r="C9" s="571"/>
      <c r="D9" s="574"/>
      <c r="E9" s="575"/>
      <c r="F9" s="560"/>
      <c r="G9" s="543"/>
      <c r="H9" s="543"/>
      <c r="I9" s="543"/>
      <c r="J9" s="543"/>
      <c r="K9" s="550"/>
      <c r="L9" s="542"/>
      <c r="M9" s="543"/>
      <c r="N9" s="543"/>
      <c r="O9" s="543"/>
      <c r="P9" s="543"/>
      <c r="Q9" s="544"/>
    </row>
    <row r="10" spans="2:17" x14ac:dyDescent="0.25">
      <c r="B10" s="563">
        <v>7</v>
      </c>
      <c r="C10" s="571"/>
      <c r="D10" s="574"/>
      <c r="E10" s="575"/>
      <c r="F10" s="561"/>
      <c r="G10" s="556"/>
      <c r="H10" s="556"/>
      <c r="I10" s="556"/>
      <c r="J10" s="556"/>
      <c r="K10" s="557"/>
      <c r="L10" s="555"/>
      <c r="M10" s="556"/>
      <c r="N10" s="556"/>
      <c r="O10" s="556"/>
      <c r="P10" s="556"/>
      <c r="Q10" s="558"/>
    </row>
    <row r="11" spans="2:17" x14ac:dyDescent="0.25">
      <c r="B11" s="563">
        <v>8</v>
      </c>
      <c r="C11" s="571"/>
      <c r="D11" s="574"/>
      <c r="E11" s="575"/>
      <c r="F11" s="561"/>
      <c r="G11" s="556"/>
      <c r="H11" s="556"/>
      <c r="I11" s="556"/>
      <c r="J11" s="556"/>
      <c r="K11" s="557"/>
      <c r="L11" s="555"/>
      <c r="M11" s="556"/>
      <c r="N11" s="556"/>
      <c r="O11" s="556"/>
      <c r="P11" s="556"/>
      <c r="Q11" s="558"/>
    </row>
    <row r="12" spans="2:17" x14ac:dyDescent="0.25">
      <c r="B12" s="563">
        <v>9</v>
      </c>
      <c r="C12" s="571"/>
      <c r="D12" s="574"/>
      <c r="E12" s="575"/>
      <c r="F12" s="561"/>
      <c r="G12" s="556"/>
      <c r="H12" s="556"/>
      <c r="I12" s="556"/>
      <c r="J12" s="556"/>
      <c r="K12" s="557"/>
      <c r="L12" s="555"/>
      <c r="M12" s="556"/>
      <c r="N12" s="556"/>
      <c r="O12" s="556"/>
      <c r="P12" s="556"/>
      <c r="Q12" s="558"/>
    </row>
    <row r="13" spans="2:17" x14ac:dyDescent="0.25">
      <c r="B13" s="563">
        <v>10</v>
      </c>
      <c r="C13" s="571"/>
      <c r="D13" s="574"/>
      <c r="E13" s="575"/>
      <c r="F13" s="561"/>
      <c r="G13" s="556"/>
      <c r="H13" s="556"/>
      <c r="I13" s="556"/>
      <c r="J13" s="556"/>
      <c r="K13" s="557"/>
      <c r="L13" s="555"/>
      <c r="M13" s="556"/>
      <c r="N13" s="556"/>
      <c r="O13" s="556"/>
      <c r="P13" s="556"/>
      <c r="Q13" s="558"/>
    </row>
    <row r="14" spans="2:17" x14ac:dyDescent="0.25">
      <c r="B14" s="563">
        <v>11</v>
      </c>
      <c r="C14" s="571"/>
      <c r="D14" s="574"/>
      <c r="E14" s="575"/>
      <c r="F14" s="561"/>
      <c r="G14" s="556"/>
      <c r="H14" s="556"/>
      <c r="I14" s="556"/>
      <c r="J14" s="556"/>
      <c r="K14" s="557"/>
      <c r="L14" s="555"/>
      <c r="M14" s="556"/>
      <c r="N14" s="556"/>
      <c r="O14" s="556"/>
      <c r="P14" s="556"/>
      <c r="Q14" s="558"/>
    </row>
    <row r="15" spans="2:17" x14ac:dyDescent="0.25">
      <c r="B15" s="563">
        <v>12</v>
      </c>
      <c r="C15" s="571"/>
      <c r="D15" s="574"/>
      <c r="E15" s="575"/>
      <c r="F15" s="561"/>
      <c r="G15" s="556"/>
      <c r="H15" s="556"/>
      <c r="I15" s="556"/>
      <c r="J15" s="556"/>
      <c r="K15" s="557"/>
      <c r="L15" s="555"/>
      <c r="M15" s="556"/>
      <c r="N15" s="556"/>
      <c r="O15" s="556"/>
      <c r="P15" s="556"/>
      <c r="Q15" s="558"/>
    </row>
    <row r="16" spans="2:17" x14ac:dyDescent="0.25">
      <c r="B16" s="563">
        <v>13</v>
      </c>
      <c r="C16" s="571"/>
      <c r="D16" s="574"/>
      <c r="E16" s="575"/>
      <c r="F16" s="561"/>
      <c r="G16" s="556"/>
      <c r="H16" s="556"/>
      <c r="I16" s="556"/>
      <c r="J16" s="556"/>
      <c r="K16" s="557"/>
      <c r="L16" s="555"/>
      <c r="M16" s="556"/>
      <c r="N16" s="556"/>
      <c r="O16" s="556"/>
      <c r="P16" s="556"/>
      <c r="Q16" s="558"/>
    </row>
    <row r="17" spans="2:17" x14ac:dyDescent="0.25">
      <c r="B17" s="563">
        <v>14</v>
      </c>
      <c r="C17" s="571"/>
      <c r="D17" s="574"/>
      <c r="E17" s="575"/>
      <c r="F17" s="561"/>
      <c r="G17" s="556"/>
      <c r="H17" s="556"/>
      <c r="I17" s="556"/>
      <c r="J17" s="556"/>
      <c r="K17" s="557"/>
      <c r="L17" s="555"/>
      <c r="M17" s="556"/>
      <c r="N17" s="556"/>
      <c r="O17" s="556"/>
      <c r="P17" s="556"/>
      <c r="Q17" s="558"/>
    </row>
    <row r="18" spans="2:17" x14ac:dyDescent="0.25">
      <c r="B18" s="563">
        <v>15</v>
      </c>
      <c r="C18" s="571"/>
      <c r="D18" s="574"/>
      <c r="E18" s="575"/>
      <c r="F18" s="561"/>
      <c r="G18" s="556"/>
      <c r="H18" s="556"/>
      <c r="I18" s="556"/>
      <c r="J18" s="556"/>
      <c r="K18" s="557"/>
      <c r="L18" s="555"/>
      <c r="M18" s="556"/>
      <c r="N18" s="556"/>
      <c r="O18" s="556"/>
      <c r="P18" s="556"/>
      <c r="Q18" s="558"/>
    </row>
    <row r="19" spans="2:17" ht="12" thickBot="1" x14ac:dyDescent="0.3">
      <c r="B19" s="564"/>
      <c r="C19" s="571"/>
      <c r="D19" s="576"/>
      <c r="E19" s="577"/>
      <c r="F19" s="562"/>
      <c r="G19" s="546"/>
      <c r="H19" s="546"/>
      <c r="I19" s="546"/>
      <c r="J19" s="546"/>
      <c r="K19" s="551"/>
      <c r="L19" s="545"/>
      <c r="M19" s="546"/>
      <c r="N19" s="546"/>
      <c r="O19" s="546"/>
      <c r="P19" s="546"/>
      <c r="Q19" s="547"/>
    </row>
    <row r="20" spans="2:17" ht="12" thickBot="1" x14ac:dyDescent="0.3">
      <c r="B20" s="565">
        <v>60100007</v>
      </c>
      <c r="C20" s="566" t="s">
        <v>651</v>
      </c>
      <c r="D20" s="569"/>
      <c r="E20" s="569"/>
      <c r="F20" s="548">
        <f>SUM(F4:F19)</f>
        <v>0</v>
      </c>
      <c r="G20" s="548">
        <f t="shared" ref="G20:Q20" si="0">SUM(G4:G19)</f>
        <v>0</v>
      </c>
      <c r="H20" s="548">
        <f t="shared" si="0"/>
        <v>0</v>
      </c>
      <c r="I20" s="548">
        <f t="shared" si="0"/>
        <v>0</v>
      </c>
      <c r="J20" s="548">
        <f t="shared" si="0"/>
        <v>0</v>
      </c>
      <c r="K20" s="548">
        <f t="shared" si="0"/>
        <v>0</v>
      </c>
      <c r="L20" s="552">
        <f t="shared" si="0"/>
        <v>0</v>
      </c>
      <c r="M20" s="553">
        <f t="shared" si="0"/>
        <v>0</v>
      </c>
      <c r="N20" s="553">
        <f t="shared" si="0"/>
        <v>0</v>
      </c>
      <c r="O20" s="553">
        <f t="shared" si="0"/>
        <v>0</v>
      </c>
      <c r="P20" s="553">
        <f t="shared" si="0"/>
        <v>0</v>
      </c>
      <c r="Q20" s="554">
        <f t="shared" si="0"/>
        <v>0</v>
      </c>
    </row>
    <row r="23" spans="2:17" x14ac:dyDescent="0.25">
      <c r="B23" s="541" t="s">
        <v>713</v>
      </c>
      <c r="C23" s="540" t="s">
        <v>648</v>
      </c>
    </row>
    <row r="24" spans="2:17" x14ac:dyDescent="0.25">
      <c r="C24" s="540" t="s">
        <v>649</v>
      </c>
    </row>
    <row r="25" spans="2:17" x14ac:dyDescent="0.25">
      <c r="C25" s="540" t="s">
        <v>650</v>
      </c>
    </row>
  </sheetData>
  <mergeCells count="5">
    <mergeCell ref="F2:K2"/>
    <mergeCell ref="L2:Q2"/>
    <mergeCell ref="C2:C3"/>
    <mergeCell ref="B2:B3"/>
    <mergeCell ref="D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D7054-A46D-433A-8503-3FE9D2612A6E}">
  <dimension ref="A1:BO34"/>
  <sheetViews>
    <sheetView zoomScale="90" zoomScaleNormal="90" workbookViewId="0">
      <pane xSplit="2" ySplit="5" topLeftCell="AS6" activePane="bottomRight" state="frozen"/>
      <selection pane="topRight" activeCell="C1" sqref="C1"/>
      <selection pane="bottomLeft" activeCell="A4" sqref="A4"/>
      <selection pane="bottomRight" activeCell="U7" sqref="U7:V7"/>
    </sheetView>
  </sheetViews>
  <sheetFormatPr defaultColWidth="8.88671875" defaultRowHeight="11.5" x14ac:dyDescent="0.25"/>
  <cols>
    <col min="1" max="1" width="52.109375" style="2" customWidth="1"/>
    <col min="2" max="2" width="26.6640625" style="58" customWidth="1"/>
    <col min="3" max="3" width="29.33203125" style="73" customWidth="1"/>
    <col min="4" max="4" width="16.88671875" style="6" customWidth="1"/>
    <col min="5" max="5" width="15.33203125" style="6" customWidth="1"/>
    <col min="6" max="6" width="26.77734375" style="6" customWidth="1"/>
    <col min="7" max="8" width="15.33203125" style="6" customWidth="1"/>
    <col min="9" max="9" width="22.6640625" style="6" customWidth="1"/>
    <col min="10" max="38" width="15.33203125" style="6" customWidth="1"/>
    <col min="39" max="39" width="15.33203125" style="88" customWidth="1"/>
    <col min="40" max="40" width="3.6640625" style="2" customWidth="1"/>
    <col min="41" max="52" width="13.33203125" style="2" customWidth="1"/>
    <col min="53" max="95" width="15.33203125" style="2" customWidth="1"/>
    <col min="96" max="16384" width="8.88671875" style="2"/>
  </cols>
  <sheetData>
    <row r="1" spans="1:67" ht="15.5" x14ac:dyDescent="0.35">
      <c r="A1" s="275" t="s">
        <v>116</v>
      </c>
    </row>
    <row r="2" spans="1:67" ht="15.5" x14ac:dyDescent="0.35">
      <c r="A2" s="276" t="s">
        <v>0</v>
      </c>
      <c r="D2" s="328"/>
      <c r="G2" s="408">
        <v>0.01</v>
      </c>
    </row>
    <row r="3" spans="1:67" ht="12" thickBot="1" x14ac:dyDescent="0.3">
      <c r="A3" s="17"/>
      <c r="B3" s="12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84"/>
    </row>
    <row r="4" spans="1:67" ht="11.5" customHeight="1" x14ac:dyDescent="0.25">
      <c r="B4" s="744" t="s">
        <v>95</v>
      </c>
      <c r="C4" s="741" t="s">
        <v>1</v>
      </c>
      <c r="D4" s="742"/>
      <c r="E4" s="743"/>
      <c r="F4" s="741" t="s">
        <v>2</v>
      </c>
      <c r="G4" s="742"/>
      <c r="H4" s="743"/>
      <c r="I4" s="741" t="s">
        <v>3</v>
      </c>
      <c r="J4" s="742"/>
      <c r="K4" s="743"/>
      <c r="L4" s="741" t="s">
        <v>31</v>
      </c>
      <c r="M4" s="742"/>
      <c r="N4" s="743"/>
      <c r="O4" s="741" t="s">
        <v>33</v>
      </c>
      <c r="P4" s="742"/>
      <c r="Q4" s="743"/>
      <c r="R4" s="741" t="s">
        <v>34</v>
      </c>
      <c r="S4" s="742"/>
      <c r="T4" s="743"/>
      <c r="U4" s="741" t="s">
        <v>35</v>
      </c>
      <c r="V4" s="742"/>
      <c r="W4" s="743"/>
      <c r="X4" s="741" t="s">
        <v>36</v>
      </c>
      <c r="Y4" s="742"/>
      <c r="Z4" s="743"/>
      <c r="AA4" s="741" t="s">
        <v>37</v>
      </c>
      <c r="AB4" s="742"/>
      <c r="AC4" s="743"/>
      <c r="AD4" s="741" t="s">
        <v>38</v>
      </c>
      <c r="AE4" s="742"/>
      <c r="AF4" s="743"/>
      <c r="AG4" s="741" t="s">
        <v>39</v>
      </c>
      <c r="AH4" s="742"/>
      <c r="AI4" s="743"/>
      <c r="AJ4" s="741" t="s">
        <v>40</v>
      </c>
      <c r="AK4" s="742"/>
      <c r="AL4" s="743"/>
      <c r="AM4" s="738" t="s">
        <v>98</v>
      </c>
      <c r="AN4" s="110"/>
      <c r="AO4" s="740" t="s">
        <v>104</v>
      </c>
      <c r="AP4" s="740"/>
      <c r="AQ4" s="740"/>
      <c r="AR4" s="740"/>
      <c r="AS4" s="740"/>
      <c r="AT4" s="740"/>
      <c r="AU4" s="740"/>
      <c r="AV4" s="740"/>
      <c r="AW4" s="740"/>
      <c r="AX4" s="740"/>
      <c r="AY4" s="740"/>
      <c r="AZ4" s="740"/>
    </row>
    <row r="5" spans="1:67" ht="12" customHeight="1" thickBot="1" x14ac:dyDescent="0.3">
      <c r="B5" s="745"/>
      <c r="C5" s="43" t="s">
        <v>96</v>
      </c>
      <c r="D5" s="42" t="s">
        <v>99</v>
      </c>
      <c r="E5" s="81" t="s">
        <v>97</v>
      </c>
      <c r="F5" s="43" t="s">
        <v>96</v>
      </c>
      <c r="G5" s="42" t="s">
        <v>99</v>
      </c>
      <c r="H5" s="81" t="s">
        <v>97</v>
      </c>
      <c r="I5" s="43" t="s">
        <v>96</v>
      </c>
      <c r="J5" s="42" t="s">
        <v>99</v>
      </c>
      <c r="K5" s="81" t="s">
        <v>97</v>
      </c>
      <c r="L5" s="43" t="s">
        <v>96</v>
      </c>
      <c r="M5" s="42" t="s">
        <v>99</v>
      </c>
      <c r="N5" s="81" t="s">
        <v>97</v>
      </c>
      <c r="O5" s="43" t="s">
        <v>96</v>
      </c>
      <c r="P5" s="42" t="s">
        <v>99</v>
      </c>
      <c r="Q5" s="81" t="s">
        <v>97</v>
      </c>
      <c r="R5" s="43" t="s">
        <v>96</v>
      </c>
      <c r="S5" s="42" t="s">
        <v>99</v>
      </c>
      <c r="T5" s="81" t="s">
        <v>97</v>
      </c>
      <c r="U5" s="43" t="s">
        <v>96</v>
      </c>
      <c r="V5" s="42" t="s">
        <v>99</v>
      </c>
      <c r="W5" s="81" t="s">
        <v>97</v>
      </c>
      <c r="X5" s="43" t="s">
        <v>96</v>
      </c>
      <c r="Y5" s="42" t="s">
        <v>99</v>
      </c>
      <c r="Z5" s="81" t="s">
        <v>97</v>
      </c>
      <c r="AA5" s="43" t="s">
        <v>96</v>
      </c>
      <c r="AB5" s="42" t="s">
        <v>99</v>
      </c>
      <c r="AC5" s="81" t="s">
        <v>97</v>
      </c>
      <c r="AD5" s="43" t="s">
        <v>96</v>
      </c>
      <c r="AE5" s="42" t="s">
        <v>99</v>
      </c>
      <c r="AF5" s="81" t="s">
        <v>97</v>
      </c>
      <c r="AG5" s="43" t="s">
        <v>96</v>
      </c>
      <c r="AH5" s="42" t="s">
        <v>99</v>
      </c>
      <c r="AI5" s="81" t="s">
        <v>97</v>
      </c>
      <c r="AJ5" s="43" t="s">
        <v>96</v>
      </c>
      <c r="AK5" s="42" t="s">
        <v>99</v>
      </c>
      <c r="AL5" s="81" t="s">
        <v>97</v>
      </c>
      <c r="AM5" s="739"/>
      <c r="AN5" s="159"/>
      <c r="AO5" s="103" t="s">
        <v>1</v>
      </c>
      <c r="AP5" s="103" t="s">
        <v>2</v>
      </c>
      <c r="AQ5" s="103" t="s">
        <v>3</v>
      </c>
      <c r="AR5" s="103" t="s">
        <v>31</v>
      </c>
      <c r="AS5" s="103" t="s">
        <v>33</v>
      </c>
      <c r="AT5" s="103" t="s">
        <v>34</v>
      </c>
      <c r="AU5" s="103" t="s">
        <v>35</v>
      </c>
      <c r="AV5" s="103" t="s">
        <v>36</v>
      </c>
      <c r="AW5" s="103" t="s">
        <v>37</v>
      </c>
      <c r="AX5" s="103" t="s">
        <v>38</v>
      </c>
      <c r="AY5" s="103" t="s">
        <v>39</v>
      </c>
      <c r="AZ5" s="103" t="s">
        <v>40</v>
      </c>
    </row>
    <row r="6" spans="1:67" x14ac:dyDescent="0.25">
      <c r="A6" s="100" t="s">
        <v>11</v>
      </c>
      <c r="B6" s="59"/>
      <c r="C6" s="74"/>
      <c r="D6" s="66"/>
      <c r="E6" s="67"/>
      <c r="F6" s="74"/>
      <c r="G6" s="66"/>
      <c r="H6" s="67"/>
      <c r="I6" s="74"/>
      <c r="J6" s="66"/>
      <c r="K6" s="67"/>
      <c r="L6" s="74"/>
      <c r="M6" s="66"/>
      <c r="N6" s="67"/>
      <c r="O6" s="74"/>
      <c r="P6" s="66"/>
      <c r="Q6" s="67"/>
      <c r="R6" s="74"/>
      <c r="S6" s="66"/>
      <c r="T6" s="67"/>
      <c r="U6" s="74"/>
      <c r="V6" s="66"/>
      <c r="W6" s="67"/>
      <c r="X6" s="74"/>
      <c r="Y6" s="66"/>
      <c r="Z6" s="67"/>
      <c r="AA6" s="74"/>
      <c r="AB6" s="66"/>
      <c r="AC6" s="67"/>
      <c r="AD6" s="74"/>
      <c r="AE6" s="66"/>
      <c r="AF6" s="67"/>
      <c r="AG6" s="74"/>
      <c r="AH6" s="66"/>
      <c r="AI6" s="67"/>
      <c r="AJ6" s="74"/>
      <c r="AK6" s="66"/>
      <c r="AL6" s="67"/>
      <c r="AM6" s="85"/>
      <c r="AN6" s="159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</row>
    <row r="7" spans="1:67" x14ac:dyDescent="0.25">
      <c r="A7" s="705" t="s">
        <v>54</v>
      </c>
      <c r="B7" s="704" t="s">
        <v>663</v>
      </c>
      <c r="C7" s="464"/>
      <c r="D7" s="465"/>
      <c r="E7" s="63">
        <f t="shared" ref="E7:E9" si="0">D7</f>
        <v>0</v>
      </c>
      <c r="F7" s="464"/>
      <c r="G7" s="465"/>
      <c r="H7" s="63">
        <f t="shared" ref="H7:H9" si="1">G7</f>
        <v>0</v>
      </c>
      <c r="I7" s="464"/>
      <c r="J7" s="465"/>
      <c r="K7" s="63">
        <f t="shared" ref="K7:K21" si="2">J7</f>
        <v>0</v>
      </c>
      <c r="L7" s="464"/>
      <c r="M7" s="465"/>
      <c r="N7" s="63">
        <f t="shared" ref="N7:N21" si="3">M7</f>
        <v>0</v>
      </c>
      <c r="O7" s="464"/>
      <c r="P7" s="465"/>
      <c r="Q7" s="63">
        <f t="shared" ref="Q7:Q21" si="4">P7</f>
        <v>0</v>
      </c>
      <c r="R7" s="464"/>
      <c r="S7" s="465"/>
      <c r="T7" s="63">
        <f t="shared" ref="T7:T21" si="5">S7</f>
        <v>0</v>
      </c>
      <c r="U7" s="714"/>
      <c r="V7" s="465"/>
      <c r="W7" s="63">
        <f t="shared" ref="W7:W21" si="6">V7</f>
        <v>0</v>
      </c>
      <c r="X7" s="464"/>
      <c r="Y7" s="465"/>
      <c r="Z7" s="63">
        <f t="shared" ref="Z7:Z21" si="7">Y7</f>
        <v>0</v>
      </c>
      <c r="AA7" s="464"/>
      <c r="AB7" s="465"/>
      <c r="AC7" s="63">
        <f t="shared" ref="AC7:AC21" si="8">AB7</f>
        <v>0</v>
      </c>
      <c r="AD7" s="464"/>
      <c r="AE7" s="465"/>
      <c r="AF7" s="63">
        <f t="shared" ref="AF7:AF21" si="9">AE7</f>
        <v>0</v>
      </c>
      <c r="AG7" s="464"/>
      <c r="AH7" s="465"/>
      <c r="AI7" s="63">
        <f t="shared" ref="AI7:AI21" si="10">AH7</f>
        <v>0</v>
      </c>
      <c r="AJ7" s="464"/>
      <c r="AK7" s="465"/>
      <c r="AL7" s="63">
        <f t="shared" ref="AL7:AL21" si="11">AK7</f>
        <v>0</v>
      </c>
      <c r="AM7" s="86">
        <f t="shared" ref="AM7:AM21" si="12">SUM(D7,G7,J7,M7,P7,S7,V7,Y7,AB7,AE7,AH7,AK7)</f>
        <v>0</v>
      </c>
      <c r="AN7" s="159"/>
      <c r="AO7" s="104">
        <f t="shared" ref="AO7:AO21" si="13">E7</f>
        <v>0</v>
      </c>
      <c r="AP7" s="104">
        <f t="shared" ref="AP7:AP21" si="14">H7</f>
        <v>0</v>
      </c>
      <c r="AQ7" s="104">
        <f t="shared" ref="AQ7:AQ21" si="15">K7</f>
        <v>0</v>
      </c>
      <c r="AR7" s="104">
        <f t="shared" ref="AR7:AR21" si="16">N7</f>
        <v>0</v>
      </c>
      <c r="AS7" s="104">
        <f t="shared" ref="AS7:AS21" si="17">Q7</f>
        <v>0</v>
      </c>
      <c r="AT7" s="104">
        <f t="shared" ref="AT7:AT21" si="18">T7</f>
        <v>0</v>
      </c>
      <c r="AU7" s="104">
        <f t="shared" ref="AU7:AU21" si="19">W7</f>
        <v>0</v>
      </c>
      <c r="AV7" s="104">
        <f t="shared" ref="AV7:AV21" si="20">Z7</f>
        <v>0</v>
      </c>
      <c r="AW7" s="104">
        <f t="shared" ref="AW7:AW21" si="21">AC7</f>
        <v>0</v>
      </c>
      <c r="AX7" s="104">
        <f t="shared" ref="AX7:AX21" si="22">AF7</f>
        <v>0</v>
      </c>
      <c r="AY7" s="104">
        <f t="shared" ref="AY7:AY21" si="23">AI7</f>
        <v>0</v>
      </c>
      <c r="AZ7" s="104">
        <f t="shared" ref="AZ7:AZ21" si="24">AL7</f>
        <v>0</v>
      </c>
    </row>
    <row r="8" spans="1:67" x14ac:dyDescent="0.25">
      <c r="A8" s="101" t="s">
        <v>55</v>
      </c>
      <c r="B8" s="60" t="s">
        <v>664</v>
      </c>
      <c r="C8" s="464"/>
      <c r="D8" s="465"/>
      <c r="E8" s="63">
        <f t="shared" si="0"/>
        <v>0</v>
      </c>
      <c r="F8" s="464"/>
      <c r="G8" s="465"/>
      <c r="H8" s="63">
        <f t="shared" si="1"/>
        <v>0</v>
      </c>
      <c r="I8" s="464"/>
      <c r="J8" s="465"/>
      <c r="K8" s="63">
        <f t="shared" si="2"/>
        <v>0</v>
      </c>
      <c r="L8" s="464"/>
      <c r="M8" s="465"/>
      <c r="N8" s="63">
        <f t="shared" si="3"/>
        <v>0</v>
      </c>
      <c r="O8" s="464"/>
      <c r="P8" s="465"/>
      <c r="Q8" s="63">
        <f t="shared" si="4"/>
        <v>0</v>
      </c>
      <c r="R8" s="464"/>
      <c r="S8" s="465"/>
      <c r="T8" s="63">
        <f t="shared" si="5"/>
        <v>0</v>
      </c>
      <c r="U8" s="464"/>
      <c r="V8" s="465"/>
      <c r="W8" s="63">
        <f t="shared" si="6"/>
        <v>0</v>
      </c>
      <c r="X8" s="464"/>
      <c r="Y8" s="465"/>
      <c r="Z8" s="63">
        <f t="shared" si="7"/>
        <v>0</v>
      </c>
      <c r="AA8" s="464"/>
      <c r="AB8" s="465"/>
      <c r="AC8" s="63">
        <f t="shared" si="8"/>
        <v>0</v>
      </c>
      <c r="AD8" s="464"/>
      <c r="AE8" s="465"/>
      <c r="AF8" s="63">
        <f t="shared" si="9"/>
        <v>0</v>
      </c>
      <c r="AG8" s="464"/>
      <c r="AH8" s="465"/>
      <c r="AI8" s="63">
        <f t="shared" si="10"/>
        <v>0</v>
      </c>
      <c r="AJ8" s="464"/>
      <c r="AK8" s="465"/>
      <c r="AL8" s="63">
        <f t="shared" si="11"/>
        <v>0</v>
      </c>
      <c r="AM8" s="86">
        <f t="shared" si="12"/>
        <v>0</v>
      </c>
      <c r="AN8" s="159"/>
      <c r="AO8" s="104">
        <f t="shared" si="13"/>
        <v>0</v>
      </c>
      <c r="AP8" s="104">
        <f t="shared" si="14"/>
        <v>0</v>
      </c>
      <c r="AQ8" s="104">
        <f t="shared" si="15"/>
        <v>0</v>
      </c>
      <c r="AR8" s="104">
        <f t="shared" si="16"/>
        <v>0</v>
      </c>
      <c r="AS8" s="104">
        <f t="shared" si="17"/>
        <v>0</v>
      </c>
      <c r="AT8" s="104">
        <f t="shared" si="18"/>
        <v>0</v>
      </c>
      <c r="AU8" s="104">
        <f t="shared" si="19"/>
        <v>0</v>
      </c>
      <c r="AV8" s="104">
        <f t="shared" si="20"/>
        <v>0</v>
      </c>
      <c r="AW8" s="104">
        <f t="shared" si="21"/>
        <v>0</v>
      </c>
      <c r="AX8" s="104">
        <f t="shared" si="22"/>
        <v>0</v>
      </c>
      <c r="AY8" s="104">
        <f t="shared" si="23"/>
        <v>0</v>
      </c>
      <c r="AZ8" s="104">
        <f t="shared" si="24"/>
        <v>0</v>
      </c>
    </row>
    <row r="9" spans="1:67" ht="12" thickBot="1" x14ac:dyDescent="0.3">
      <c r="A9" s="706" t="s">
        <v>56</v>
      </c>
      <c r="B9" s="707" t="s">
        <v>665</v>
      </c>
      <c r="C9" s="466"/>
      <c r="D9" s="467">
        <f>'Budget ปี 2026'!E67</f>
        <v>0</v>
      </c>
      <c r="E9" s="65">
        <f t="shared" si="0"/>
        <v>0</v>
      </c>
      <c r="F9" s="466"/>
      <c r="G9" s="467"/>
      <c r="H9" s="65">
        <f t="shared" si="1"/>
        <v>0</v>
      </c>
      <c r="I9" s="466"/>
      <c r="J9" s="467"/>
      <c r="K9" s="65">
        <f t="shared" si="2"/>
        <v>0</v>
      </c>
      <c r="L9" s="466"/>
      <c r="M9" s="467"/>
      <c r="N9" s="65">
        <f t="shared" si="3"/>
        <v>0</v>
      </c>
      <c r="O9" s="466"/>
      <c r="P9" s="467"/>
      <c r="Q9" s="65">
        <f t="shared" si="4"/>
        <v>0</v>
      </c>
      <c r="R9" s="466"/>
      <c r="S9" s="467"/>
      <c r="T9" s="65">
        <f t="shared" si="5"/>
        <v>0</v>
      </c>
      <c r="U9" s="466"/>
      <c r="V9" s="467"/>
      <c r="W9" s="65">
        <f t="shared" si="6"/>
        <v>0</v>
      </c>
      <c r="X9" s="466"/>
      <c r="Y9" s="467"/>
      <c r="Z9" s="65">
        <f t="shared" si="7"/>
        <v>0</v>
      </c>
      <c r="AA9" s="466"/>
      <c r="AB9" s="467"/>
      <c r="AC9" s="65">
        <f t="shared" si="8"/>
        <v>0</v>
      </c>
      <c r="AD9" s="466"/>
      <c r="AE9" s="467"/>
      <c r="AF9" s="65">
        <f t="shared" si="9"/>
        <v>0</v>
      </c>
      <c r="AG9" s="466"/>
      <c r="AH9" s="467"/>
      <c r="AI9" s="65">
        <f t="shared" si="10"/>
        <v>0</v>
      </c>
      <c r="AJ9" s="466"/>
      <c r="AK9" s="467"/>
      <c r="AL9" s="65">
        <f t="shared" si="11"/>
        <v>0</v>
      </c>
      <c r="AM9" s="87">
        <f t="shared" si="12"/>
        <v>0</v>
      </c>
      <c r="AN9" s="159"/>
      <c r="AO9" s="104">
        <f t="shared" si="13"/>
        <v>0</v>
      </c>
      <c r="AP9" s="104">
        <f t="shared" si="14"/>
        <v>0</v>
      </c>
      <c r="AQ9" s="104">
        <f t="shared" si="15"/>
        <v>0</v>
      </c>
      <c r="AR9" s="104">
        <f t="shared" si="16"/>
        <v>0</v>
      </c>
      <c r="AS9" s="104">
        <f t="shared" si="17"/>
        <v>0</v>
      </c>
      <c r="AT9" s="104">
        <f t="shared" si="18"/>
        <v>0</v>
      </c>
      <c r="AU9" s="104">
        <f t="shared" si="19"/>
        <v>0</v>
      </c>
      <c r="AV9" s="104">
        <f t="shared" si="20"/>
        <v>0</v>
      </c>
      <c r="AW9" s="104">
        <f t="shared" si="21"/>
        <v>0</v>
      </c>
      <c r="AX9" s="104">
        <f t="shared" si="22"/>
        <v>0</v>
      </c>
      <c r="AY9" s="104">
        <f t="shared" si="23"/>
        <v>0</v>
      </c>
      <c r="AZ9" s="104">
        <f t="shared" si="24"/>
        <v>0</v>
      </c>
    </row>
    <row r="10" spans="1:67" x14ac:dyDescent="0.25">
      <c r="A10" s="53" t="s">
        <v>15</v>
      </c>
      <c r="B10" s="60"/>
      <c r="C10" s="446"/>
      <c r="D10" s="445"/>
      <c r="E10" s="449"/>
      <c r="F10" s="446"/>
      <c r="G10" s="445"/>
      <c r="H10" s="449"/>
      <c r="I10" s="446"/>
      <c r="J10" s="445"/>
      <c r="K10" s="447"/>
      <c r="L10" s="454"/>
      <c r="M10" s="445"/>
      <c r="N10" s="449"/>
      <c r="O10" s="446"/>
      <c r="P10" s="445"/>
      <c r="Q10" s="447"/>
      <c r="R10" s="454"/>
      <c r="S10" s="445"/>
      <c r="T10" s="449"/>
      <c r="U10" s="446"/>
      <c r="V10" s="445"/>
      <c r="W10" s="447"/>
      <c r="X10" s="454"/>
      <c r="Y10" s="445"/>
      <c r="Z10" s="449"/>
      <c r="AA10" s="446"/>
      <c r="AB10" s="445"/>
      <c r="AC10" s="447"/>
      <c r="AD10" s="454"/>
      <c r="AE10" s="445"/>
      <c r="AF10" s="449"/>
      <c r="AG10" s="446"/>
      <c r="AH10" s="445"/>
      <c r="AI10" s="447"/>
      <c r="AJ10" s="454"/>
      <c r="AK10" s="445"/>
      <c r="AL10" s="449"/>
      <c r="AM10" s="455"/>
      <c r="AN10" s="452"/>
      <c r="AO10" s="104">
        <f t="shared" si="13"/>
        <v>0</v>
      </c>
      <c r="AP10" s="104">
        <f t="shared" si="14"/>
        <v>0</v>
      </c>
      <c r="AQ10" s="104">
        <f t="shared" si="15"/>
        <v>0</v>
      </c>
      <c r="AR10" s="104">
        <f t="shared" si="16"/>
        <v>0</v>
      </c>
      <c r="AS10" s="104">
        <f t="shared" si="17"/>
        <v>0</v>
      </c>
      <c r="AT10" s="104">
        <f t="shared" si="18"/>
        <v>0</v>
      </c>
      <c r="AU10" s="104">
        <f t="shared" si="19"/>
        <v>0</v>
      </c>
      <c r="AV10" s="104">
        <f t="shared" si="20"/>
        <v>0</v>
      </c>
      <c r="AW10" s="104">
        <f t="shared" si="21"/>
        <v>0</v>
      </c>
      <c r="AX10" s="104">
        <f t="shared" si="22"/>
        <v>0</v>
      </c>
      <c r="AY10" s="104">
        <f t="shared" si="23"/>
        <v>0</v>
      </c>
      <c r="AZ10" s="104">
        <f t="shared" si="24"/>
        <v>0</v>
      </c>
    </row>
    <row r="11" spans="1:67" x14ac:dyDescent="0.25">
      <c r="A11" s="53" t="s">
        <v>60</v>
      </c>
      <c r="B11" s="60" t="s">
        <v>666</v>
      </c>
      <c r="C11" s="464"/>
      <c r="D11" s="465"/>
      <c r="E11" s="450">
        <f t="shared" ref="E11:E13" si="25">D11</f>
        <v>0</v>
      </c>
      <c r="F11" s="464"/>
      <c r="G11" s="465"/>
      <c r="H11" s="450">
        <f t="shared" ref="H11:H13" si="26">G11</f>
        <v>0</v>
      </c>
      <c r="I11" s="464"/>
      <c r="J11" s="465"/>
      <c r="K11" s="63">
        <f t="shared" ref="K11" si="27">J11</f>
        <v>0</v>
      </c>
      <c r="L11" s="468"/>
      <c r="M11" s="465"/>
      <c r="N11" s="450">
        <f t="shared" ref="N11" si="28">M11</f>
        <v>0</v>
      </c>
      <c r="O11" s="464"/>
      <c r="P11" s="465"/>
      <c r="Q11" s="63">
        <f t="shared" ref="Q11" si="29">P11</f>
        <v>0</v>
      </c>
      <c r="R11" s="468"/>
      <c r="S11" s="465"/>
      <c r="T11" s="450">
        <f t="shared" ref="T11" si="30">S11</f>
        <v>0</v>
      </c>
      <c r="U11" s="464"/>
      <c r="V11" s="465"/>
      <c r="W11" s="63">
        <f t="shared" ref="W11" si="31">V11</f>
        <v>0</v>
      </c>
      <c r="X11" s="468"/>
      <c r="Y11" s="465"/>
      <c r="Z11" s="450">
        <f t="shared" ref="Z11" si="32">Y11</f>
        <v>0</v>
      </c>
      <c r="AA11" s="464"/>
      <c r="AB11" s="465"/>
      <c r="AC11" s="63">
        <f t="shared" ref="AC11" si="33">AB11</f>
        <v>0</v>
      </c>
      <c r="AD11" s="468"/>
      <c r="AE11" s="465"/>
      <c r="AF11" s="450">
        <f t="shared" ref="AF11" si="34">AE11</f>
        <v>0</v>
      </c>
      <c r="AG11" s="464"/>
      <c r="AH11" s="465"/>
      <c r="AI11" s="63">
        <f t="shared" ref="AI11" si="35">AH11</f>
        <v>0</v>
      </c>
      <c r="AJ11" s="464"/>
      <c r="AK11" s="465"/>
      <c r="AL11" s="450">
        <f t="shared" ref="AL11" si="36">AK11</f>
        <v>0</v>
      </c>
      <c r="AM11" s="86">
        <f t="shared" ref="AM11" si="37">SUM(D11,G11,J11,M11,P11,S11,V11,Y11,AB11,AE11,AH11,AK11)</f>
        <v>0</v>
      </c>
      <c r="AN11" s="452"/>
      <c r="AO11" s="104">
        <f t="shared" si="13"/>
        <v>0</v>
      </c>
      <c r="AP11" s="104">
        <f t="shared" si="14"/>
        <v>0</v>
      </c>
      <c r="AQ11" s="104">
        <f t="shared" si="15"/>
        <v>0</v>
      </c>
      <c r="AR11" s="104">
        <f t="shared" si="16"/>
        <v>0</v>
      </c>
      <c r="AS11" s="104">
        <f t="shared" si="17"/>
        <v>0</v>
      </c>
      <c r="AT11" s="104">
        <f t="shared" si="18"/>
        <v>0</v>
      </c>
      <c r="AU11" s="104">
        <f t="shared" si="19"/>
        <v>0</v>
      </c>
      <c r="AV11" s="104">
        <f t="shared" si="20"/>
        <v>0</v>
      </c>
      <c r="AW11" s="104">
        <f t="shared" si="21"/>
        <v>0</v>
      </c>
      <c r="AX11" s="104">
        <f t="shared" si="22"/>
        <v>0</v>
      </c>
      <c r="AY11" s="104">
        <f t="shared" si="23"/>
        <v>0</v>
      </c>
      <c r="AZ11" s="104">
        <f t="shared" si="24"/>
        <v>0</v>
      </c>
    </row>
    <row r="12" spans="1:67" x14ac:dyDescent="0.25">
      <c r="A12" s="703" t="s">
        <v>61</v>
      </c>
      <c r="B12" s="704" t="s">
        <v>663</v>
      </c>
      <c r="C12" s="464"/>
      <c r="D12" s="465"/>
      <c r="E12" s="450">
        <f t="shared" si="25"/>
        <v>0</v>
      </c>
      <c r="F12" s="464"/>
      <c r="G12" s="465"/>
      <c r="H12" s="450">
        <f t="shared" si="26"/>
        <v>0</v>
      </c>
      <c r="I12" s="464"/>
      <c r="J12" s="465"/>
      <c r="K12" s="63">
        <f t="shared" si="2"/>
        <v>0</v>
      </c>
      <c r="L12" s="468"/>
      <c r="M12" s="465"/>
      <c r="N12" s="450">
        <f t="shared" si="3"/>
        <v>0</v>
      </c>
      <c r="O12" s="464"/>
      <c r="P12" s="465"/>
      <c r="Q12" s="63">
        <f t="shared" si="4"/>
        <v>0</v>
      </c>
      <c r="R12" s="468"/>
      <c r="S12" s="465"/>
      <c r="T12" s="450">
        <f t="shared" si="5"/>
        <v>0</v>
      </c>
      <c r="U12" s="464"/>
      <c r="V12" s="465"/>
      <c r="W12" s="63">
        <f t="shared" si="6"/>
        <v>0</v>
      </c>
      <c r="X12" s="468"/>
      <c r="Y12" s="465"/>
      <c r="Z12" s="450">
        <f t="shared" si="7"/>
        <v>0</v>
      </c>
      <c r="AA12" s="464"/>
      <c r="AB12" s="465"/>
      <c r="AC12" s="63">
        <f t="shared" si="8"/>
        <v>0</v>
      </c>
      <c r="AD12" s="468"/>
      <c r="AE12" s="465"/>
      <c r="AF12" s="450">
        <f t="shared" si="9"/>
        <v>0</v>
      </c>
      <c r="AG12" s="464"/>
      <c r="AH12" s="465"/>
      <c r="AI12" s="63">
        <f t="shared" si="10"/>
        <v>0</v>
      </c>
      <c r="AJ12" s="468"/>
      <c r="AK12" s="465"/>
      <c r="AL12" s="450">
        <f t="shared" si="11"/>
        <v>0</v>
      </c>
      <c r="AM12" s="86">
        <f t="shared" si="12"/>
        <v>0</v>
      </c>
      <c r="AN12" s="452"/>
      <c r="AO12" s="104">
        <f t="shared" si="13"/>
        <v>0</v>
      </c>
      <c r="AP12" s="104">
        <f t="shared" si="14"/>
        <v>0</v>
      </c>
      <c r="AQ12" s="104">
        <f t="shared" si="15"/>
        <v>0</v>
      </c>
      <c r="AR12" s="104">
        <f t="shared" si="16"/>
        <v>0</v>
      </c>
      <c r="AS12" s="104">
        <f t="shared" si="17"/>
        <v>0</v>
      </c>
      <c r="AT12" s="104">
        <f t="shared" si="18"/>
        <v>0</v>
      </c>
      <c r="AU12" s="104">
        <f t="shared" si="19"/>
        <v>0</v>
      </c>
      <c r="AV12" s="104">
        <f t="shared" si="20"/>
        <v>0</v>
      </c>
      <c r="AW12" s="104">
        <f t="shared" si="21"/>
        <v>0</v>
      </c>
      <c r="AX12" s="104">
        <f t="shared" si="22"/>
        <v>0</v>
      </c>
      <c r="AY12" s="104">
        <f t="shared" si="23"/>
        <v>0</v>
      </c>
      <c r="AZ12" s="104">
        <f t="shared" si="24"/>
        <v>0</v>
      </c>
    </row>
    <row r="13" spans="1:67" ht="12" thickBot="1" x14ac:dyDescent="0.3">
      <c r="A13" s="53" t="s">
        <v>62</v>
      </c>
      <c r="B13" s="60" t="s">
        <v>666</v>
      </c>
      <c r="C13" s="466"/>
      <c r="D13" s="467"/>
      <c r="E13" s="451">
        <f t="shared" si="25"/>
        <v>0</v>
      </c>
      <c r="F13" s="466"/>
      <c r="G13" s="467"/>
      <c r="H13" s="451">
        <f t="shared" si="26"/>
        <v>0</v>
      </c>
      <c r="I13" s="466"/>
      <c r="J13" s="467"/>
      <c r="K13" s="65">
        <f t="shared" si="2"/>
        <v>0</v>
      </c>
      <c r="L13" s="469"/>
      <c r="M13" s="467"/>
      <c r="N13" s="451">
        <f t="shared" si="3"/>
        <v>0</v>
      </c>
      <c r="O13" s="466"/>
      <c r="P13" s="467"/>
      <c r="Q13" s="65">
        <f t="shared" si="4"/>
        <v>0</v>
      </c>
      <c r="R13" s="469"/>
      <c r="S13" s="467"/>
      <c r="T13" s="451">
        <f t="shared" si="5"/>
        <v>0</v>
      </c>
      <c r="U13" s="466"/>
      <c r="V13" s="467"/>
      <c r="W13" s="65">
        <f t="shared" si="6"/>
        <v>0</v>
      </c>
      <c r="X13" s="469"/>
      <c r="Y13" s="467"/>
      <c r="Z13" s="451">
        <f t="shared" si="7"/>
        <v>0</v>
      </c>
      <c r="AA13" s="466"/>
      <c r="AB13" s="467"/>
      <c r="AC13" s="65">
        <f t="shared" si="8"/>
        <v>0</v>
      </c>
      <c r="AD13" s="469"/>
      <c r="AE13" s="467"/>
      <c r="AF13" s="451">
        <f t="shared" si="9"/>
        <v>0</v>
      </c>
      <c r="AG13" s="466"/>
      <c r="AH13" s="467"/>
      <c r="AI13" s="65">
        <f t="shared" si="10"/>
        <v>0</v>
      </c>
      <c r="AJ13" s="469"/>
      <c r="AK13" s="467"/>
      <c r="AL13" s="451">
        <f t="shared" si="11"/>
        <v>0</v>
      </c>
      <c r="AM13" s="87">
        <f t="shared" si="12"/>
        <v>0</v>
      </c>
      <c r="AN13" s="452"/>
      <c r="AO13" s="104">
        <f t="shared" si="13"/>
        <v>0</v>
      </c>
      <c r="AP13" s="104">
        <f t="shared" si="14"/>
        <v>0</v>
      </c>
      <c r="AQ13" s="104">
        <f t="shared" si="15"/>
        <v>0</v>
      </c>
      <c r="AR13" s="104">
        <f t="shared" si="16"/>
        <v>0</v>
      </c>
      <c r="AS13" s="104">
        <f t="shared" si="17"/>
        <v>0</v>
      </c>
      <c r="AT13" s="104">
        <f t="shared" si="18"/>
        <v>0</v>
      </c>
      <c r="AU13" s="104">
        <f t="shared" si="19"/>
        <v>0</v>
      </c>
      <c r="AV13" s="104">
        <f t="shared" si="20"/>
        <v>0</v>
      </c>
      <c r="AW13" s="104">
        <f t="shared" si="21"/>
        <v>0</v>
      </c>
      <c r="AX13" s="104">
        <f t="shared" si="22"/>
        <v>0</v>
      </c>
      <c r="AY13" s="104">
        <f t="shared" si="23"/>
        <v>0</v>
      </c>
      <c r="AZ13" s="104">
        <f t="shared" si="24"/>
        <v>0</v>
      </c>
    </row>
    <row r="14" spans="1:67" s="12" customFormat="1" x14ac:dyDescent="0.25">
      <c r="A14" s="100" t="s">
        <v>16</v>
      </c>
      <c r="B14" s="472"/>
      <c r="C14" s="74"/>
      <c r="D14" s="66"/>
      <c r="E14" s="67"/>
      <c r="F14" s="74"/>
      <c r="G14" s="66"/>
      <c r="H14" s="67"/>
      <c r="I14" s="74"/>
      <c r="J14" s="66"/>
      <c r="K14" s="67"/>
      <c r="L14" s="74"/>
      <c r="M14" s="66"/>
      <c r="N14" s="67"/>
      <c r="O14" s="74"/>
      <c r="P14" s="66"/>
      <c r="Q14" s="67"/>
      <c r="R14" s="74"/>
      <c r="S14" s="66"/>
      <c r="T14" s="67"/>
      <c r="U14" s="74"/>
      <c r="V14" s="66"/>
      <c r="W14" s="67"/>
      <c r="X14" s="74"/>
      <c r="Y14" s="66"/>
      <c r="Z14" s="67"/>
      <c r="AA14" s="74"/>
      <c r="AB14" s="66"/>
      <c r="AC14" s="67"/>
      <c r="AD14" s="74"/>
      <c r="AE14" s="66"/>
      <c r="AF14" s="67"/>
      <c r="AG14" s="74"/>
      <c r="AH14" s="66"/>
      <c r="AI14" s="67"/>
      <c r="AJ14" s="74"/>
      <c r="AK14" s="66"/>
      <c r="AL14" s="67"/>
      <c r="AM14" s="85"/>
      <c r="AN14" s="159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  <row r="15" spans="1:67" x14ac:dyDescent="0.25">
      <c r="A15" s="701" t="s">
        <v>63</v>
      </c>
      <c r="B15" s="702" t="s">
        <v>667</v>
      </c>
      <c r="C15" s="464"/>
      <c r="D15" s="465"/>
      <c r="E15" s="63">
        <f t="shared" ref="E15:E21" si="38">D15</f>
        <v>0</v>
      </c>
      <c r="F15" s="464"/>
      <c r="G15" s="465"/>
      <c r="H15" s="63">
        <f t="shared" ref="H15:H21" si="39">G15</f>
        <v>0</v>
      </c>
      <c r="I15" s="464"/>
      <c r="J15" s="465"/>
      <c r="K15" s="63">
        <f t="shared" si="2"/>
        <v>0</v>
      </c>
      <c r="L15" s="464"/>
      <c r="M15" s="465"/>
      <c r="N15" s="63">
        <f t="shared" si="3"/>
        <v>0</v>
      </c>
      <c r="O15" s="464"/>
      <c r="P15" s="465"/>
      <c r="Q15" s="63">
        <f t="shared" si="4"/>
        <v>0</v>
      </c>
      <c r="R15" s="464"/>
      <c r="S15" s="465"/>
      <c r="T15" s="63">
        <f t="shared" si="5"/>
        <v>0</v>
      </c>
      <c r="U15" s="464"/>
      <c r="V15" s="465"/>
      <c r="W15" s="63">
        <f t="shared" si="6"/>
        <v>0</v>
      </c>
      <c r="X15" s="464"/>
      <c r="Y15" s="465"/>
      <c r="Z15" s="63">
        <f t="shared" si="7"/>
        <v>0</v>
      </c>
      <c r="AA15" s="464"/>
      <c r="AB15" s="465"/>
      <c r="AC15" s="63">
        <f t="shared" si="8"/>
        <v>0</v>
      </c>
      <c r="AD15" s="464"/>
      <c r="AE15" s="465"/>
      <c r="AF15" s="63">
        <f t="shared" si="9"/>
        <v>0</v>
      </c>
      <c r="AG15" s="464"/>
      <c r="AH15" s="465"/>
      <c r="AI15" s="63">
        <f t="shared" si="10"/>
        <v>0</v>
      </c>
      <c r="AJ15" s="464"/>
      <c r="AK15" s="465"/>
      <c r="AL15" s="63">
        <f t="shared" si="11"/>
        <v>0</v>
      </c>
      <c r="AM15" s="86">
        <f t="shared" si="12"/>
        <v>0</v>
      </c>
      <c r="AN15" s="159"/>
      <c r="AO15" s="104">
        <f t="shared" si="13"/>
        <v>0</v>
      </c>
      <c r="AP15" s="104">
        <f t="shared" si="14"/>
        <v>0</v>
      </c>
      <c r="AQ15" s="104">
        <f t="shared" si="15"/>
        <v>0</v>
      </c>
      <c r="AR15" s="104">
        <f t="shared" si="16"/>
        <v>0</v>
      </c>
      <c r="AS15" s="104">
        <f t="shared" si="17"/>
        <v>0</v>
      </c>
      <c r="AT15" s="104">
        <f t="shared" si="18"/>
        <v>0</v>
      </c>
      <c r="AU15" s="104">
        <f t="shared" si="19"/>
        <v>0</v>
      </c>
      <c r="AV15" s="104">
        <f t="shared" si="20"/>
        <v>0</v>
      </c>
      <c r="AW15" s="104">
        <f t="shared" si="21"/>
        <v>0</v>
      </c>
      <c r="AX15" s="104">
        <f t="shared" si="22"/>
        <v>0</v>
      </c>
      <c r="AY15" s="104">
        <f t="shared" si="23"/>
        <v>0</v>
      </c>
      <c r="AZ15" s="104">
        <f t="shared" si="24"/>
        <v>0</v>
      </c>
    </row>
    <row r="16" spans="1:67" x14ac:dyDescent="0.25">
      <c r="A16" s="101" t="s">
        <v>64</v>
      </c>
      <c r="B16" s="474" t="s">
        <v>673</v>
      </c>
      <c r="C16" s="464"/>
      <c r="D16" s="465"/>
      <c r="E16" s="63">
        <f t="shared" si="38"/>
        <v>0</v>
      </c>
      <c r="F16" s="464"/>
      <c r="G16" s="465"/>
      <c r="H16" s="63">
        <f t="shared" si="39"/>
        <v>0</v>
      </c>
      <c r="I16" s="464"/>
      <c r="J16" s="465"/>
      <c r="K16" s="63">
        <f t="shared" si="2"/>
        <v>0</v>
      </c>
      <c r="L16" s="464"/>
      <c r="M16" s="465"/>
      <c r="N16" s="63">
        <f t="shared" si="3"/>
        <v>0</v>
      </c>
      <c r="O16" s="464"/>
      <c r="P16" s="465"/>
      <c r="Q16" s="63">
        <f t="shared" si="4"/>
        <v>0</v>
      </c>
      <c r="R16" s="464"/>
      <c r="S16" s="465"/>
      <c r="T16" s="63">
        <f t="shared" si="5"/>
        <v>0</v>
      </c>
      <c r="U16" s="464"/>
      <c r="V16" s="465"/>
      <c r="W16" s="63">
        <f t="shared" si="6"/>
        <v>0</v>
      </c>
      <c r="X16" s="464"/>
      <c r="Y16" s="465"/>
      <c r="Z16" s="63">
        <f t="shared" si="7"/>
        <v>0</v>
      </c>
      <c r="AA16" s="464"/>
      <c r="AB16" s="465"/>
      <c r="AC16" s="63">
        <f t="shared" si="8"/>
        <v>0</v>
      </c>
      <c r="AD16" s="464"/>
      <c r="AE16" s="465"/>
      <c r="AF16" s="63">
        <f t="shared" si="9"/>
        <v>0</v>
      </c>
      <c r="AG16" s="464"/>
      <c r="AH16" s="465"/>
      <c r="AI16" s="63">
        <f t="shared" si="10"/>
        <v>0</v>
      </c>
      <c r="AJ16" s="464"/>
      <c r="AK16" s="465"/>
      <c r="AL16" s="63">
        <f t="shared" si="11"/>
        <v>0</v>
      </c>
      <c r="AM16" s="86">
        <f t="shared" si="12"/>
        <v>0</v>
      </c>
      <c r="AN16" s="159"/>
      <c r="AO16" s="104">
        <f t="shared" si="13"/>
        <v>0</v>
      </c>
      <c r="AP16" s="104">
        <f t="shared" si="14"/>
        <v>0</v>
      </c>
      <c r="AQ16" s="104">
        <f t="shared" si="15"/>
        <v>0</v>
      </c>
      <c r="AR16" s="104">
        <f t="shared" si="16"/>
        <v>0</v>
      </c>
      <c r="AS16" s="104">
        <f t="shared" si="17"/>
        <v>0</v>
      </c>
      <c r="AT16" s="104">
        <f t="shared" si="18"/>
        <v>0</v>
      </c>
      <c r="AU16" s="104">
        <f t="shared" si="19"/>
        <v>0</v>
      </c>
      <c r="AV16" s="104">
        <f t="shared" si="20"/>
        <v>0</v>
      </c>
      <c r="AW16" s="104">
        <f t="shared" si="21"/>
        <v>0</v>
      </c>
      <c r="AX16" s="104">
        <f t="shared" si="22"/>
        <v>0</v>
      </c>
      <c r="AY16" s="104">
        <f t="shared" si="23"/>
        <v>0</v>
      </c>
      <c r="AZ16" s="104">
        <f t="shared" si="24"/>
        <v>0</v>
      </c>
    </row>
    <row r="17" spans="1:52" x14ac:dyDescent="0.25">
      <c r="A17" s="471" t="s">
        <v>65</v>
      </c>
      <c r="B17" s="473" t="s">
        <v>674</v>
      </c>
      <c r="C17" s="464"/>
      <c r="D17" s="465"/>
      <c r="E17" s="63">
        <f t="shared" si="38"/>
        <v>0</v>
      </c>
      <c r="F17" s="464"/>
      <c r="G17" s="465"/>
      <c r="H17" s="63">
        <f t="shared" si="39"/>
        <v>0</v>
      </c>
      <c r="I17" s="464"/>
      <c r="J17" s="465"/>
      <c r="K17" s="63">
        <f t="shared" si="2"/>
        <v>0</v>
      </c>
      <c r="L17" s="464"/>
      <c r="M17" s="465"/>
      <c r="N17" s="63">
        <f t="shared" si="3"/>
        <v>0</v>
      </c>
      <c r="O17" s="464"/>
      <c r="P17" s="465"/>
      <c r="Q17" s="63">
        <f t="shared" si="4"/>
        <v>0</v>
      </c>
      <c r="R17" s="464"/>
      <c r="S17" s="465"/>
      <c r="T17" s="63">
        <f t="shared" si="5"/>
        <v>0</v>
      </c>
      <c r="U17" s="464"/>
      <c r="V17" s="465"/>
      <c r="W17" s="63">
        <f t="shared" si="6"/>
        <v>0</v>
      </c>
      <c r="X17" s="464"/>
      <c r="Y17" s="465"/>
      <c r="Z17" s="63">
        <f t="shared" si="7"/>
        <v>0</v>
      </c>
      <c r="AA17" s="464"/>
      <c r="AB17" s="465"/>
      <c r="AC17" s="63">
        <f t="shared" si="8"/>
        <v>0</v>
      </c>
      <c r="AD17" s="464"/>
      <c r="AE17" s="465"/>
      <c r="AF17" s="63">
        <f t="shared" si="9"/>
        <v>0</v>
      </c>
      <c r="AG17" s="464"/>
      <c r="AH17" s="465"/>
      <c r="AI17" s="63">
        <f t="shared" si="10"/>
        <v>0</v>
      </c>
      <c r="AJ17" s="464"/>
      <c r="AK17" s="465"/>
      <c r="AL17" s="63">
        <f t="shared" si="11"/>
        <v>0</v>
      </c>
      <c r="AM17" s="86">
        <f t="shared" si="12"/>
        <v>0</v>
      </c>
      <c r="AN17" s="159"/>
      <c r="AO17" s="104">
        <f t="shared" si="13"/>
        <v>0</v>
      </c>
      <c r="AP17" s="104">
        <f t="shared" si="14"/>
        <v>0</v>
      </c>
      <c r="AQ17" s="104">
        <f t="shared" si="15"/>
        <v>0</v>
      </c>
      <c r="AR17" s="104">
        <f t="shared" si="16"/>
        <v>0</v>
      </c>
      <c r="AS17" s="104">
        <f t="shared" si="17"/>
        <v>0</v>
      </c>
      <c r="AT17" s="104">
        <f t="shared" si="18"/>
        <v>0</v>
      </c>
      <c r="AU17" s="104">
        <f t="shared" si="19"/>
        <v>0</v>
      </c>
      <c r="AV17" s="104">
        <f t="shared" si="20"/>
        <v>0</v>
      </c>
      <c r="AW17" s="104">
        <f t="shared" si="21"/>
        <v>0</v>
      </c>
      <c r="AX17" s="104">
        <f t="shared" si="22"/>
        <v>0</v>
      </c>
      <c r="AY17" s="104">
        <f t="shared" si="23"/>
        <v>0</v>
      </c>
      <c r="AZ17" s="104">
        <f t="shared" si="24"/>
        <v>0</v>
      </c>
    </row>
    <row r="18" spans="1:52" x14ac:dyDescent="0.25">
      <c r="A18" s="101" t="s">
        <v>66</v>
      </c>
      <c r="B18" s="474" t="s">
        <v>673</v>
      </c>
      <c r="C18" s="464"/>
      <c r="D18" s="465"/>
      <c r="E18" s="63">
        <f t="shared" si="38"/>
        <v>0</v>
      </c>
      <c r="F18" s="464"/>
      <c r="G18" s="465"/>
      <c r="H18" s="63">
        <f t="shared" si="39"/>
        <v>0</v>
      </c>
      <c r="I18" s="464"/>
      <c r="J18" s="465"/>
      <c r="K18" s="63">
        <f t="shared" si="2"/>
        <v>0</v>
      </c>
      <c r="L18" s="464"/>
      <c r="M18" s="465"/>
      <c r="N18" s="63">
        <f t="shared" si="3"/>
        <v>0</v>
      </c>
      <c r="O18" s="464"/>
      <c r="P18" s="465"/>
      <c r="Q18" s="63">
        <f t="shared" si="4"/>
        <v>0</v>
      </c>
      <c r="R18" s="464"/>
      <c r="S18" s="465"/>
      <c r="T18" s="63">
        <f t="shared" si="5"/>
        <v>0</v>
      </c>
      <c r="U18" s="464"/>
      <c r="V18" s="465"/>
      <c r="W18" s="63">
        <f t="shared" si="6"/>
        <v>0</v>
      </c>
      <c r="X18" s="464"/>
      <c r="Y18" s="465"/>
      <c r="Z18" s="63">
        <f t="shared" si="7"/>
        <v>0</v>
      </c>
      <c r="AA18" s="464"/>
      <c r="AB18" s="465"/>
      <c r="AC18" s="63">
        <f t="shared" si="8"/>
        <v>0</v>
      </c>
      <c r="AD18" s="464"/>
      <c r="AE18" s="465"/>
      <c r="AF18" s="63">
        <f t="shared" si="9"/>
        <v>0</v>
      </c>
      <c r="AG18" s="464"/>
      <c r="AH18" s="465"/>
      <c r="AI18" s="63">
        <f t="shared" si="10"/>
        <v>0</v>
      </c>
      <c r="AJ18" s="464"/>
      <c r="AK18" s="465"/>
      <c r="AL18" s="63">
        <f t="shared" si="11"/>
        <v>0</v>
      </c>
      <c r="AM18" s="86">
        <f t="shared" si="12"/>
        <v>0</v>
      </c>
      <c r="AN18" s="159"/>
      <c r="AO18" s="104">
        <f t="shared" si="13"/>
        <v>0</v>
      </c>
      <c r="AP18" s="104">
        <f t="shared" si="14"/>
        <v>0</v>
      </c>
      <c r="AQ18" s="104">
        <f t="shared" si="15"/>
        <v>0</v>
      </c>
      <c r="AR18" s="104">
        <f t="shared" si="16"/>
        <v>0</v>
      </c>
      <c r="AS18" s="104">
        <f t="shared" si="17"/>
        <v>0</v>
      </c>
      <c r="AT18" s="104">
        <f t="shared" si="18"/>
        <v>0</v>
      </c>
      <c r="AU18" s="104">
        <f t="shared" si="19"/>
        <v>0</v>
      </c>
      <c r="AV18" s="104">
        <f t="shared" si="20"/>
        <v>0</v>
      </c>
      <c r="AW18" s="104">
        <f t="shared" si="21"/>
        <v>0</v>
      </c>
      <c r="AX18" s="104">
        <f t="shared" si="22"/>
        <v>0</v>
      </c>
      <c r="AY18" s="104">
        <f t="shared" si="23"/>
        <v>0</v>
      </c>
      <c r="AZ18" s="104">
        <f t="shared" si="24"/>
        <v>0</v>
      </c>
    </row>
    <row r="19" spans="1:52" x14ac:dyDescent="0.25">
      <c r="A19" s="471" t="s">
        <v>67</v>
      </c>
      <c r="B19" s="473" t="s">
        <v>672</v>
      </c>
      <c r="C19" s="464"/>
      <c r="D19" s="465"/>
      <c r="E19" s="63">
        <f t="shared" si="38"/>
        <v>0</v>
      </c>
      <c r="F19" s="464"/>
      <c r="G19" s="465"/>
      <c r="H19" s="63">
        <f t="shared" si="39"/>
        <v>0</v>
      </c>
      <c r="I19" s="464"/>
      <c r="J19" s="465"/>
      <c r="K19" s="63">
        <f t="shared" si="2"/>
        <v>0</v>
      </c>
      <c r="L19" s="464"/>
      <c r="M19" s="465"/>
      <c r="N19" s="63">
        <f t="shared" si="3"/>
        <v>0</v>
      </c>
      <c r="O19" s="464"/>
      <c r="P19" s="465"/>
      <c r="Q19" s="63">
        <f t="shared" si="4"/>
        <v>0</v>
      </c>
      <c r="R19" s="464"/>
      <c r="S19" s="465"/>
      <c r="T19" s="63">
        <f t="shared" si="5"/>
        <v>0</v>
      </c>
      <c r="U19" s="464"/>
      <c r="V19" s="465"/>
      <c r="W19" s="63">
        <f t="shared" si="6"/>
        <v>0</v>
      </c>
      <c r="X19" s="464"/>
      <c r="Y19" s="465"/>
      <c r="Z19" s="63">
        <f t="shared" si="7"/>
        <v>0</v>
      </c>
      <c r="AA19" s="464"/>
      <c r="AB19" s="465"/>
      <c r="AC19" s="63">
        <f t="shared" si="8"/>
        <v>0</v>
      </c>
      <c r="AD19" s="464"/>
      <c r="AE19" s="465"/>
      <c r="AF19" s="63">
        <f t="shared" si="9"/>
        <v>0</v>
      </c>
      <c r="AG19" s="464"/>
      <c r="AH19" s="465"/>
      <c r="AI19" s="63">
        <f t="shared" si="10"/>
        <v>0</v>
      </c>
      <c r="AJ19" s="464"/>
      <c r="AK19" s="465"/>
      <c r="AL19" s="63">
        <f t="shared" si="11"/>
        <v>0</v>
      </c>
      <c r="AM19" s="86">
        <f t="shared" si="12"/>
        <v>0</v>
      </c>
      <c r="AN19" s="159"/>
      <c r="AO19" s="104">
        <f t="shared" si="13"/>
        <v>0</v>
      </c>
      <c r="AP19" s="104">
        <f t="shared" si="14"/>
        <v>0</v>
      </c>
      <c r="AQ19" s="104">
        <f t="shared" si="15"/>
        <v>0</v>
      </c>
      <c r="AR19" s="104">
        <f t="shared" si="16"/>
        <v>0</v>
      </c>
      <c r="AS19" s="104">
        <f t="shared" si="17"/>
        <v>0</v>
      </c>
      <c r="AT19" s="104">
        <f t="shared" si="18"/>
        <v>0</v>
      </c>
      <c r="AU19" s="104">
        <f t="shared" si="19"/>
        <v>0</v>
      </c>
      <c r="AV19" s="104">
        <f t="shared" si="20"/>
        <v>0</v>
      </c>
      <c r="AW19" s="104">
        <f t="shared" si="21"/>
        <v>0</v>
      </c>
      <c r="AX19" s="104">
        <f t="shared" si="22"/>
        <v>0</v>
      </c>
      <c r="AY19" s="104">
        <f t="shared" si="23"/>
        <v>0</v>
      </c>
      <c r="AZ19" s="104">
        <f t="shared" si="24"/>
        <v>0</v>
      </c>
    </row>
    <row r="20" spans="1:52" x14ac:dyDescent="0.25">
      <c r="A20" s="701" t="s">
        <v>68</v>
      </c>
      <c r="B20" s="702" t="s">
        <v>667</v>
      </c>
      <c r="C20" s="464"/>
      <c r="D20" s="465"/>
      <c r="E20" s="63">
        <f t="shared" si="38"/>
        <v>0</v>
      </c>
      <c r="F20" s="464"/>
      <c r="G20" s="465"/>
      <c r="H20" s="63">
        <f t="shared" si="39"/>
        <v>0</v>
      </c>
      <c r="I20" s="464"/>
      <c r="J20" s="465"/>
      <c r="K20" s="63">
        <f t="shared" si="2"/>
        <v>0</v>
      </c>
      <c r="L20" s="464"/>
      <c r="M20" s="465"/>
      <c r="N20" s="63">
        <f t="shared" si="3"/>
        <v>0</v>
      </c>
      <c r="O20" s="464"/>
      <c r="P20" s="465"/>
      <c r="Q20" s="63">
        <f t="shared" si="4"/>
        <v>0</v>
      </c>
      <c r="R20" s="464"/>
      <c r="S20" s="465"/>
      <c r="T20" s="63">
        <f t="shared" si="5"/>
        <v>0</v>
      </c>
      <c r="U20" s="464"/>
      <c r="V20" s="465"/>
      <c r="W20" s="63">
        <f t="shared" si="6"/>
        <v>0</v>
      </c>
      <c r="X20" s="464"/>
      <c r="Y20" s="465"/>
      <c r="Z20" s="63">
        <f t="shared" si="7"/>
        <v>0</v>
      </c>
      <c r="AA20" s="464"/>
      <c r="AB20" s="465"/>
      <c r="AC20" s="63">
        <f t="shared" si="8"/>
        <v>0</v>
      </c>
      <c r="AD20" s="464"/>
      <c r="AE20" s="465"/>
      <c r="AF20" s="63">
        <f t="shared" si="9"/>
        <v>0</v>
      </c>
      <c r="AG20" s="464"/>
      <c r="AH20" s="465"/>
      <c r="AI20" s="63">
        <f t="shared" si="10"/>
        <v>0</v>
      </c>
      <c r="AJ20" s="464"/>
      <c r="AK20" s="465"/>
      <c r="AL20" s="63">
        <f t="shared" si="11"/>
        <v>0</v>
      </c>
      <c r="AM20" s="86">
        <f t="shared" si="12"/>
        <v>0</v>
      </c>
      <c r="AN20" s="159"/>
      <c r="AO20" s="104">
        <f t="shared" si="13"/>
        <v>0</v>
      </c>
      <c r="AP20" s="104">
        <f t="shared" si="14"/>
        <v>0</v>
      </c>
      <c r="AQ20" s="104">
        <f t="shared" si="15"/>
        <v>0</v>
      </c>
      <c r="AR20" s="104">
        <f t="shared" si="16"/>
        <v>0</v>
      </c>
      <c r="AS20" s="104">
        <f t="shared" si="17"/>
        <v>0</v>
      </c>
      <c r="AT20" s="104">
        <f t="shared" si="18"/>
        <v>0</v>
      </c>
      <c r="AU20" s="104">
        <f t="shared" si="19"/>
        <v>0</v>
      </c>
      <c r="AV20" s="104">
        <f t="shared" si="20"/>
        <v>0</v>
      </c>
      <c r="AW20" s="104">
        <f t="shared" si="21"/>
        <v>0</v>
      </c>
      <c r="AX20" s="104">
        <f t="shared" si="22"/>
        <v>0</v>
      </c>
      <c r="AY20" s="104">
        <f t="shared" si="23"/>
        <v>0</v>
      </c>
      <c r="AZ20" s="104">
        <f t="shared" si="24"/>
        <v>0</v>
      </c>
    </row>
    <row r="21" spans="1:52" ht="12" thickBot="1" x14ac:dyDescent="0.3">
      <c r="A21" s="102" t="s">
        <v>69</v>
      </c>
      <c r="B21" s="475" t="s">
        <v>673</v>
      </c>
      <c r="C21" s="466"/>
      <c r="D21" s="467"/>
      <c r="E21" s="65">
        <f t="shared" si="38"/>
        <v>0</v>
      </c>
      <c r="F21" s="466"/>
      <c r="G21" s="467"/>
      <c r="H21" s="65">
        <f t="shared" si="39"/>
        <v>0</v>
      </c>
      <c r="I21" s="466"/>
      <c r="J21" s="467"/>
      <c r="K21" s="65">
        <f t="shared" si="2"/>
        <v>0</v>
      </c>
      <c r="L21" s="466"/>
      <c r="M21" s="467"/>
      <c r="N21" s="65">
        <f t="shared" si="3"/>
        <v>0</v>
      </c>
      <c r="O21" s="466"/>
      <c r="P21" s="467"/>
      <c r="Q21" s="65">
        <f t="shared" si="4"/>
        <v>0</v>
      </c>
      <c r="R21" s="466"/>
      <c r="S21" s="467"/>
      <c r="T21" s="65">
        <f t="shared" si="5"/>
        <v>0</v>
      </c>
      <c r="U21" s="466"/>
      <c r="V21" s="467"/>
      <c r="W21" s="65">
        <f t="shared" si="6"/>
        <v>0</v>
      </c>
      <c r="X21" s="466"/>
      <c r="Y21" s="467"/>
      <c r="Z21" s="65">
        <f t="shared" si="7"/>
        <v>0</v>
      </c>
      <c r="AA21" s="466"/>
      <c r="AB21" s="467"/>
      <c r="AC21" s="65">
        <f t="shared" si="8"/>
        <v>0</v>
      </c>
      <c r="AD21" s="466"/>
      <c r="AE21" s="467"/>
      <c r="AF21" s="65">
        <f t="shared" si="9"/>
        <v>0</v>
      </c>
      <c r="AG21" s="466"/>
      <c r="AH21" s="467"/>
      <c r="AI21" s="65">
        <f t="shared" si="10"/>
        <v>0</v>
      </c>
      <c r="AJ21" s="466"/>
      <c r="AK21" s="467"/>
      <c r="AL21" s="65">
        <f t="shared" si="11"/>
        <v>0</v>
      </c>
      <c r="AM21" s="87">
        <f t="shared" si="12"/>
        <v>0</v>
      </c>
      <c r="AN21" s="159"/>
      <c r="AO21" s="104">
        <f t="shared" si="13"/>
        <v>0</v>
      </c>
      <c r="AP21" s="104">
        <f t="shared" si="14"/>
        <v>0</v>
      </c>
      <c r="AQ21" s="104">
        <f t="shared" si="15"/>
        <v>0</v>
      </c>
      <c r="AR21" s="104">
        <f t="shared" si="16"/>
        <v>0</v>
      </c>
      <c r="AS21" s="104">
        <f t="shared" si="17"/>
        <v>0</v>
      </c>
      <c r="AT21" s="104">
        <f t="shared" si="18"/>
        <v>0</v>
      </c>
      <c r="AU21" s="104">
        <f t="shared" si="19"/>
        <v>0</v>
      </c>
      <c r="AV21" s="104">
        <f t="shared" si="20"/>
        <v>0</v>
      </c>
      <c r="AW21" s="104">
        <f t="shared" si="21"/>
        <v>0</v>
      </c>
      <c r="AX21" s="104">
        <f t="shared" si="22"/>
        <v>0</v>
      </c>
      <c r="AY21" s="104">
        <f t="shared" si="23"/>
        <v>0</v>
      </c>
      <c r="AZ21" s="104">
        <f t="shared" si="24"/>
        <v>0</v>
      </c>
    </row>
    <row r="23" spans="1:52" ht="16.75" customHeight="1" thickBot="1" x14ac:dyDescent="0.35">
      <c r="A23" s="470" t="s">
        <v>668</v>
      </c>
    </row>
    <row r="24" spans="1:52" x14ac:dyDescent="0.25">
      <c r="A24" s="100" t="s">
        <v>21</v>
      </c>
      <c r="B24" s="70"/>
      <c r="C24" s="74"/>
      <c r="D24" s="66"/>
      <c r="E24" s="67"/>
      <c r="F24" s="74"/>
      <c r="G24" s="66"/>
      <c r="H24" s="67"/>
      <c r="I24" s="74"/>
      <c r="J24" s="66"/>
      <c r="K24" s="67"/>
      <c r="L24" s="74"/>
      <c r="M24" s="66"/>
      <c r="N24" s="67"/>
      <c r="O24" s="74"/>
      <c r="P24" s="66"/>
      <c r="Q24" s="67"/>
      <c r="R24" s="74"/>
      <c r="S24" s="66"/>
      <c r="T24" s="67"/>
      <c r="U24" s="74"/>
      <c r="V24" s="66"/>
      <c r="W24" s="67"/>
      <c r="X24" s="74"/>
      <c r="Y24" s="66"/>
      <c r="Z24" s="67"/>
      <c r="AA24" s="74"/>
      <c r="AB24" s="66"/>
      <c r="AC24" s="67"/>
      <c r="AD24" s="74"/>
      <c r="AE24" s="66"/>
      <c r="AF24" s="67"/>
      <c r="AG24" s="74"/>
      <c r="AH24" s="66"/>
      <c r="AI24" s="67"/>
      <c r="AJ24" s="74"/>
      <c r="AK24" s="66"/>
      <c r="AL24" s="67"/>
      <c r="AM24" s="85"/>
      <c r="AN24" s="159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</row>
    <row r="25" spans="1:52" x14ac:dyDescent="0.25">
      <c r="A25" s="101" t="s">
        <v>84</v>
      </c>
      <c r="B25" s="60">
        <v>0.2</v>
      </c>
      <c r="C25" s="464"/>
      <c r="D25" s="465"/>
      <c r="E25" s="63">
        <f>((D25*$B25)/12)</f>
        <v>0</v>
      </c>
      <c r="F25" s="464"/>
      <c r="G25" s="465"/>
      <c r="H25" s="63">
        <f>((G25*$B25)/12)+E25</f>
        <v>0</v>
      </c>
      <c r="I25" s="464"/>
      <c r="J25" s="465"/>
      <c r="K25" s="63">
        <f>((J25*$B25)/12)+H25</f>
        <v>0</v>
      </c>
      <c r="L25" s="464"/>
      <c r="M25" s="465"/>
      <c r="N25" s="63">
        <f>((M25*$B25)/12)+K25</f>
        <v>0</v>
      </c>
      <c r="O25" s="464"/>
      <c r="P25" s="465"/>
      <c r="Q25" s="63">
        <f>((P25*$B25)/12)+N25</f>
        <v>0</v>
      </c>
      <c r="R25" s="464"/>
      <c r="S25" s="465"/>
      <c r="T25" s="63">
        <f>((S25*$B25)/12)+Q25</f>
        <v>0</v>
      </c>
      <c r="U25" s="464"/>
      <c r="V25" s="465"/>
      <c r="W25" s="63">
        <f>((V25*$B25)/12)+T25</f>
        <v>0</v>
      </c>
      <c r="X25" s="464"/>
      <c r="Y25" s="465"/>
      <c r="Z25" s="63">
        <f>((Y25*$B25)/12)+W25</f>
        <v>0</v>
      </c>
      <c r="AA25" s="464"/>
      <c r="AB25" s="465"/>
      <c r="AC25" s="63">
        <f>((AB25*$B25)/12)+Z25</f>
        <v>0</v>
      </c>
      <c r="AD25" s="464"/>
      <c r="AE25" s="465"/>
      <c r="AF25" s="63">
        <f>((AE25*$B25)/12)+AC25</f>
        <v>0</v>
      </c>
      <c r="AG25" s="464"/>
      <c r="AH25" s="465"/>
      <c r="AI25" s="63">
        <f>((AH25*$B25)/12)+AF25</f>
        <v>0</v>
      </c>
      <c r="AJ25" s="464"/>
      <c r="AK25" s="465"/>
      <c r="AL25" s="63">
        <f>((AK25*$B25)/12)+AI25</f>
        <v>0</v>
      </c>
      <c r="AM25" s="86">
        <f t="shared" ref="AM25:AM34" si="40">SUM(D25,G25,J25,M25,P25,S25,V25,Y25,AB25,AE25,AH25,AK25)</f>
        <v>0</v>
      </c>
      <c r="AN25" s="159"/>
      <c r="AO25" s="104">
        <f t="shared" ref="AO25:AO34" si="41">E25</f>
        <v>0</v>
      </c>
      <c r="AP25" s="104">
        <f t="shared" ref="AP25:AP34" si="42">H25</f>
        <v>0</v>
      </c>
      <c r="AQ25" s="104">
        <f t="shared" ref="AQ25:AQ34" si="43">K25</f>
        <v>0</v>
      </c>
      <c r="AR25" s="104">
        <f t="shared" ref="AR25:AR34" si="44">N25</f>
        <v>0</v>
      </c>
      <c r="AS25" s="104">
        <f t="shared" ref="AS25:AS34" si="45">Q25</f>
        <v>0</v>
      </c>
      <c r="AT25" s="104">
        <f t="shared" ref="AT25:AT34" si="46">T25</f>
        <v>0</v>
      </c>
      <c r="AU25" s="104">
        <f t="shared" ref="AU25:AU34" si="47">W25</f>
        <v>0</v>
      </c>
      <c r="AV25" s="104">
        <f t="shared" ref="AV25:AV34" si="48">Z25</f>
        <v>0</v>
      </c>
      <c r="AW25" s="104">
        <f>AC25</f>
        <v>0</v>
      </c>
      <c r="AX25" s="104">
        <f t="shared" ref="AX25:AX34" si="49">AF25</f>
        <v>0</v>
      </c>
      <c r="AY25" s="104">
        <f t="shared" ref="AY25:AY34" si="50">AI25</f>
        <v>0</v>
      </c>
      <c r="AZ25" s="104">
        <f t="shared" ref="AZ25:AZ34" si="51">AL25</f>
        <v>0</v>
      </c>
    </row>
    <row r="26" spans="1:52" x14ac:dyDescent="0.25">
      <c r="A26" s="101" t="s">
        <v>85</v>
      </c>
      <c r="B26" s="60">
        <v>0.33333000000000002</v>
      </c>
      <c r="C26" s="464"/>
      <c r="D26" s="465"/>
      <c r="E26" s="63">
        <f t="shared" ref="E26:E34" si="52">((D26*$B26)/12)</f>
        <v>0</v>
      </c>
      <c r="F26" s="464"/>
      <c r="G26" s="465"/>
      <c r="H26" s="63">
        <f t="shared" ref="H26:H32" si="53">((G26*$B26)/12)+E26</f>
        <v>0</v>
      </c>
      <c r="I26" s="464"/>
      <c r="J26" s="465"/>
      <c r="K26" s="63">
        <f t="shared" ref="K26:K32" si="54">((J26*$B26)/12)+H26</f>
        <v>0</v>
      </c>
      <c r="L26" s="464"/>
      <c r="M26" s="465"/>
      <c r="N26" s="63">
        <f t="shared" ref="N26:N32" si="55">((M26*$B26)/12)+K26</f>
        <v>0</v>
      </c>
      <c r="O26" s="464"/>
      <c r="P26" s="465"/>
      <c r="Q26" s="63">
        <f t="shared" ref="Q26:Q32" si="56">((P26*$B26)/12)+N26</f>
        <v>0</v>
      </c>
      <c r="R26" s="464"/>
      <c r="S26" s="465"/>
      <c r="T26" s="63">
        <f t="shared" ref="T26:T32" si="57">((S26*$B26)/12)+Q26</f>
        <v>0</v>
      </c>
      <c r="U26" s="464"/>
      <c r="V26" s="465"/>
      <c r="W26" s="63">
        <f t="shared" ref="W26:W32" si="58">((V26*$B26)/12)+T26</f>
        <v>0</v>
      </c>
      <c r="X26" s="464"/>
      <c r="Y26" s="465"/>
      <c r="Z26" s="63">
        <f t="shared" ref="Z26:Z32" si="59">((Y26*$B26)/12)+W26</f>
        <v>0</v>
      </c>
      <c r="AA26" s="464"/>
      <c r="AB26" s="465"/>
      <c r="AC26" s="63">
        <f t="shared" ref="AC26:AC32" si="60">((AB26*$B26)/12)+Z26</f>
        <v>0</v>
      </c>
      <c r="AD26" s="464"/>
      <c r="AE26" s="465"/>
      <c r="AF26" s="63">
        <f t="shared" ref="AF26:AF32" si="61">((AE26*$B26)/12)+AC26</f>
        <v>0</v>
      </c>
      <c r="AG26" s="464"/>
      <c r="AH26" s="465"/>
      <c r="AI26" s="63">
        <f t="shared" ref="AI26:AI32" si="62">((AH26*$B26)/12)+AF26</f>
        <v>0</v>
      </c>
      <c r="AJ26" s="464"/>
      <c r="AK26" s="465"/>
      <c r="AL26" s="63">
        <f t="shared" ref="AL26:AL32" si="63">((AK26*$B26)/12)+AI26</f>
        <v>0</v>
      </c>
      <c r="AM26" s="86">
        <f t="shared" ref="AM26:AM32" si="64">SUM(D26,G26,J26,M26,P26,S26,V26,Y26,AB26,AE26,AH26,AK26)</f>
        <v>0</v>
      </c>
      <c r="AN26" s="159"/>
      <c r="AO26" s="104">
        <f t="shared" si="41"/>
        <v>0</v>
      </c>
      <c r="AP26" s="104">
        <f t="shared" si="42"/>
        <v>0</v>
      </c>
      <c r="AQ26" s="104">
        <f t="shared" si="43"/>
        <v>0</v>
      </c>
      <c r="AR26" s="104">
        <f t="shared" si="44"/>
        <v>0</v>
      </c>
      <c r="AS26" s="104">
        <f t="shared" si="45"/>
        <v>0</v>
      </c>
      <c r="AT26" s="104">
        <f t="shared" si="46"/>
        <v>0</v>
      </c>
      <c r="AU26" s="104">
        <f t="shared" si="47"/>
        <v>0</v>
      </c>
      <c r="AV26" s="104">
        <f t="shared" si="48"/>
        <v>0</v>
      </c>
      <c r="AW26" s="104">
        <f>AC26</f>
        <v>0</v>
      </c>
      <c r="AX26" s="104">
        <f t="shared" si="49"/>
        <v>0</v>
      </c>
      <c r="AY26" s="104">
        <f t="shared" si="50"/>
        <v>0</v>
      </c>
      <c r="AZ26" s="104">
        <f t="shared" si="51"/>
        <v>0</v>
      </c>
    </row>
    <row r="27" spans="1:52" x14ac:dyDescent="0.25">
      <c r="A27" s="101" t="s">
        <v>86</v>
      </c>
      <c r="B27" s="60">
        <v>0.33</v>
      </c>
      <c r="C27" s="464"/>
      <c r="D27" s="465"/>
      <c r="E27" s="63">
        <f t="shared" si="52"/>
        <v>0</v>
      </c>
      <c r="F27" s="464"/>
      <c r="G27" s="465"/>
      <c r="H27" s="63">
        <f t="shared" si="53"/>
        <v>0</v>
      </c>
      <c r="I27" s="464"/>
      <c r="J27" s="465"/>
      <c r="K27" s="63">
        <f t="shared" si="54"/>
        <v>0</v>
      </c>
      <c r="L27" s="464"/>
      <c r="M27" s="465"/>
      <c r="N27" s="63">
        <f t="shared" si="55"/>
        <v>0</v>
      </c>
      <c r="O27" s="464"/>
      <c r="P27" s="465"/>
      <c r="Q27" s="63">
        <f t="shared" si="56"/>
        <v>0</v>
      </c>
      <c r="R27" s="464"/>
      <c r="S27" s="465"/>
      <c r="T27" s="63">
        <f t="shared" si="57"/>
        <v>0</v>
      </c>
      <c r="U27" s="464"/>
      <c r="V27" s="465"/>
      <c r="W27" s="63">
        <f t="shared" si="58"/>
        <v>0</v>
      </c>
      <c r="X27" s="464"/>
      <c r="Y27" s="465"/>
      <c r="Z27" s="63">
        <f t="shared" si="59"/>
        <v>0</v>
      </c>
      <c r="AA27" s="464"/>
      <c r="AB27" s="465"/>
      <c r="AC27" s="63">
        <f t="shared" si="60"/>
        <v>0</v>
      </c>
      <c r="AD27" s="464"/>
      <c r="AE27" s="465"/>
      <c r="AF27" s="63">
        <f t="shared" si="61"/>
        <v>0</v>
      </c>
      <c r="AG27" s="464"/>
      <c r="AH27" s="465"/>
      <c r="AI27" s="63">
        <f t="shared" si="62"/>
        <v>0</v>
      </c>
      <c r="AJ27" s="464"/>
      <c r="AK27" s="465"/>
      <c r="AL27" s="63">
        <f t="shared" si="63"/>
        <v>0</v>
      </c>
      <c r="AM27" s="86">
        <f t="shared" si="64"/>
        <v>0</v>
      </c>
      <c r="AN27" s="159"/>
      <c r="AO27" s="104">
        <f>E27</f>
        <v>0</v>
      </c>
      <c r="AP27" s="104">
        <f t="shared" si="42"/>
        <v>0</v>
      </c>
      <c r="AQ27" s="104">
        <f t="shared" si="43"/>
        <v>0</v>
      </c>
      <c r="AR27" s="104">
        <f t="shared" si="44"/>
        <v>0</v>
      </c>
      <c r="AS27" s="104">
        <f t="shared" si="45"/>
        <v>0</v>
      </c>
      <c r="AT27" s="104">
        <f t="shared" si="46"/>
        <v>0</v>
      </c>
      <c r="AU27" s="104">
        <f t="shared" si="47"/>
        <v>0</v>
      </c>
      <c r="AV27" s="104">
        <f t="shared" si="48"/>
        <v>0</v>
      </c>
      <c r="AW27" s="104">
        <f t="shared" ref="AW27:AW34" si="65">AC27</f>
        <v>0</v>
      </c>
      <c r="AX27" s="104">
        <f t="shared" si="49"/>
        <v>0</v>
      </c>
      <c r="AY27" s="104">
        <f t="shared" si="50"/>
        <v>0</v>
      </c>
      <c r="AZ27" s="104">
        <f t="shared" si="51"/>
        <v>0</v>
      </c>
    </row>
    <row r="28" spans="1:52" x14ac:dyDescent="0.25">
      <c r="A28" s="101" t="s">
        <v>87</v>
      </c>
      <c r="B28" s="60">
        <v>0.2</v>
      </c>
      <c r="C28" s="464"/>
      <c r="D28" s="465"/>
      <c r="E28" s="63">
        <f t="shared" si="52"/>
        <v>0</v>
      </c>
      <c r="F28" s="464"/>
      <c r="G28" s="465"/>
      <c r="H28" s="63">
        <f t="shared" si="53"/>
        <v>0</v>
      </c>
      <c r="I28" s="464"/>
      <c r="J28" s="465"/>
      <c r="K28" s="63">
        <f t="shared" si="54"/>
        <v>0</v>
      </c>
      <c r="L28" s="464"/>
      <c r="M28" s="465"/>
      <c r="N28" s="63">
        <f t="shared" si="55"/>
        <v>0</v>
      </c>
      <c r="O28" s="464"/>
      <c r="P28" s="465"/>
      <c r="Q28" s="63">
        <f t="shared" si="56"/>
        <v>0</v>
      </c>
      <c r="R28" s="464"/>
      <c r="S28" s="465"/>
      <c r="T28" s="63">
        <f t="shared" si="57"/>
        <v>0</v>
      </c>
      <c r="U28" s="464"/>
      <c r="V28" s="465"/>
      <c r="W28" s="63">
        <f t="shared" si="58"/>
        <v>0</v>
      </c>
      <c r="X28" s="464"/>
      <c r="Y28" s="465"/>
      <c r="Z28" s="63">
        <f t="shared" si="59"/>
        <v>0</v>
      </c>
      <c r="AA28" s="464"/>
      <c r="AB28" s="465"/>
      <c r="AC28" s="63">
        <f t="shared" si="60"/>
        <v>0</v>
      </c>
      <c r="AD28" s="464"/>
      <c r="AE28" s="465"/>
      <c r="AF28" s="63">
        <f t="shared" si="61"/>
        <v>0</v>
      </c>
      <c r="AG28" s="464"/>
      <c r="AH28" s="465"/>
      <c r="AI28" s="63">
        <f t="shared" si="62"/>
        <v>0</v>
      </c>
      <c r="AJ28" s="464"/>
      <c r="AK28" s="465"/>
      <c r="AL28" s="63">
        <f t="shared" si="63"/>
        <v>0</v>
      </c>
      <c r="AM28" s="86">
        <f t="shared" si="64"/>
        <v>0</v>
      </c>
      <c r="AN28" s="159"/>
      <c r="AO28" s="104">
        <f t="shared" si="41"/>
        <v>0</v>
      </c>
      <c r="AP28" s="104">
        <f t="shared" si="42"/>
        <v>0</v>
      </c>
      <c r="AQ28" s="104">
        <f t="shared" si="43"/>
        <v>0</v>
      </c>
      <c r="AR28" s="104">
        <f t="shared" si="44"/>
        <v>0</v>
      </c>
      <c r="AS28" s="104">
        <f t="shared" si="45"/>
        <v>0</v>
      </c>
      <c r="AT28" s="104">
        <f t="shared" si="46"/>
        <v>0</v>
      </c>
      <c r="AU28" s="104">
        <f t="shared" si="47"/>
        <v>0</v>
      </c>
      <c r="AV28" s="104">
        <f t="shared" si="48"/>
        <v>0</v>
      </c>
      <c r="AW28" s="104">
        <f t="shared" si="65"/>
        <v>0</v>
      </c>
      <c r="AX28" s="104">
        <f t="shared" si="49"/>
        <v>0</v>
      </c>
      <c r="AY28" s="104">
        <f t="shared" si="50"/>
        <v>0</v>
      </c>
      <c r="AZ28" s="104">
        <f t="shared" si="51"/>
        <v>0</v>
      </c>
    </row>
    <row r="29" spans="1:52" x14ac:dyDescent="0.25">
      <c r="A29" s="101" t="s">
        <v>88</v>
      </c>
      <c r="B29" s="60">
        <v>0.1</v>
      </c>
      <c r="C29" s="464"/>
      <c r="D29" s="465"/>
      <c r="E29" s="63">
        <f t="shared" si="52"/>
        <v>0</v>
      </c>
      <c r="F29" s="464"/>
      <c r="G29" s="465"/>
      <c r="H29" s="63">
        <f t="shared" si="53"/>
        <v>0</v>
      </c>
      <c r="I29" s="464"/>
      <c r="J29" s="465"/>
      <c r="K29" s="63">
        <f t="shared" si="54"/>
        <v>0</v>
      </c>
      <c r="L29" s="464"/>
      <c r="M29" s="465"/>
      <c r="N29" s="63">
        <f t="shared" si="55"/>
        <v>0</v>
      </c>
      <c r="O29" s="464"/>
      <c r="P29" s="465"/>
      <c r="Q29" s="63">
        <f t="shared" si="56"/>
        <v>0</v>
      </c>
      <c r="R29" s="464"/>
      <c r="S29" s="465"/>
      <c r="T29" s="63">
        <f t="shared" si="57"/>
        <v>0</v>
      </c>
      <c r="U29" s="464"/>
      <c r="V29" s="465"/>
      <c r="W29" s="63">
        <f t="shared" si="58"/>
        <v>0</v>
      </c>
      <c r="X29" s="464"/>
      <c r="Y29" s="465"/>
      <c r="Z29" s="63">
        <f t="shared" si="59"/>
        <v>0</v>
      </c>
      <c r="AA29" s="464"/>
      <c r="AB29" s="465"/>
      <c r="AC29" s="63">
        <f t="shared" si="60"/>
        <v>0</v>
      </c>
      <c r="AD29" s="464"/>
      <c r="AE29" s="465"/>
      <c r="AF29" s="63">
        <f t="shared" si="61"/>
        <v>0</v>
      </c>
      <c r="AG29" s="464"/>
      <c r="AH29" s="465"/>
      <c r="AI29" s="63">
        <f t="shared" si="62"/>
        <v>0</v>
      </c>
      <c r="AJ29" s="464"/>
      <c r="AK29" s="465"/>
      <c r="AL29" s="63">
        <f t="shared" si="63"/>
        <v>0</v>
      </c>
      <c r="AM29" s="86">
        <f t="shared" si="64"/>
        <v>0</v>
      </c>
      <c r="AN29" s="159"/>
      <c r="AO29" s="104">
        <f t="shared" si="41"/>
        <v>0</v>
      </c>
      <c r="AP29" s="104">
        <f t="shared" si="42"/>
        <v>0</v>
      </c>
      <c r="AQ29" s="104">
        <f t="shared" si="43"/>
        <v>0</v>
      </c>
      <c r="AR29" s="104">
        <f t="shared" si="44"/>
        <v>0</v>
      </c>
      <c r="AS29" s="104">
        <f t="shared" si="45"/>
        <v>0</v>
      </c>
      <c r="AT29" s="104">
        <f t="shared" si="46"/>
        <v>0</v>
      </c>
      <c r="AU29" s="104">
        <f t="shared" si="47"/>
        <v>0</v>
      </c>
      <c r="AV29" s="104">
        <f t="shared" si="48"/>
        <v>0</v>
      </c>
      <c r="AW29" s="104">
        <f t="shared" si="65"/>
        <v>0</v>
      </c>
      <c r="AX29" s="104">
        <f t="shared" si="49"/>
        <v>0</v>
      </c>
      <c r="AY29" s="104">
        <f t="shared" si="50"/>
        <v>0</v>
      </c>
      <c r="AZ29" s="104">
        <f t="shared" si="51"/>
        <v>0</v>
      </c>
    </row>
    <row r="30" spans="1:52" x14ac:dyDescent="0.25">
      <c r="A30" s="101" t="s">
        <v>89</v>
      </c>
      <c r="B30" s="60">
        <v>0.05</v>
      </c>
      <c r="C30" s="464"/>
      <c r="D30" s="465"/>
      <c r="E30" s="63">
        <f t="shared" si="52"/>
        <v>0</v>
      </c>
      <c r="F30" s="464"/>
      <c r="G30" s="465"/>
      <c r="H30" s="63">
        <f t="shared" si="53"/>
        <v>0</v>
      </c>
      <c r="I30" s="464"/>
      <c r="J30" s="465"/>
      <c r="K30" s="63">
        <f t="shared" si="54"/>
        <v>0</v>
      </c>
      <c r="L30" s="464"/>
      <c r="M30" s="465"/>
      <c r="N30" s="63">
        <f t="shared" si="55"/>
        <v>0</v>
      </c>
      <c r="O30" s="464"/>
      <c r="P30" s="465"/>
      <c r="Q30" s="63">
        <f t="shared" si="56"/>
        <v>0</v>
      </c>
      <c r="R30" s="464"/>
      <c r="S30" s="465"/>
      <c r="T30" s="63">
        <f t="shared" si="57"/>
        <v>0</v>
      </c>
      <c r="U30" s="464"/>
      <c r="V30" s="465"/>
      <c r="W30" s="63">
        <f t="shared" si="58"/>
        <v>0</v>
      </c>
      <c r="X30" s="464"/>
      <c r="Y30" s="465"/>
      <c r="Z30" s="63">
        <f t="shared" si="59"/>
        <v>0</v>
      </c>
      <c r="AA30" s="464"/>
      <c r="AB30" s="465"/>
      <c r="AC30" s="63">
        <f t="shared" si="60"/>
        <v>0</v>
      </c>
      <c r="AD30" s="464"/>
      <c r="AE30" s="465"/>
      <c r="AF30" s="63">
        <f t="shared" si="61"/>
        <v>0</v>
      </c>
      <c r="AG30" s="464"/>
      <c r="AH30" s="465"/>
      <c r="AI30" s="63">
        <f t="shared" si="62"/>
        <v>0</v>
      </c>
      <c r="AJ30" s="464"/>
      <c r="AK30" s="465"/>
      <c r="AL30" s="63">
        <f t="shared" si="63"/>
        <v>0</v>
      </c>
      <c r="AM30" s="86">
        <f t="shared" si="64"/>
        <v>0</v>
      </c>
      <c r="AN30" s="159"/>
      <c r="AO30" s="104">
        <f t="shared" si="41"/>
        <v>0</v>
      </c>
      <c r="AP30" s="104">
        <f t="shared" si="42"/>
        <v>0</v>
      </c>
      <c r="AQ30" s="104">
        <f t="shared" si="43"/>
        <v>0</v>
      </c>
      <c r="AR30" s="104">
        <f t="shared" si="44"/>
        <v>0</v>
      </c>
      <c r="AS30" s="104">
        <f t="shared" si="45"/>
        <v>0</v>
      </c>
      <c r="AT30" s="104">
        <f t="shared" si="46"/>
        <v>0</v>
      </c>
      <c r="AU30" s="104">
        <f t="shared" si="47"/>
        <v>0</v>
      </c>
      <c r="AV30" s="104">
        <f t="shared" si="48"/>
        <v>0</v>
      </c>
      <c r="AW30" s="104">
        <f t="shared" si="65"/>
        <v>0</v>
      </c>
      <c r="AX30" s="104">
        <f t="shared" si="49"/>
        <v>0</v>
      </c>
      <c r="AY30" s="104">
        <f t="shared" si="50"/>
        <v>0</v>
      </c>
      <c r="AZ30" s="104">
        <f t="shared" si="51"/>
        <v>0</v>
      </c>
    </row>
    <row r="31" spans="1:52" x14ac:dyDescent="0.25">
      <c r="A31" s="101" t="s">
        <v>90</v>
      </c>
      <c r="B31" s="60">
        <v>0.2</v>
      </c>
      <c r="C31" s="464"/>
      <c r="D31" s="465"/>
      <c r="E31" s="63">
        <f t="shared" si="52"/>
        <v>0</v>
      </c>
      <c r="F31" s="464"/>
      <c r="G31" s="465"/>
      <c r="H31" s="63">
        <f t="shared" si="53"/>
        <v>0</v>
      </c>
      <c r="I31" s="464"/>
      <c r="J31" s="465"/>
      <c r="K31" s="63">
        <f t="shared" si="54"/>
        <v>0</v>
      </c>
      <c r="L31" s="464"/>
      <c r="M31" s="465"/>
      <c r="N31" s="63">
        <f t="shared" si="55"/>
        <v>0</v>
      </c>
      <c r="O31" s="464"/>
      <c r="P31" s="465"/>
      <c r="Q31" s="63">
        <f t="shared" si="56"/>
        <v>0</v>
      </c>
      <c r="R31" s="464"/>
      <c r="S31" s="465"/>
      <c r="T31" s="63">
        <f t="shared" si="57"/>
        <v>0</v>
      </c>
      <c r="U31" s="464"/>
      <c r="V31" s="465"/>
      <c r="W31" s="63">
        <f t="shared" si="58"/>
        <v>0</v>
      </c>
      <c r="X31" s="464"/>
      <c r="Y31" s="465"/>
      <c r="Z31" s="63">
        <f t="shared" si="59"/>
        <v>0</v>
      </c>
      <c r="AA31" s="464"/>
      <c r="AB31" s="465"/>
      <c r="AC31" s="63">
        <f t="shared" si="60"/>
        <v>0</v>
      </c>
      <c r="AD31" s="464"/>
      <c r="AE31" s="465"/>
      <c r="AF31" s="63">
        <f t="shared" si="61"/>
        <v>0</v>
      </c>
      <c r="AG31" s="464"/>
      <c r="AH31" s="465"/>
      <c r="AI31" s="63">
        <f t="shared" si="62"/>
        <v>0</v>
      </c>
      <c r="AJ31" s="464"/>
      <c r="AK31" s="465"/>
      <c r="AL31" s="63">
        <f t="shared" si="63"/>
        <v>0</v>
      </c>
      <c r="AM31" s="86">
        <f t="shared" si="64"/>
        <v>0</v>
      </c>
      <c r="AN31" s="159"/>
      <c r="AO31" s="104">
        <f t="shared" si="41"/>
        <v>0</v>
      </c>
      <c r="AP31" s="104">
        <f t="shared" si="42"/>
        <v>0</v>
      </c>
      <c r="AQ31" s="104">
        <f t="shared" si="43"/>
        <v>0</v>
      </c>
      <c r="AR31" s="104">
        <f t="shared" si="44"/>
        <v>0</v>
      </c>
      <c r="AS31" s="104">
        <f t="shared" si="45"/>
        <v>0</v>
      </c>
      <c r="AT31" s="104">
        <f t="shared" si="46"/>
        <v>0</v>
      </c>
      <c r="AU31" s="104">
        <f t="shared" si="47"/>
        <v>0</v>
      </c>
      <c r="AV31" s="104">
        <f t="shared" si="48"/>
        <v>0</v>
      </c>
      <c r="AW31" s="104">
        <f t="shared" si="65"/>
        <v>0</v>
      </c>
      <c r="AX31" s="104">
        <f t="shared" si="49"/>
        <v>0</v>
      </c>
      <c r="AY31" s="104">
        <f t="shared" si="50"/>
        <v>0</v>
      </c>
      <c r="AZ31" s="104">
        <f t="shared" si="51"/>
        <v>0</v>
      </c>
    </row>
    <row r="32" spans="1:52" x14ac:dyDescent="0.25">
      <c r="A32" s="101" t="s">
        <v>91</v>
      </c>
      <c r="B32" s="60">
        <v>0.2</v>
      </c>
      <c r="C32" s="464"/>
      <c r="D32" s="465"/>
      <c r="E32" s="63">
        <f t="shared" si="52"/>
        <v>0</v>
      </c>
      <c r="F32" s="464"/>
      <c r="G32" s="465"/>
      <c r="H32" s="63">
        <f t="shared" si="53"/>
        <v>0</v>
      </c>
      <c r="I32" s="464"/>
      <c r="J32" s="465"/>
      <c r="K32" s="63">
        <f t="shared" si="54"/>
        <v>0</v>
      </c>
      <c r="L32" s="464"/>
      <c r="M32" s="465"/>
      <c r="N32" s="63">
        <f t="shared" si="55"/>
        <v>0</v>
      </c>
      <c r="O32" s="464"/>
      <c r="P32" s="465"/>
      <c r="Q32" s="63">
        <f t="shared" si="56"/>
        <v>0</v>
      </c>
      <c r="R32" s="464"/>
      <c r="S32" s="465"/>
      <c r="T32" s="63">
        <f t="shared" si="57"/>
        <v>0</v>
      </c>
      <c r="U32" s="464"/>
      <c r="V32" s="465"/>
      <c r="W32" s="63">
        <f t="shared" si="58"/>
        <v>0</v>
      </c>
      <c r="X32" s="464"/>
      <c r="Y32" s="465"/>
      <c r="Z32" s="63">
        <f t="shared" si="59"/>
        <v>0</v>
      </c>
      <c r="AA32" s="464"/>
      <c r="AB32" s="465"/>
      <c r="AC32" s="63">
        <f t="shared" si="60"/>
        <v>0</v>
      </c>
      <c r="AD32" s="464"/>
      <c r="AE32" s="465"/>
      <c r="AF32" s="63">
        <f t="shared" si="61"/>
        <v>0</v>
      </c>
      <c r="AG32" s="464"/>
      <c r="AH32" s="465"/>
      <c r="AI32" s="63">
        <f t="shared" si="62"/>
        <v>0</v>
      </c>
      <c r="AJ32" s="464"/>
      <c r="AK32" s="465"/>
      <c r="AL32" s="63">
        <f t="shared" si="63"/>
        <v>0</v>
      </c>
      <c r="AM32" s="86">
        <f t="shared" si="64"/>
        <v>0</v>
      </c>
      <c r="AN32" s="407"/>
      <c r="AO32" s="104">
        <f t="shared" si="41"/>
        <v>0</v>
      </c>
      <c r="AP32" s="104">
        <f t="shared" si="42"/>
        <v>0</v>
      </c>
      <c r="AQ32" s="104">
        <f t="shared" si="43"/>
        <v>0</v>
      </c>
      <c r="AR32" s="104">
        <f t="shared" si="44"/>
        <v>0</v>
      </c>
      <c r="AS32" s="104">
        <f t="shared" si="45"/>
        <v>0</v>
      </c>
      <c r="AT32" s="104">
        <f t="shared" si="46"/>
        <v>0</v>
      </c>
      <c r="AU32" s="104">
        <f t="shared" si="47"/>
        <v>0</v>
      </c>
      <c r="AV32" s="104">
        <f t="shared" si="48"/>
        <v>0</v>
      </c>
      <c r="AW32" s="104">
        <f t="shared" si="65"/>
        <v>0</v>
      </c>
      <c r="AX32" s="104">
        <f t="shared" si="49"/>
        <v>0</v>
      </c>
      <c r="AY32" s="104">
        <f t="shared" si="50"/>
        <v>0</v>
      </c>
      <c r="AZ32" s="104">
        <f t="shared" si="51"/>
        <v>0</v>
      </c>
    </row>
    <row r="33" spans="1:52" x14ac:dyDescent="0.25">
      <c r="A33" s="101" t="s">
        <v>92</v>
      </c>
      <c r="B33" s="60">
        <v>0.2</v>
      </c>
      <c r="C33" s="464"/>
      <c r="D33" s="465"/>
      <c r="E33" s="63">
        <f t="shared" si="52"/>
        <v>0</v>
      </c>
      <c r="F33" s="464"/>
      <c r="G33" s="465"/>
      <c r="H33" s="63">
        <f t="shared" ref="H33:H34" si="66">((G33*$B33)/12)+E33</f>
        <v>0</v>
      </c>
      <c r="I33" s="464"/>
      <c r="J33" s="465"/>
      <c r="K33" s="63">
        <f t="shared" ref="K33:K34" si="67">((J33*$B33)/12)+H33</f>
        <v>0</v>
      </c>
      <c r="L33" s="464"/>
      <c r="M33" s="465"/>
      <c r="N33" s="63">
        <f t="shared" ref="N33:N34" si="68">((M33*$B33)/12)+K33</f>
        <v>0</v>
      </c>
      <c r="O33" s="464"/>
      <c r="P33" s="465"/>
      <c r="Q33" s="63">
        <f t="shared" ref="Q33:Q34" si="69">((P33*$B33)/12)+N33</f>
        <v>0</v>
      </c>
      <c r="R33" s="464"/>
      <c r="S33" s="465"/>
      <c r="T33" s="63">
        <f t="shared" ref="T33:T34" si="70">((S33*$B33)/12)+Q33</f>
        <v>0</v>
      </c>
      <c r="U33" s="464"/>
      <c r="V33" s="465"/>
      <c r="W33" s="63">
        <f t="shared" ref="W33:W34" si="71">((V33*$B33)/12)+T33</f>
        <v>0</v>
      </c>
      <c r="X33" s="464"/>
      <c r="Y33" s="465"/>
      <c r="Z33" s="63">
        <f t="shared" ref="Z33:Z34" si="72">((Y33*$B33)/12)+W33</f>
        <v>0</v>
      </c>
      <c r="AA33" s="464"/>
      <c r="AB33" s="465"/>
      <c r="AC33" s="63">
        <f t="shared" ref="AC33:AC34" si="73">((AB33*$B33)/12)+Z33</f>
        <v>0</v>
      </c>
      <c r="AD33" s="464"/>
      <c r="AE33" s="465"/>
      <c r="AF33" s="63">
        <f t="shared" ref="AF33:AF34" si="74">((AE33*$B33)/12)+AC33</f>
        <v>0</v>
      </c>
      <c r="AG33" s="464"/>
      <c r="AH33" s="465"/>
      <c r="AI33" s="63">
        <f t="shared" ref="AI33:AI34" si="75">((AH33*$B33)/12)+AF33</f>
        <v>0</v>
      </c>
      <c r="AJ33" s="464"/>
      <c r="AK33" s="465"/>
      <c r="AL33" s="63">
        <f t="shared" ref="AL33:AL34" si="76">((AK33*$B33)/12)+AI33</f>
        <v>0</v>
      </c>
      <c r="AM33" s="86">
        <f t="shared" si="40"/>
        <v>0</v>
      </c>
      <c r="AN33" s="159"/>
      <c r="AO33" s="104">
        <f t="shared" si="41"/>
        <v>0</v>
      </c>
      <c r="AP33" s="104">
        <f t="shared" si="42"/>
        <v>0</v>
      </c>
      <c r="AQ33" s="104">
        <f t="shared" si="43"/>
        <v>0</v>
      </c>
      <c r="AR33" s="104">
        <f t="shared" si="44"/>
        <v>0</v>
      </c>
      <c r="AS33" s="104">
        <f t="shared" si="45"/>
        <v>0</v>
      </c>
      <c r="AT33" s="104">
        <f t="shared" si="46"/>
        <v>0</v>
      </c>
      <c r="AU33" s="104">
        <f t="shared" si="47"/>
        <v>0</v>
      </c>
      <c r="AV33" s="104">
        <f t="shared" si="48"/>
        <v>0</v>
      </c>
      <c r="AW33" s="104">
        <f t="shared" si="65"/>
        <v>0</v>
      </c>
      <c r="AX33" s="104">
        <f t="shared" si="49"/>
        <v>0</v>
      </c>
      <c r="AY33" s="104">
        <f t="shared" si="50"/>
        <v>0</v>
      </c>
      <c r="AZ33" s="104">
        <f t="shared" si="51"/>
        <v>0</v>
      </c>
    </row>
    <row r="34" spans="1:52" ht="12" thickBot="1" x14ac:dyDescent="0.3">
      <c r="A34" s="102" t="s">
        <v>93</v>
      </c>
      <c r="B34" s="72">
        <v>0.2</v>
      </c>
      <c r="C34" s="466"/>
      <c r="D34" s="467"/>
      <c r="E34" s="65">
        <f t="shared" si="52"/>
        <v>0</v>
      </c>
      <c r="F34" s="466"/>
      <c r="G34" s="467"/>
      <c r="H34" s="65">
        <f t="shared" si="66"/>
        <v>0</v>
      </c>
      <c r="I34" s="466"/>
      <c r="J34" s="467"/>
      <c r="K34" s="65">
        <f t="shared" si="67"/>
        <v>0</v>
      </c>
      <c r="L34" s="466"/>
      <c r="M34" s="467"/>
      <c r="N34" s="65">
        <f t="shared" si="68"/>
        <v>0</v>
      </c>
      <c r="O34" s="466"/>
      <c r="P34" s="467"/>
      <c r="Q34" s="65">
        <f t="shared" si="69"/>
        <v>0</v>
      </c>
      <c r="R34" s="466"/>
      <c r="S34" s="467"/>
      <c r="T34" s="65">
        <f t="shared" si="70"/>
        <v>0</v>
      </c>
      <c r="U34" s="466"/>
      <c r="V34" s="467"/>
      <c r="W34" s="65">
        <f t="shared" si="71"/>
        <v>0</v>
      </c>
      <c r="X34" s="466"/>
      <c r="Y34" s="467"/>
      <c r="Z34" s="65">
        <f t="shared" si="72"/>
        <v>0</v>
      </c>
      <c r="AA34" s="466"/>
      <c r="AB34" s="467"/>
      <c r="AC34" s="65">
        <f t="shared" si="73"/>
        <v>0</v>
      </c>
      <c r="AD34" s="466"/>
      <c r="AE34" s="467"/>
      <c r="AF34" s="65">
        <f t="shared" si="74"/>
        <v>0</v>
      </c>
      <c r="AG34" s="466"/>
      <c r="AH34" s="467"/>
      <c r="AI34" s="65">
        <f t="shared" si="75"/>
        <v>0</v>
      </c>
      <c r="AJ34" s="466"/>
      <c r="AK34" s="467"/>
      <c r="AL34" s="65">
        <f t="shared" si="76"/>
        <v>0</v>
      </c>
      <c r="AM34" s="87">
        <f t="shared" si="40"/>
        <v>0</v>
      </c>
      <c r="AN34" s="159"/>
      <c r="AO34" s="104">
        <f t="shared" si="41"/>
        <v>0</v>
      </c>
      <c r="AP34" s="104">
        <f t="shared" si="42"/>
        <v>0</v>
      </c>
      <c r="AQ34" s="104">
        <f t="shared" si="43"/>
        <v>0</v>
      </c>
      <c r="AR34" s="104">
        <f t="shared" si="44"/>
        <v>0</v>
      </c>
      <c r="AS34" s="104">
        <f t="shared" si="45"/>
        <v>0</v>
      </c>
      <c r="AT34" s="104">
        <f t="shared" si="46"/>
        <v>0</v>
      </c>
      <c r="AU34" s="104">
        <f t="shared" si="47"/>
        <v>0</v>
      </c>
      <c r="AV34" s="104">
        <f t="shared" si="48"/>
        <v>0</v>
      </c>
      <c r="AW34" s="104">
        <f t="shared" si="65"/>
        <v>0</v>
      </c>
      <c r="AX34" s="104">
        <f t="shared" si="49"/>
        <v>0</v>
      </c>
      <c r="AY34" s="104">
        <f t="shared" si="50"/>
        <v>0</v>
      </c>
      <c r="AZ34" s="104">
        <f t="shared" si="51"/>
        <v>0</v>
      </c>
    </row>
  </sheetData>
  <mergeCells count="15">
    <mergeCell ref="O4:Q4"/>
    <mergeCell ref="B4:B5"/>
    <mergeCell ref="C4:E4"/>
    <mergeCell ref="F4:H4"/>
    <mergeCell ref="I4:K4"/>
    <mergeCell ref="L4:N4"/>
    <mergeCell ref="AJ4:AL4"/>
    <mergeCell ref="AM4:AM5"/>
    <mergeCell ref="AO4:AZ4"/>
    <mergeCell ref="R4:T4"/>
    <mergeCell ref="U4:W4"/>
    <mergeCell ref="X4:Z4"/>
    <mergeCell ref="AA4:AC4"/>
    <mergeCell ref="AD4:AF4"/>
    <mergeCell ref="AG4:AI4"/>
  </mergeCells>
  <pageMargins left="0.7" right="0.7" top="0.75" bottom="0.75" header="0.3" footer="0.3"/>
  <pageSetup paperSize="30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งบกำไรขาดทุน ปี 2025</vt:lpstr>
      <vt:lpstr>Budget ปี 2026</vt:lpstr>
      <vt:lpstr>การลงระหว่างเดือน ปี 2026</vt:lpstr>
      <vt:lpstr>สรุป</vt:lpstr>
      <vt:lpstr>กำลัง VET</vt:lpstr>
      <vt:lpstr>กำลังคนNON VET</vt:lpstr>
      <vt:lpstr>ปรับตำแหน่ง</vt:lpstr>
      <vt:lpstr>เครื่องมือแพทย์</vt:lpstr>
      <vt:lpstr>คอมพิวเตอร์</vt:lpstr>
      <vt:lpstr>เฟอร์นิเจอร์</vt:lpstr>
      <vt:lpstr>เครื่องมือเครื่องใช้</vt:lpstr>
      <vt:lpstr>ค่าสวัสดิการ</vt:lpstr>
      <vt:lpstr>บริหารโดยส่วนกลาง (ไม่ต้องกรอก)</vt:lpstr>
      <vt:lpstr>'งบกำไรขาดทุน ปี 2025'!Print_Titles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Nopadol Vanichanukulyakit</dc:creator>
  <cp:lastModifiedBy>ณัฐชัย อุดมพิบูลย์</cp:lastModifiedBy>
  <dcterms:created xsi:type="dcterms:W3CDTF">2021-04-19T09:04:08Z</dcterms:created>
  <dcterms:modified xsi:type="dcterms:W3CDTF">2026-09-04T08:17:36Z</dcterms:modified>
</cp:coreProperties>
</file>